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benta\Documents\1 JOB🥀🥀\DATA ANALYST\MY SQL\project\project 1\"/>
    </mc:Choice>
  </mc:AlternateContent>
  <xr:revisionPtr revIDLastSave="0" documentId="8_{BC6078D9-0C6B-4670-BC27-6AA584966DBE}" xr6:coauthVersionLast="47" xr6:coauthVersionMax="47" xr10:uidLastSave="{00000000-0000-0000-0000-000000000000}"/>
  <bookViews>
    <workbookView xWindow="-108" yWindow="-108" windowWidth="23256" windowHeight="12456" xr2:uid="{B12D8687-5EBD-45E1-A10B-BAF90B8E9FC7}"/>
  </bookViews>
  <sheets>
    <sheet name="Dashboard" sheetId="1" r:id="rId1"/>
    <sheet name="Dashboard_Backend" sheetId="6" r:id="rId2"/>
    <sheet name="project_1 bamer2" sheetId="3" r:id="rId3"/>
  </sheets>
  <definedNames>
    <definedName name="_xlcn.WorksheetConnection_Book1project_1_bamer21" hidden="1">project_1_bamer2[]</definedName>
    <definedName name="ExternalData_1" localSheetId="2" hidden="1">'project_1 bamer2'!$A$1:$V$1865</definedName>
    <definedName name="NativeTimeline_Date">#N/A</definedName>
    <definedName name="Slicer_Season">#N/A</definedName>
    <definedName name="Slicer_Years__Date">#N/A</definedName>
  </definedNames>
  <calcPr calcId="191029"/>
  <pivotCaches>
    <pivotCache cacheId="2" r:id="rId4"/>
    <pivotCache cacheId="23" r:id="rId5"/>
    <pivotCache cacheId="3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1_bamer2" name="project_1_bamer2" connection="WorksheetConnection_Book1!project_1_bamer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F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3854D2-D1F0-4035-A332-7906604AF20F}" keepAlive="1" name="Query - C:\Program Files\Microsoft Office\root\Office16\ADDINS\Microsoft Power Query for" description="Connection to the 'C:\Program Files\Microsoft Office\root\Office16\ADDINS\Microsoft Power Query for' query in the workbook." type="5" refreshedVersion="0" background="1">
    <dbPr connection="Provider=Microsoft.Mashup.OleDb.1;Data Source=$Workbook$;Location=&quot;C:\Program Files\Microsoft Office\root\Office16\ADDINS\Microsoft Power Query for&quot;;Extended Properties=&quot;&quot;" command="SELECT * FROM [C:\Program Files\Microsoft Office\root\Office16\ADDINS\Microsoft Power Query for]"/>
  </connection>
  <connection id="2" xr16:uid="{D63F81FC-E89F-4B1D-B3FF-AED4914A42A5}" keepAlive="1" name="Query - project_1 bamer2" description="Connection to the 'project_1 bamer2' query in the workbook." type="5" refreshedVersion="8" background="1" saveData="1">
    <dbPr connection="Provider=Microsoft.Mashup.OleDb.1;Data Source=$Workbook$;Location=&quot;project_1 bamer2&quot;;Extended Properties=&quot;&quot;" command="SELECT * FROM [project_1 bamer2]"/>
  </connection>
  <connection id="3" xr16:uid="{5F0E7E58-3028-415B-BD2D-C9BCC6BA2BAA}" keepAlive="1" name="Query - Query1" description="Connection to the 'Query1' query in the workbook." type="5" refreshedVersion="8" background="1">
    <dbPr connection="Provider=Microsoft.Mashup.OleDb.1;Data Source=$Workbook$;Location=Query1;Extended Properties=&quot;&quot;" command="SELECT * FROM [Query1]"/>
  </connection>
  <connection id="4" xr16:uid="{19D36FA4-E12A-48E3-A5C5-817FEF2EC4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4C22169-0FAB-4F93-9709-10032921E710}" name="WorksheetConnection_Book1!project_1_bamer2" type="102" refreshedVersion="8" minRefreshableVersion="5">
    <extLst>
      <ext xmlns:x15="http://schemas.microsoft.com/office/spreadsheetml/2010/11/main" uri="{DE250136-89BD-433C-8126-D09CA5730AF9}">
        <x15:connection id="project_1_bamer2" autoDelete="1">
          <x15:rangePr sourceName="_xlcn.WorksheetConnection_Book1project_1_bamer21"/>
        </x15:connection>
      </ext>
    </extLst>
  </connection>
</connections>
</file>

<file path=xl/sharedStrings.xml><?xml version="1.0" encoding="utf-8"?>
<sst xmlns="http://schemas.openxmlformats.org/spreadsheetml/2006/main" count="5553" uniqueCount="139">
  <si>
    <t>Date</t>
  </si>
  <si>
    <t>Prices</t>
  </si>
  <si>
    <t>Day_count</t>
  </si>
  <si>
    <t>Month</t>
  </si>
  <si>
    <t>Season</t>
  </si>
  <si>
    <t>Weekday</t>
  </si>
  <si>
    <t>Is_holiday</t>
  </si>
  <si>
    <t>Rolling_mean_7</t>
  </si>
  <si>
    <t>Rolling_mean_30</t>
  </si>
  <si>
    <t>Lag_1</t>
  </si>
  <si>
    <t>Lag_7</t>
  </si>
  <si>
    <t>Lag_30</t>
  </si>
  <si>
    <t>Daily_delta</t>
  </si>
  <si>
    <t>CPI</t>
  </si>
  <si>
    <t>Total_inflation</t>
  </si>
  <si>
    <t>USD_IDR</t>
  </si>
  <si>
    <t>Temperature</t>
  </si>
  <si>
    <t>Rainfall</t>
  </si>
  <si>
    <t>Humidity</t>
  </si>
  <si>
    <t>Day_in_month</t>
  </si>
  <si>
    <t>Diff_value</t>
  </si>
  <si>
    <t>Percentage</t>
  </si>
  <si>
    <t>Wet</t>
  </si>
  <si>
    <t>False</t>
  </si>
  <si>
    <t>-Rp500</t>
  </si>
  <si>
    <t>Rp0</t>
  </si>
  <si>
    <t>Rp500</t>
  </si>
  <si>
    <t>Rp3000</t>
  </si>
  <si>
    <t>Rp3500</t>
  </si>
  <si>
    <t>Rp1000</t>
  </si>
  <si>
    <t>-Rp1000</t>
  </si>
  <si>
    <t>Rp1500</t>
  </si>
  <si>
    <t>Rp4000</t>
  </si>
  <si>
    <t>Rp6500</t>
  </si>
  <si>
    <t>Rp250</t>
  </si>
  <si>
    <t>-Rp250</t>
  </si>
  <si>
    <t>Rp1250</t>
  </si>
  <si>
    <t>-Rp1500</t>
  </si>
  <si>
    <t>-Rp2250</t>
  </si>
  <si>
    <t>-Rp3750</t>
  </si>
  <si>
    <t>-Rp1250</t>
  </si>
  <si>
    <t>Rp1750</t>
  </si>
  <si>
    <t>-Rp750</t>
  </si>
  <si>
    <t>Dry</t>
  </si>
  <si>
    <t>True</t>
  </si>
  <si>
    <t>-Rp2000</t>
  </si>
  <si>
    <t>-Rp3250</t>
  </si>
  <si>
    <t>Rp2000</t>
  </si>
  <si>
    <t>Rp4750</t>
  </si>
  <si>
    <t>-Rp5000</t>
  </si>
  <si>
    <t>-Rp3000</t>
  </si>
  <si>
    <t>-Rp2500</t>
  </si>
  <si>
    <t>Rp750</t>
  </si>
  <si>
    <t>-Rp3500</t>
  </si>
  <si>
    <t>-Rp1750</t>
  </si>
  <si>
    <t>Rp2250</t>
  </si>
  <si>
    <t>Rp2500</t>
  </si>
  <si>
    <t>Rp4500</t>
  </si>
  <si>
    <t>Rp2750</t>
  </si>
  <si>
    <t>Rp3250</t>
  </si>
  <si>
    <t>-Rp850</t>
  </si>
  <si>
    <t>Rp3750</t>
  </si>
  <si>
    <t>-Rp600</t>
  </si>
  <si>
    <t>Rp1350</t>
  </si>
  <si>
    <t>Rp600</t>
  </si>
  <si>
    <t>Rp100</t>
  </si>
  <si>
    <t>Rp150</t>
  </si>
  <si>
    <t>-Rp900</t>
  </si>
  <si>
    <t>Rp350</t>
  </si>
  <si>
    <t>Rp850</t>
  </si>
  <si>
    <t>Rp400</t>
  </si>
  <si>
    <t>Rp5500</t>
  </si>
  <si>
    <t>-Rp650</t>
  </si>
  <si>
    <t>Rp650</t>
  </si>
  <si>
    <t>-Rp100</t>
  </si>
  <si>
    <t>Rp1150</t>
  </si>
  <si>
    <t>-Rp1400</t>
  </si>
  <si>
    <t>-Rp350</t>
  </si>
  <si>
    <t>-Rp1100</t>
  </si>
  <si>
    <t>Rp7100</t>
  </si>
  <si>
    <t>Rp900</t>
  </si>
  <si>
    <t>Rp5850</t>
  </si>
  <si>
    <t>-Rp1150</t>
  </si>
  <si>
    <t>Rp1900</t>
  </si>
  <si>
    <t>-Rp4400</t>
  </si>
  <si>
    <t>Rp5250</t>
  </si>
  <si>
    <t>-Rp1900</t>
  </si>
  <si>
    <t>-Rp3100</t>
  </si>
  <si>
    <t>Rp9650</t>
  </si>
  <si>
    <t>Rp1100</t>
  </si>
  <si>
    <t>-Rp4250</t>
  </si>
  <si>
    <t>-Rp6100</t>
  </si>
  <si>
    <t>-Rp2400</t>
  </si>
  <si>
    <t>-Rp2350</t>
  </si>
  <si>
    <t>-Rp1600</t>
  </si>
  <si>
    <t>-Rp1650</t>
  </si>
  <si>
    <t>-Rp1350</t>
  </si>
  <si>
    <t>Rp4250</t>
  </si>
  <si>
    <t>Rp2850</t>
  </si>
  <si>
    <t>-Rp400</t>
  </si>
  <si>
    <t>Rp1850</t>
  </si>
  <si>
    <t>-Rp150</t>
  </si>
  <si>
    <t>Rp4150</t>
  </si>
  <si>
    <t>-Rp2750</t>
  </si>
  <si>
    <t>-Rp1850</t>
  </si>
  <si>
    <t>Rp2400</t>
  </si>
  <si>
    <t>-Rp3650</t>
  </si>
  <si>
    <t>-Rp3900</t>
  </si>
  <si>
    <t>Rp22650</t>
  </si>
  <si>
    <t>-Rp2600</t>
  </si>
  <si>
    <t>-Rp2100</t>
  </si>
  <si>
    <t>-Rp2150</t>
  </si>
  <si>
    <t>Rp1400</t>
  </si>
  <si>
    <t>-Rp3600</t>
  </si>
  <si>
    <t>Rp2150</t>
  </si>
  <si>
    <t>Rp3850</t>
  </si>
  <si>
    <t>Rp2900</t>
  </si>
  <si>
    <t>Rp3150</t>
  </si>
  <si>
    <t>Rp5900</t>
  </si>
  <si>
    <t>Rp1600</t>
  </si>
  <si>
    <t>-Rp7400</t>
  </si>
  <si>
    <t>Rp2650</t>
  </si>
  <si>
    <t>Row Labels</t>
  </si>
  <si>
    <t>High Rainfall</t>
  </si>
  <si>
    <t>Low Rainfall</t>
  </si>
  <si>
    <t>Grand Total</t>
  </si>
  <si>
    <t>Average of Prices</t>
  </si>
  <si>
    <t>2020</t>
  </si>
  <si>
    <t>2021</t>
  </si>
  <si>
    <t>2022</t>
  </si>
  <si>
    <t>2023</t>
  </si>
  <si>
    <t>2024</t>
  </si>
  <si>
    <t>2025</t>
  </si>
  <si>
    <t>Highest and Lowest Daily Changes</t>
  </si>
  <si>
    <t>Average Price Over Time</t>
  </si>
  <si>
    <t>Season Average</t>
  </si>
  <si>
    <t>Rainfall Category</t>
  </si>
  <si>
    <t>Highest Daily Price Drop</t>
  </si>
  <si>
    <t>Lowest Daily Price Drop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</si>
</sst>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_-[$Rp-3809]* #,##0.00_-;\-[$Rp-3809]* #,##0.00_-;_-[$Rp-3809]* &quot;-&quot;??_-;_-@_-"/>
    <numFmt numFmtId="174" formatCode="_-[$Rp-3809]* #,##0_-;\-[$Rp-3809]* #,##0_-;_-[$Rp-3809]* &quot;-&quot;??_-;_-@_-"/>
  </numFmts>
  <fonts count="2" x14ac:knownFonts="1">
    <font>
      <sz val="11"/>
      <color theme="1"/>
      <name val="Trebuchet MS"/>
      <family val="2"/>
      <scheme val="minor"/>
    </font>
    <font>
      <sz val="11"/>
      <color theme="0"/>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71" fontId="0" fillId="0" borderId="0" xfId="0" applyNumberFormat="1"/>
    <xf numFmtId="174" fontId="0" fillId="0" borderId="0" xfId="0" applyNumberFormat="1"/>
    <xf numFmtId="174" fontId="1" fillId="0" borderId="0" xfId="0" applyNumberFormat="1" applyFont="1"/>
  </cellXfs>
  <cellStyles count="1">
    <cellStyle name="Normal" xfId="0" builtinId="0"/>
  </cellStyles>
  <dxfs count="20">
    <dxf>
      <numFmt numFmtId="171" formatCode="_-[$Rp-3809]* #,##0.00_-;\-[$Rp-3809]* #,##0.00_-;_-[$Rp-3809]* &quot;-&quot;??_-;_-@_-"/>
    </dxf>
    <dxf>
      <numFmt numFmtId="174" formatCode="_-[$Rp-3809]* #,##0_-;\-[$Rp-3809]* #,##0_-;_-[$Rp-3809]* &quot;-&quot;??_-;_-@_-"/>
    </dxf>
    <dxf>
      <numFmt numFmtId="171" formatCode="_-[$Rp-3809]* #,##0.00_-;\-[$Rp-3809]* #,##0.00_-;_-[$Rp-3809]* &quot;-&quot;??_-;_-@_-"/>
    </dxf>
    <dxf>
      <numFmt numFmtId="174" formatCode="_-[$Rp-3809]* #,##0_-;\-[$Rp-3809]* #,##0_-;_-[$Rp-3809]* &quot;-&quot;??_-;_-@_-"/>
    </dxf>
    <dxf>
      <numFmt numFmtId="171" formatCode="_-[$Rp-3809]* #,##0.00_-;\-[$Rp-3809]* #,##0.00_-;_-[$Rp-3809]* &quot;-&quot;??_-;_-@_-"/>
    </dxf>
    <dxf>
      <numFmt numFmtId="174" formatCode="_-[$Rp-3809]* #,##0_-;\-[$Rp-3809]* #,##0_-;_-[$Rp-3809]* &quot;-&quot;??_-;_-@_-"/>
    </dxf>
    <dxf>
      <numFmt numFmtId="171" formatCode="_-[$Rp-3809]* #,##0.00_-;\-[$Rp-3809]* #,##0.00_-;_-[$Rp-3809]* &quot;-&quot;??_-;_-@_-"/>
    </dxf>
    <dxf>
      <numFmt numFmtId="174" formatCode="_-[$Rp-3809]* #,##0_-;\-[$Rp-3809]* #,##0_-;_-[$Rp-3809]* &quot;-&quot;??_-;_-@_-"/>
    </dxf>
    <dxf>
      <numFmt numFmtId="174" formatCode="_-[$Rp-3809]* #,##0_-;\-[$Rp-3809]* #,##0_-;_-[$Rp-3809]* &quot;-&quot;??_-;_-@_-"/>
    </dxf>
    <dxf>
      <numFmt numFmtId="171" formatCode="_-[$Rp-3809]* #,##0.00_-;\-[$Rp-3809]* #,##0.00_-;_-[$Rp-3809]* &quot;-&quot;??_-;_-@_-"/>
    </dxf>
    <dxf>
      <numFmt numFmtId="174" formatCode="_-[$Rp-3809]* #,##0_-;\-[$Rp-3809]* #,##0_-;_-[$Rp-3809]* &quot;-&quot;??_-;_-@_-"/>
    </dxf>
    <dxf>
      <numFmt numFmtId="171" formatCode="_-[$Rp-3809]* #,##0.00_-;\-[$Rp-3809]* #,##0.00_-;_-[$Rp-3809]* &quot;-&quot;??_-;_-@_-"/>
    </dxf>
    <dxf>
      <numFmt numFmtId="174" formatCode="_-[$Rp-3809]* #,##0_-;\-[$Rp-3809]* #,##0_-;_-[$Rp-3809]* &quot;-&quot;??_-;_-@_-"/>
    </dxf>
    <dxf>
      <numFmt numFmtId="171" formatCode="_-[$Rp-3809]* #,##0.00_-;\-[$Rp-3809]* #,##0.00_-;_-[$Rp-3809]* &quot;-&quot;??_-;_-@_-"/>
    </dxf>
    <dxf>
      <numFmt numFmtId="171" formatCode="_-[$Rp-3809]* #,##0.00_-;\-[$Rp-3809]* #,##0.00_-;_-[$Rp-3809]* &quot;-&quot;??_-;_-@_-"/>
    </dxf>
    <dxf>
      <numFmt numFmtId="171" formatCode="_-[$Rp-3809]* #,##0.00_-;\-[$Rp-3809]* #,##0.00_-;_-[$Rp-3809]* &quot;-&quot;??_-;_-@_-"/>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[Shallot Volatility Dashboard.xlsx]Dashboard_Backend!PivotTable1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Rainfall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Dashboard_Backend!$B$2</c:f>
              <c:strCache>
                <c:ptCount val="1"/>
                <c:pt idx="0">
                  <c:v>Total</c:v>
                </c:pt>
              </c:strCache>
            </c:strRef>
          </c:tx>
          <c:spPr>
            <a:solidFill>
              <a:schemeClr val="accent1"/>
            </a:solidFill>
            <a:ln>
              <a:noFill/>
            </a:ln>
            <a:effectLst/>
          </c:spPr>
          <c:invertIfNegative val="0"/>
          <c:cat>
            <c:strRef>
              <c:f>Dashboard_Backend!$A$3:$A$5</c:f>
              <c:strCache>
                <c:ptCount val="2"/>
                <c:pt idx="0">
                  <c:v>High Rainfall</c:v>
                </c:pt>
                <c:pt idx="1">
                  <c:v>Low Rainfall</c:v>
                </c:pt>
              </c:strCache>
            </c:strRef>
          </c:cat>
          <c:val>
            <c:numRef>
              <c:f>Dashboard_Backend!$B$3:$B$5</c:f>
              <c:numCache>
                <c:formatCode>_-[$Rp-3809]* #,##0.00_-;\-[$Rp-3809]* #,##0.00_-;_-[$Rp-3809]* "-"??_-;_-@_-</c:formatCode>
                <c:ptCount val="2"/>
                <c:pt idx="0">
                  <c:v>43294.602272727272</c:v>
                </c:pt>
                <c:pt idx="1">
                  <c:v>42219.874338624337</c:v>
                </c:pt>
              </c:numCache>
            </c:numRef>
          </c:val>
          <c:extLst>
            <c:ext xmlns:c16="http://schemas.microsoft.com/office/drawing/2014/chart" uri="{C3380CC4-5D6E-409C-BE32-E72D297353CC}">
              <c16:uniqueId val="{00000000-B302-4A29-BE97-D05761280348}"/>
            </c:ext>
          </c:extLst>
        </c:ser>
        <c:dLbls>
          <c:showLegendKey val="0"/>
          <c:showVal val="0"/>
          <c:showCatName val="0"/>
          <c:showSerName val="0"/>
          <c:showPercent val="0"/>
          <c:showBubbleSize val="0"/>
        </c:dLbls>
        <c:gapWidth val="219"/>
        <c:overlap val="-27"/>
        <c:axId val="1146973152"/>
        <c:axId val="1146973632"/>
      </c:barChart>
      <c:catAx>
        <c:axId val="114697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3632"/>
        <c:crosses val="autoZero"/>
        <c:auto val="1"/>
        <c:lblAlgn val="ctr"/>
        <c:lblOffset val="100"/>
        <c:noMultiLvlLbl val="0"/>
      </c:catAx>
      <c:valAx>
        <c:axId val="1146973632"/>
        <c:scaling>
          <c:orientation val="minMax"/>
        </c:scaling>
        <c:delete val="0"/>
        <c:axPos val="l"/>
        <c:majorGridlines>
          <c:spPr>
            <a:ln w="9525" cap="flat" cmpd="sng" algn="ctr">
              <a:solidFill>
                <a:schemeClr val="tx1">
                  <a:lumMod val="15000"/>
                  <a:lumOff val="85000"/>
                </a:schemeClr>
              </a:solidFill>
              <a:round/>
            </a:ln>
            <a:effectLst/>
          </c:spPr>
        </c:majorGridlines>
        <c:numFmt formatCode="_-[$Rp-3809]* #,##0.00_-;\-[$Rp-3809]* #,##0.0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[Shallot Volatility Dashboard.xlsx]Dashboard_Backend!PivotTable3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Dashboard_Backend!$B$12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Dashboard_Backend!$A$13:$A$19</c:f>
              <c:strCache>
                <c:ptCount val="6"/>
                <c:pt idx="0">
                  <c:v>2020</c:v>
                </c:pt>
                <c:pt idx="1">
                  <c:v>2021</c:v>
                </c:pt>
                <c:pt idx="2">
                  <c:v>2022</c:v>
                </c:pt>
                <c:pt idx="3">
                  <c:v>2023</c:v>
                </c:pt>
                <c:pt idx="4">
                  <c:v>2024</c:v>
                </c:pt>
                <c:pt idx="5">
                  <c:v>2025</c:v>
                </c:pt>
              </c:strCache>
            </c:strRef>
          </c:cat>
          <c:val>
            <c:numRef>
              <c:f>Dashboard_Backend!$B$13:$B$19</c:f>
              <c:numCache>
                <c:formatCode>_-[$Rp-3809]* #,##0_-;\-[$Rp-3809]* #,##0_-;_-[$Rp-3809]* "-"??_-;_-@_-</c:formatCode>
                <c:ptCount val="6"/>
                <c:pt idx="0">
                  <c:v>44150</c:v>
                </c:pt>
                <c:pt idx="1">
                  <c:v>34283.333333333336</c:v>
                </c:pt>
                <c:pt idx="2">
                  <c:v>45006.112852664577</c:v>
                </c:pt>
                <c:pt idx="3">
                  <c:v>38956.231003039517</c:v>
                </c:pt>
                <c:pt idx="4">
                  <c:v>43070.845070422532</c:v>
                </c:pt>
                <c:pt idx="5">
                  <c:v>50497.058823529413</c:v>
                </c:pt>
              </c:numCache>
            </c:numRef>
          </c:val>
          <c:smooth val="0"/>
          <c:extLst>
            <c:ext xmlns:c16="http://schemas.microsoft.com/office/drawing/2014/chart" uri="{C3380CC4-5D6E-409C-BE32-E72D297353CC}">
              <c16:uniqueId val="{00000000-1601-4167-B130-3982B066848E}"/>
            </c:ext>
          </c:extLst>
        </c:ser>
        <c:dLbls>
          <c:showLegendKey val="0"/>
          <c:showVal val="0"/>
          <c:showCatName val="0"/>
          <c:showSerName val="0"/>
          <c:showPercent val="0"/>
          <c:showBubbleSize val="0"/>
        </c:dLbls>
        <c:marker val="1"/>
        <c:smooth val="0"/>
        <c:axId val="1146980832"/>
        <c:axId val="1146981312"/>
      </c:lineChart>
      <c:catAx>
        <c:axId val="11469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1312"/>
        <c:crosses val="autoZero"/>
        <c:auto val="1"/>
        <c:lblAlgn val="ctr"/>
        <c:lblOffset val="100"/>
        <c:noMultiLvlLbl val="0"/>
      </c:catAx>
      <c:valAx>
        <c:axId val="1146981312"/>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[Shallot Volatility Dashboard.xlsx]Dashboard_Backend!PivotTable2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Dashboard_Backend!$B$7</c:f>
              <c:strCache>
                <c:ptCount val="1"/>
                <c:pt idx="0">
                  <c:v>Total</c:v>
                </c:pt>
              </c:strCache>
            </c:strRef>
          </c:tx>
          <c:spPr>
            <a:solidFill>
              <a:schemeClr val="accent1"/>
            </a:solidFill>
            <a:ln>
              <a:noFill/>
            </a:ln>
            <a:effectLst/>
          </c:spPr>
          <c:invertIfNegative val="0"/>
          <c:cat>
            <c:strRef>
              <c:f>Dashboard_Backend!$A$8:$A$10</c:f>
              <c:strCache>
                <c:ptCount val="2"/>
                <c:pt idx="0">
                  <c:v>Dry</c:v>
                </c:pt>
                <c:pt idx="1">
                  <c:v>Wet</c:v>
                </c:pt>
              </c:strCache>
            </c:strRef>
          </c:cat>
          <c:val>
            <c:numRef>
              <c:f>Dashboard_Backend!$B$8:$B$10</c:f>
              <c:numCache>
                <c:formatCode>_-[$Rp-3809]* #,##0.00_-;\-[$Rp-3809]* #,##0.00_-;_-[$Rp-3809]* "-"??_-;_-@_-</c:formatCode>
                <c:ptCount val="2"/>
                <c:pt idx="0">
                  <c:v>44680.147058823532</c:v>
                </c:pt>
                <c:pt idx="1">
                  <c:v>40066.502192982458</c:v>
                </c:pt>
              </c:numCache>
            </c:numRef>
          </c:val>
          <c:extLst>
            <c:ext xmlns:c16="http://schemas.microsoft.com/office/drawing/2014/chart" uri="{C3380CC4-5D6E-409C-BE32-E72D297353CC}">
              <c16:uniqueId val="{00000000-87B0-460A-8403-D288EC6DB543}"/>
            </c:ext>
          </c:extLst>
        </c:ser>
        <c:dLbls>
          <c:showLegendKey val="0"/>
          <c:showVal val="0"/>
          <c:showCatName val="0"/>
          <c:showSerName val="0"/>
          <c:showPercent val="0"/>
          <c:showBubbleSize val="0"/>
        </c:dLbls>
        <c:gapWidth val="182"/>
        <c:axId val="1146972192"/>
        <c:axId val="1146983712"/>
      </c:barChart>
      <c:catAx>
        <c:axId val="114697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3712"/>
        <c:crosses val="autoZero"/>
        <c:auto val="1"/>
        <c:lblAlgn val="ctr"/>
        <c:lblOffset val="100"/>
        <c:noMultiLvlLbl val="0"/>
      </c:catAx>
      <c:valAx>
        <c:axId val="1146983712"/>
        <c:scaling>
          <c:orientation val="minMax"/>
          <c:max val="45000"/>
          <c:min val="30000"/>
        </c:scaling>
        <c:delete val="0"/>
        <c:axPos val="b"/>
        <c:majorGridlines>
          <c:spPr>
            <a:ln w="9525" cap="flat" cmpd="sng" algn="ctr">
              <a:solidFill>
                <a:schemeClr val="tx1">
                  <a:lumMod val="15000"/>
                  <a:lumOff val="85000"/>
                </a:schemeClr>
              </a:solidFill>
              <a:round/>
            </a:ln>
            <a:effectLst/>
          </c:spPr>
        </c:majorGridlines>
        <c:numFmt formatCode="_-[$Rp-3809]* #,##0.00_-;\-[$Rp-3809]* #,##0.0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2192"/>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[Shallot Volatility Dashboard.xlsx]Dashboard_Backend!PivotTable1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Rainfall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Dashboard_Backend!$B$2</c:f>
              <c:strCache>
                <c:ptCount val="1"/>
                <c:pt idx="0">
                  <c:v>Total</c:v>
                </c:pt>
              </c:strCache>
            </c:strRef>
          </c:tx>
          <c:spPr>
            <a:solidFill>
              <a:schemeClr val="accent1"/>
            </a:solidFill>
            <a:ln>
              <a:noFill/>
            </a:ln>
            <a:effectLst/>
          </c:spPr>
          <c:invertIfNegative val="0"/>
          <c:cat>
            <c:strRef>
              <c:f>Dashboard_Backend!$A$3:$A$5</c:f>
              <c:strCache>
                <c:ptCount val="2"/>
                <c:pt idx="0">
                  <c:v>High Rainfall</c:v>
                </c:pt>
                <c:pt idx="1">
                  <c:v>Low Rainfall</c:v>
                </c:pt>
              </c:strCache>
            </c:strRef>
          </c:cat>
          <c:val>
            <c:numRef>
              <c:f>Dashboard_Backend!$B$3:$B$5</c:f>
              <c:numCache>
                <c:formatCode>_-[$Rp-3809]* #,##0.00_-;\-[$Rp-3809]* #,##0.00_-;_-[$Rp-3809]* "-"??_-;_-@_-</c:formatCode>
                <c:ptCount val="2"/>
                <c:pt idx="0">
                  <c:v>43294.602272727272</c:v>
                </c:pt>
                <c:pt idx="1">
                  <c:v>42219.874338624337</c:v>
                </c:pt>
              </c:numCache>
            </c:numRef>
          </c:val>
          <c:extLst>
            <c:ext xmlns:c16="http://schemas.microsoft.com/office/drawing/2014/chart" uri="{C3380CC4-5D6E-409C-BE32-E72D297353CC}">
              <c16:uniqueId val="{00000000-AEC4-4D88-8D0B-9A59789F550B}"/>
            </c:ext>
          </c:extLst>
        </c:ser>
        <c:dLbls>
          <c:showLegendKey val="0"/>
          <c:showVal val="0"/>
          <c:showCatName val="0"/>
          <c:showSerName val="0"/>
          <c:showPercent val="0"/>
          <c:showBubbleSize val="0"/>
        </c:dLbls>
        <c:gapWidth val="219"/>
        <c:overlap val="-27"/>
        <c:axId val="1146973152"/>
        <c:axId val="1146973632"/>
      </c:barChart>
      <c:catAx>
        <c:axId val="114697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3632"/>
        <c:crosses val="autoZero"/>
        <c:auto val="1"/>
        <c:lblAlgn val="ctr"/>
        <c:lblOffset val="100"/>
        <c:noMultiLvlLbl val="0"/>
      </c:catAx>
      <c:valAx>
        <c:axId val="1146973632"/>
        <c:scaling>
          <c:orientation val="minMax"/>
        </c:scaling>
        <c:delete val="0"/>
        <c:axPos val="l"/>
        <c:majorGridlines>
          <c:spPr>
            <a:ln w="9525" cap="flat" cmpd="sng" algn="ctr">
              <a:solidFill>
                <a:schemeClr val="tx1">
                  <a:lumMod val="15000"/>
                  <a:lumOff val="85000"/>
                </a:schemeClr>
              </a:solidFill>
              <a:round/>
            </a:ln>
            <a:effectLst/>
          </c:spPr>
        </c:majorGridlines>
        <c:numFmt formatCode="_-[$Rp-3809]* #,##0.00_-;\-[$Rp-3809]* #,##0.0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[Shallot Volatility Dashboard.xlsx]Dashboard_Backend!PivotTable3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Dashboard_Backend!$B$12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Dashboard_Backend!$A$13:$A$19</c:f>
              <c:strCache>
                <c:ptCount val="6"/>
                <c:pt idx="0">
                  <c:v>2020</c:v>
                </c:pt>
                <c:pt idx="1">
                  <c:v>2021</c:v>
                </c:pt>
                <c:pt idx="2">
                  <c:v>2022</c:v>
                </c:pt>
                <c:pt idx="3">
                  <c:v>2023</c:v>
                </c:pt>
                <c:pt idx="4">
                  <c:v>2024</c:v>
                </c:pt>
                <c:pt idx="5">
                  <c:v>2025</c:v>
                </c:pt>
              </c:strCache>
            </c:strRef>
          </c:cat>
          <c:val>
            <c:numRef>
              <c:f>Dashboard_Backend!$B$13:$B$19</c:f>
              <c:numCache>
                <c:formatCode>_-[$Rp-3809]* #,##0_-;\-[$Rp-3809]* #,##0_-;_-[$Rp-3809]* "-"??_-;_-@_-</c:formatCode>
                <c:ptCount val="6"/>
                <c:pt idx="0">
                  <c:v>44150</c:v>
                </c:pt>
                <c:pt idx="1">
                  <c:v>34283.333333333336</c:v>
                </c:pt>
                <c:pt idx="2">
                  <c:v>45006.112852664577</c:v>
                </c:pt>
                <c:pt idx="3">
                  <c:v>38956.231003039517</c:v>
                </c:pt>
                <c:pt idx="4">
                  <c:v>43070.845070422532</c:v>
                </c:pt>
                <c:pt idx="5">
                  <c:v>50497.058823529413</c:v>
                </c:pt>
              </c:numCache>
            </c:numRef>
          </c:val>
          <c:smooth val="0"/>
          <c:extLst>
            <c:ext xmlns:c16="http://schemas.microsoft.com/office/drawing/2014/chart" uri="{C3380CC4-5D6E-409C-BE32-E72D297353CC}">
              <c16:uniqueId val="{00000000-E60B-4293-8589-64A16CC215A9}"/>
            </c:ext>
          </c:extLst>
        </c:ser>
        <c:dLbls>
          <c:showLegendKey val="0"/>
          <c:showVal val="0"/>
          <c:showCatName val="0"/>
          <c:showSerName val="0"/>
          <c:showPercent val="0"/>
          <c:showBubbleSize val="0"/>
        </c:dLbls>
        <c:marker val="1"/>
        <c:smooth val="0"/>
        <c:axId val="1146980832"/>
        <c:axId val="1146981312"/>
      </c:lineChart>
      <c:catAx>
        <c:axId val="11469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1312"/>
        <c:crosses val="autoZero"/>
        <c:auto val="1"/>
        <c:lblAlgn val="ctr"/>
        <c:lblOffset val="100"/>
        <c:noMultiLvlLbl val="0"/>
      </c:catAx>
      <c:valAx>
        <c:axId val="1146981312"/>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[Shallot Volatility Dashboard.xlsx]Dashboard_Backend!PivotTable2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Dashboard_Backend!$B$7</c:f>
              <c:strCache>
                <c:ptCount val="1"/>
                <c:pt idx="0">
                  <c:v>Total</c:v>
                </c:pt>
              </c:strCache>
            </c:strRef>
          </c:tx>
          <c:spPr>
            <a:solidFill>
              <a:schemeClr val="accent1"/>
            </a:solidFill>
            <a:ln>
              <a:noFill/>
            </a:ln>
            <a:effectLst/>
          </c:spPr>
          <c:invertIfNegative val="0"/>
          <c:cat>
            <c:strRef>
              <c:f>Dashboard_Backend!$A$8:$A$10</c:f>
              <c:strCache>
                <c:ptCount val="2"/>
                <c:pt idx="0">
                  <c:v>Dry</c:v>
                </c:pt>
                <c:pt idx="1">
                  <c:v>Wet</c:v>
                </c:pt>
              </c:strCache>
            </c:strRef>
          </c:cat>
          <c:val>
            <c:numRef>
              <c:f>Dashboard_Backend!$B$8:$B$10</c:f>
              <c:numCache>
                <c:formatCode>_-[$Rp-3809]* #,##0.00_-;\-[$Rp-3809]* #,##0.00_-;_-[$Rp-3809]* "-"??_-;_-@_-</c:formatCode>
                <c:ptCount val="2"/>
                <c:pt idx="0">
                  <c:v>44680.147058823532</c:v>
                </c:pt>
                <c:pt idx="1">
                  <c:v>40066.502192982458</c:v>
                </c:pt>
              </c:numCache>
            </c:numRef>
          </c:val>
          <c:extLst>
            <c:ext xmlns:c16="http://schemas.microsoft.com/office/drawing/2014/chart" uri="{C3380CC4-5D6E-409C-BE32-E72D297353CC}">
              <c16:uniqueId val="{00000000-3CAF-4FF1-8DFB-BCCBCC002F84}"/>
            </c:ext>
          </c:extLst>
        </c:ser>
        <c:dLbls>
          <c:showLegendKey val="0"/>
          <c:showVal val="0"/>
          <c:showCatName val="0"/>
          <c:showSerName val="0"/>
          <c:showPercent val="0"/>
          <c:showBubbleSize val="0"/>
        </c:dLbls>
        <c:gapWidth val="182"/>
        <c:axId val="1146972192"/>
        <c:axId val="1146983712"/>
      </c:barChart>
      <c:catAx>
        <c:axId val="114697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3712"/>
        <c:crosses val="autoZero"/>
        <c:auto val="1"/>
        <c:lblAlgn val="ctr"/>
        <c:lblOffset val="100"/>
        <c:noMultiLvlLbl val="0"/>
      </c:catAx>
      <c:valAx>
        <c:axId val="1146983712"/>
        <c:scaling>
          <c:orientation val="minMax"/>
          <c:max val="45000"/>
          <c:min val="30000"/>
        </c:scaling>
        <c:delete val="0"/>
        <c:axPos val="b"/>
        <c:majorGridlines>
          <c:spPr>
            <a:ln w="9525" cap="flat" cmpd="sng" algn="ctr">
              <a:solidFill>
                <a:schemeClr val="tx1">
                  <a:lumMod val="15000"/>
                  <a:lumOff val="85000"/>
                </a:schemeClr>
              </a:solidFill>
              <a:round/>
            </a:ln>
            <a:effectLst/>
          </c:spPr>
        </c:majorGridlines>
        <c:numFmt formatCode="_-[$Rp-3809]* #,##0.00_-;\-[$Rp-3809]* #,##0.0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2192"/>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242049</xdr:colOff>
      <xdr:row>12</xdr:row>
      <xdr:rowOff>17931</xdr:rowOff>
    </xdr:from>
    <xdr:to>
      <xdr:col>9</xdr:col>
      <xdr:colOff>385483</xdr:colOff>
      <xdr:row>31</xdr:row>
      <xdr:rowOff>17930</xdr:rowOff>
    </xdr:to>
    <xdr:graphicFrame macro="">
      <xdr:nvGraphicFramePr>
        <xdr:cNvPr id="2" name="Chart 1">
          <a:extLst>
            <a:ext uri="{FF2B5EF4-FFF2-40B4-BE49-F238E27FC236}">
              <a16:creationId xmlns:a16="http://schemas.microsoft.com/office/drawing/2014/main" id="{02AD5074-9121-45C0-A216-C1CE77319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573742</xdr:colOff>
      <xdr:row>9</xdr:row>
      <xdr:rowOff>49753</xdr:rowOff>
    </xdr:from>
    <xdr:to>
      <xdr:col>18</xdr:col>
      <xdr:colOff>277907</xdr:colOff>
      <xdr:row>29</xdr:row>
      <xdr:rowOff>143435</xdr:rowOff>
    </xdr:to>
    <xdr:graphicFrame macro="">
      <xdr:nvGraphicFramePr>
        <xdr:cNvPr id="3" name="Chart 2">
          <a:extLst>
            <a:ext uri="{FF2B5EF4-FFF2-40B4-BE49-F238E27FC236}">
              <a16:creationId xmlns:a16="http://schemas.microsoft.com/office/drawing/2014/main" id="{111015D6-3D33-4E29-9E11-BCAC8FD5D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439270</xdr:colOff>
      <xdr:row>7</xdr:row>
      <xdr:rowOff>71717</xdr:rowOff>
    </xdr:from>
    <xdr:to>
      <xdr:col>26</xdr:col>
      <xdr:colOff>168984</xdr:colOff>
      <xdr:row>29</xdr:row>
      <xdr:rowOff>170329</xdr:rowOff>
    </xdr:to>
    <xdr:graphicFrame macro="">
      <xdr:nvGraphicFramePr>
        <xdr:cNvPr id="4" name="Chart 3">
          <a:extLst>
            <a:ext uri="{FF2B5EF4-FFF2-40B4-BE49-F238E27FC236}">
              <a16:creationId xmlns:a16="http://schemas.microsoft.com/office/drawing/2014/main" id="{89790503-BEB8-406E-AB14-D0C63A0D1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274318</xdr:colOff>
      <xdr:row>7</xdr:row>
      <xdr:rowOff>55583</xdr:rowOff>
    </xdr:from>
    <xdr:to>
      <xdr:col>6</xdr:col>
      <xdr:colOff>215151</xdr:colOff>
      <xdr:row>10</xdr:row>
      <xdr:rowOff>170331</xdr:rowOff>
    </xdr:to>
    <xdr:sp macro="" textlink="$F$4">
      <xdr:nvSpPr>
        <xdr:cNvPr id="6" name="Rectangle: Rounded Corners 5">
          <a:extLst>
            <a:ext uri="{FF2B5EF4-FFF2-40B4-BE49-F238E27FC236}">
              <a16:creationId xmlns:a16="http://schemas.microsoft.com/office/drawing/2014/main" id="{49AE8E86-F327-7541-63A8-D27FD0DD4671}"/>
            </a:ext>
          </a:extLst>
        </xdr:cNvPr>
        <xdr:cNvSpPr/>
      </xdr:nvSpPr>
      <xdr:spPr>
        <a:xfrm>
          <a:off x="2103118" y="1310642"/>
          <a:ext cx="2020645" cy="6526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100" b="1" i="0" u="none" strike="noStrike">
              <a:solidFill>
                <a:schemeClr val="lt1"/>
              </a:solidFill>
              <a:effectLst/>
              <a:latin typeface="+mn-lt"/>
              <a:ea typeface="+mn-ea"/>
              <a:cs typeface="+mn-cs"/>
            </a:rPr>
            <a:t>Highest Daily Price Drop</a:t>
          </a:r>
          <a:r>
            <a:rPr lang="en-ID">
              <a:effectLst/>
            </a:rPr>
            <a:t> </a:t>
          </a:r>
          <a:endParaRPr lang="en-US" sz="1100" b="0" i="0" u="none" strike="noStrike">
            <a:solidFill>
              <a:schemeClr val="bg1"/>
            </a:solidFill>
            <a:latin typeface="+mj-lt"/>
          </a:endParaRPr>
        </a:p>
        <a:p>
          <a:pPr algn="ctr"/>
          <a:endParaRPr lang="en-US" sz="1100" b="0" i="0" u="none" strike="noStrike">
            <a:solidFill>
              <a:schemeClr val="bg1"/>
            </a:solidFill>
            <a:latin typeface="+mj-lt"/>
          </a:endParaRPr>
        </a:p>
        <a:p>
          <a:pPr algn="ctr"/>
          <a:fld id="{F6236959-82D4-4E5C-AD0C-F5183EE2BF09}" type="TxLink">
            <a:rPr lang="en-US" sz="1100" b="0" i="0" u="none" strike="noStrike">
              <a:solidFill>
                <a:schemeClr val="bg1"/>
              </a:solidFill>
              <a:latin typeface="+mj-lt"/>
            </a:rPr>
            <a:pPr algn="ctr"/>
            <a:t> Rp22,650 </a:t>
          </a:fld>
          <a:endParaRPr lang="en-ID" sz="1100">
            <a:solidFill>
              <a:schemeClr val="bg1"/>
            </a:solidFill>
            <a:latin typeface="+mj-lt"/>
          </a:endParaRPr>
        </a:p>
      </xdr:txBody>
    </xdr:sp>
    <xdr:clientData/>
  </xdr:twoCellAnchor>
  <xdr:twoCellAnchor>
    <xdr:from>
      <xdr:col>6</xdr:col>
      <xdr:colOff>313765</xdr:colOff>
      <xdr:row>7</xdr:row>
      <xdr:rowOff>62753</xdr:rowOff>
    </xdr:from>
    <xdr:to>
      <xdr:col>9</xdr:col>
      <xdr:colOff>331693</xdr:colOff>
      <xdr:row>10</xdr:row>
      <xdr:rowOff>170330</xdr:rowOff>
    </xdr:to>
    <xdr:sp macro="" textlink="$I$4">
      <xdr:nvSpPr>
        <xdr:cNvPr id="7" name="Rectangle: Rounded Corners 6">
          <a:extLst>
            <a:ext uri="{FF2B5EF4-FFF2-40B4-BE49-F238E27FC236}">
              <a16:creationId xmlns:a16="http://schemas.microsoft.com/office/drawing/2014/main" id="{AB433B90-182B-4ADC-8E4A-61D70A4F0EA2}"/>
            </a:ext>
          </a:extLst>
        </xdr:cNvPr>
        <xdr:cNvSpPr/>
      </xdr:nvSpPr>
      <xdr:spPr>
        <a:xfrm>
          <a:off x="4222377" y="1317812"/>
          <a:ext cx="2026022" cy="6454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FFFFFF"/>
              </a:solidFill>
              <a:latin typeface="Trebuchet MS"/>
            </a:rPr>
            <a:t>Lowest</a:t>
          </a:r>
          <a:r>
            <a:rPr lang="en-US" sz="1100" b="1" i="0" u="none" strike="noStrike" baseline="0">
              <a:solidFill>
                <a:srgbClr val="FFFFFF"/>
              </a:solidFill>
              <a:latin typeface="Trebuchet MS"/>
            </a:rPr>
            <a:t> Daily Price Drop</a:t>
          </a:r>
          <a:endParaRPr lang="en-US" sz="1100" b="1" i="0" u="none" strike="noStrike">
            <a:solidFill>
              <a:srgbClr val="FFFFFF"/>
            </a:solidFill>
            <a:latin typeface="Trebuchet MS"/>
          </a:endParaRPr>
        </a:p>
        <a:p>
          <a:pPr algn="l"/>
          <a:endParaRPr lang="en-US" sz="1100" b="0" i="0" u="none" strike="noStrike">
            <a:solidFill>
              <a:srgbClr val="FFFFFF"/>
            </a:solidFill>
            <a:latin typeface="Trebuchet MS"/>
          </a:endParaRPr>
        </a:p>
        <a:p>
          <a:pPr algn="ctr"/>
          <a:fld id="{2A5F3D4C-D688-4F69-A58B-245933DC8171}" type="TxLink">
            <a:rPr lang="en-US" sz="1100" b="0" i="0" u="none" strike="noStrike">
              <a:solidFill>
                <a:srgbClr val="FFFFFF"/>
              </a:solidFill>
              <a:latin typeface="Trebuchet MS"/>
            </a:rPr>
            <a:pPr algn="ctr"/>
            <a:t>-Rp7,400 </a:t>
          </a:fld>
          <a:endParaRPr lang="en-ID" sz="1100"/>
        </a:p>
      </xdr:txBody>
    </xdr:sp>
    <xdr:clientData/>
  </xdr:twoCellAnchor>
  <xdr:twoCellAnchor editAs="oneCell">
    <xdr:from>
      <xdr:col>0</xdr:col>
      <xdr:colOff>53788</xdr:colOff>
      <xdr:row>15</xdr:row>
      <xdr:rowOff>18827</xdr:rowOff>
    </xdr:from>
    <xdr:to>
      <xdr:col>2</xdr:col>
      <xdr:colOff>537882</xdr:colOff>
      <xdr:row>20</xdr:row>
      <xdr:rowOff>87408</xdr:rowOff>
    </xdr:to>
    <mc:AlternateContent xmlns:mc="http://schemas.openxmlformats.org/markup-compatibility/2006">
      <mc:Choice xmlns:a14="http://schemas.microsoft.com/office/drawing/2010/main" Requires="a14">
        <xdr:graphicFrame macro="">
          <xdr:nvGraphicFramePr>
            <xdr:cNvPr id="8" name="Season 1">
              <a:extLst>
                <a:ext uri="{FF2B5EF4-FFF2-40B4-BE49-F238E27FC236}">
                  <a16:creationId xmlns:a16="http://schemas.microsoft.com/office/drawing/2014/main" id="{2F7C0D20-DA86-42B3-86F0-84A13533B19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53788" y="2708239"/>
              <a:ext cx="1703294" cy="9650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35860</xdr:colOff>
      <xdr:row>21</xdr:row>
      <xdr:rowOff>12999</xdr:rowOff>
    </xdr:from>
    <xdr:to>
      <xdr:col>2</xdr:col>
      <xdr:colOff>528918</xdr:colOff>
      <xdr:row>32</xdr:row>
      <xdr:rowOff>71717</xdr:rowOff>
    </xdr:to>
    <mc:AlternateContent xmlns:mc="http://schemas.openxmlformats.org/markup-compatibility/2006">
      <mc:Choice xmlns:a14="http://schemas.microsoft.com/office/drawing/2010/main" Requires="a14">
        <xdr:graphicFrame macro="">
          <xdr:nvGraphicFramePr>
            <xdr:cNvPr id="9" name="Years  1">
              <a:extLst>
                <a:ext uri="{FF2B5EF4-FFF2-40B4-BE49-F238E27FC236}">
                  <a16:creationId xmlns:a16="http://schemas.microsoft.com/office/drawing/2014/main" id="{17D126AA-3FE3-4689-94C1-419F465792D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35860" y="3778175"/>
              <a:ext cx="1712258" cy="20309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71716</xdr:colOff>
      <xdr:row>7</xdr:row>
      <xdr:rowOff>70373</xdr:rowOff>
    </xdr:from>
    <xdr:to>
      <xdr:col>2</xdr:col>
      <xdr:colOff>519951</xdr:colOff>
      <xdr:row>14</xdr:row>
      <xdr:rowOff>70373</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F721E470-A569-4E02-A149-B941D96930A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1716" y="1325432"/>
              <a:ext cx="1667435" cy="1255059"/>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0</xdr:col>
      <xdr:colOff>0</xdr:colOff>
      <xdr:row>0</xdr:row>
      <xdr:rowOff>0</xdr:rowOff>
    </xdr:from>
    <xdr:to>
      <xdr:col>27</xdr:col>
      <xdr:colOff>0</xdr:colOff>
      <xdr:row>5</xdr:row>
      <xdr:rowOff>179293</xdr:rowOff>
    </xdr:to>
    <xdr:sp macro="" textlink="">
      <xdr:nvSpPr>
        <xdr:cNvPr id="11" name="Rectangle 10">
          <a:extLst>
            <a:ext uri="{FF2B5EF4-FFF2-40B4-BE49-F238E27FC236}">
              <a16:creationId xmlns:a16="http://schemas.microsoft.com/office/drawing/2014/main" id="{D6747429-D547-194B-BEBC-AC1638E0A12B}"/>
            </a:ext>
          </a:extLst>
        </xdr:cNvPr>
        <xdr:cNvSpPr/>
      </xdr:nvSpPr>
      <xdr:spPr>
        <a:xfrm>
          <a:off x="0" y="0"/>
          <a:ext cx="16889506" cy="10757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2400" b="1"/>
            <a:t>		</a:t>
          </a:r>
          <a:r>
            <a:rPr lang="en-ID" sz="3200" b="1"/>
            <a:t>SHALLOT MARKET ANALYSIS</a:t>
          </a:r>
          <a:endParaRPr lang="en-ID" sz="2400" b="1"/>
        </a:p>
      </xdr:txBody>
    </xdr:sp>
    <xdr:clientData/>
  </xdr:twoCellAnchor>
  <xdr:twoCellAnchor editAs="oneCell">
    <xdr:from>
      <xdr:col>0</xdr:col>
      <xdr:colOff>71717</xdr:colOff>
      <xdr:row>0</xdr:row>
      <xdr:rowOff>0</xdr:rowOff>
    </xdr:from>
    <xdr:to>
      <xdr:col>2</xdr:col>
      <xdr:colOff>557610</xdr:colOff>
      <xdr:row>5</xdr:row>
      <xdr:rowOff>170329</xdr:rowOff>
    </xdr:to>
    <xdr:pic>
      <xdr:nvPicPr>
        <xdr:cNvPr id="13" name="Picture 12">
          <a:extLst>
            <a:ext uri="{FF2B5EF4-FFF2-40B4-BE49-F238E27FC236}">
              <a16:creationId xmlns:a16="http://schemas.microsoft.com/office/drawing/2014/main" id="{F18DCE32-7E65-3857-C1F4-B2ABB44F4B6C}"/>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4494" t="27669" r="13600" b="27342"/>
        <a:stretch>
          <a:fillRect/>
        </a:stretch>
      </xdr:blipFill>
      <xdr:spPr>
        <a:xfrm>
          <a:off x="71717" y="0"/>
          <a:ext cx="1705093" cy="1066800"/>
        </a:xfrm>
        <a:prstGeom prst="rect">
          <a:avLst/>
        </a:prstGeom>
      </xdr:spPr>
    </xdr:pic>
    <xdr:clientData/>
  </xdr:twoCellAnchor>
  <xdr:twoCellAnchor editAs="oneCell">
    <xdr:from>
      <xdr:col>24</xdr:col>
      <xdr:colOff>526517</xdr:colOff>
      <xdr:row>0</xdr:row>
      <xdr:rowOff>0</xdr:rowOff>
    </xdr:from>
    <xdr:to>
      <xdr:col>26</xdr:col>
      <xdr:colOff>358588</xdr:colOff>
      <xdr:row>5</xdr:row>
      <xdr:rowOff>154800</xdr:rowOff>
    </xdr:to>
    <xdr:pic>
      <xdr:nvPicPr>
        <xdr:cNvPr id="15" name="Picture 14">
          <a:extLst>
            <a:ext uri="{FF2B5EF4-FFF2-40B4-BE49-F238E27FC236}">
              <a16:creationId xmlns:a16="http://schemas.microsoft.com/office/drawing/2014/main" id="{1F35281C-F14E-70F5-ECB7-9232FEB5C28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587223" y="0"/>
          <a:ext cx="1051271" cy="10512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541020</xdr:colOff>
      <xdr:row>2</xdr:row>
      <xdr:rowOff>26670</xdr:rowOff>
    </xdr:from>
    <xdr:to>
      <xdr:col>9</xdr:col>
      <xdr:colOff>411480</xdr:colOff>
      <xdr:row>11</xdr:row>
      <xdr:rowOff>99060</xdr:rowOff>
    </xdr:to>
    <xdr:graphicFrame macro="">
      <xdr:nvGraphicFramePr>
        <xdr:cNvPr id="4" name="Chart 3">
          <a:extLst>
            <a:ext uri="{FF2B5EF4-FFF2-40B4-BE49-F238E27FC236}">
              <a16:creationId xmlns:a16="http://schemas.microsoft.com/office/drawing/2014/main" id="{ECEBE1E2-CB95-E6D6-587E-4CDEDDC0A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350520</xdr:colOff>
      <xdr:row>12</xdr:row>
      <xdr:rowOff>19050</xdr:rowOff>
    </xdr:from>
    <xdr:to>
      <xdr:col>9</xdr:col>
      <xdr:colOff>327660</xdr:colOff>
      <xdr:row>22</xdr:row>
      <xdr:rowOff>167640</xdr:rowOff>
    </xdr:to>
    <xdr:graphicFrame macro="">
      <xdr:nvGraphicFramePr>
        <xdr:cNvPr id="5" name="Chart 4">
          <a:extLst>
            <a:ext uri="{FF2B5EF4-FFF2-40B4-BE49-F238E27FC236}">
              <a16:creationId xmlns:a16="http://schemas.microsoft.com/office/drawing/2014/main" id="{A119A339-12F3-6A31-11E9-4BB4962D1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129540</xdr:colOff>
      <xdr:row>9</xdr:row>
      <xdr:rowOff>133350</xdr:rowOff>
    </xdr:from>
    <xdr:to>
      <xdr:col>15</xdr:col>
      <xdr:colOff>502920</xdr:colOff>
      <xdr:row>22</xdr:row>
      <xdr:rowOff>76200</xdr:rowOff>
    </xdr:to>
    <xdr:graphicFrame macro="">
      <xdr:nvGraphicFramePr>
        <xdr:cNvPr id="6" name="Chart 5">
          <a:extLst>
            <a:ext uri="{FF2B5EF4-FFF2-40B4-BE49-F238E27FC236}">
              <a16:creationId xmlns:a16="http://schemas.microsoft.com/office/drawing/2014/main" id="{7912DE3F-8429-927E-D95D-DEE2578CF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449580</xdr:colOff>
      <xdr:row>1</xdr:row>
      <xdr:rowOff>137161</xdr:rowOff>
    </xdr:from>
    <xdr:to>
      <xdr:col>18</xdr:col>
      <xdr:colOff>449580</xdr:colOff>
      <xdr:row>7</xdr:row>
      <xdr:rowOff>22861</xdr:rowOff>
    </xdr:to>
    <mc:AlternateContent xmlns:mc="http://schemas.openxmlformats.org/markup-compatibility/2006">
      <mc:Choice xmlns:a14="http://schemas.microsoft.com/office/drawing/2010/main" Requires="a14">
        <xdr:graphicFrame macro="">
          <xdr:nvGraphicFramePr>
            <xdr:cNvPr id="8" name="Season">
              <a:extLst>
                <a:ext uri="{FF2B5EF4-FFF2-40B4-BE49-F238E27FC236}">
                  <a16:creationId xmlns:a16="http://schemas.microsoft.com/office/drawing/2014/main" id="{EAE445DE-1848-170D-F9F5-7A9AFBD64B6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612880" y="320041"/>
              <a:ext cx="1828800" cy="9829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259080</xdr:colOff>
      <xdr:row>9</xdr:row>
      <xdr:rowOff>144780</xdr:rowOff>
    </xdr:from>
    <xdr:to>
      <xdr:col>19</xdr:col>
      <xdr:colOff>259080</xdr:colOff>
      <xdr:row>21</xdr:row>
      <xdr:rowOff>0</xdr:rowOff>
    </xdr:to>
    <mc:AlternateContent xmlns:mc="http://schemas.openxmlformats.org/markup-compatibility/2006">
      <mc:Choice xmlns:a14="http://schemas.microsoft.com/office/drawing/2010/main" Requires="a14">
        <xdr:graphicFrame macro="">
          <xdr:nvGraphicFramePr>
            <xdr:cNvPr id="9" name="Years ">
              <a:extLst>
                <a:ext uri="{FF2B5EF4-FFF2-40B4-BE49-F238E27FC236}">
                  <a16:creationId xmlns:a16="http://schemas.microsoft.com/office/drawing/2014/main" id="{1E74E397-1C49-9384-8F6C-860B697C7A70}"/>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dr:sp macro="" textlink="">
          <xdr:nvSpPr>
            <xdr:cNvPr id="0" name=""/>
            <xdr:cNvSpPr>
              <a:spLocks noTextEdit="1"/>
            </xdr:cNvSpPr>
          </xdr:nvSpPr>
          <xdr:spPr>
            <a:xfrm>
              <a:off x="12031980" y="1790700"/>
              <a:ext cx="1828800" cy="20497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441960</xdr:colOff>
      <xdr:row>1</xdr:row>
      <xdr:rowOff>53340</xdr:rowOff>
    </xdr:from>
    <xdr:to>
      <xdr:col>15</xdr:col>
      <xdr:colOff>243840</xdr:colOff>
      <xdr:row>8</xdr:row>
      <xdr:rowOff>83820</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9560A0FE-13F8-03FF-1C2D-2EEE789784C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557260" y="236220"/>
              <a:ext cx="2849880" cy="131064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tadoo@gmail.com" refreshedDate="46232.569908217592" backgroundQuery="1" createdVersion="8" refreshedVersion="8" minRefreshableVersion="3" recordCount="1864" xr:uid="{925A47DF-0FCE-4DF8-AE3D-03AFE637D9B6}">
  <cacheSource type="external" connectionId="3"/>
  <cacheFields count="6">
    <cacheField name="Date" numFmtId="0">
      <sharedItems containsSemiMixedTypes="0" containsNonDate="0" containsDate="1" containsString="0" minDate="2020-01-02T00:00:00" maxDate="2025-09-21T00:00:00"/>
    </cacheField>
    <cacheField name="Year" numFmtId="0">
      <sharedItems containsSemiMixedTypes="0" containsString="0" containsNumber="1" containsInteger="1" minValue="2020" maxValue="2025" count="6">
        <n v="2020"/>
        <n v="2021"/>
        <n v="2022"/>
        <n v="2023"/>
        <n v="2024"/>
        <n v="2025"/>
      </sharedItems>
    </cacheField>
    <cacheField name="Prices" numFmtId="0">
      <sharedItems containsSemiMixedTypes="0" containsString="0" containsNumber="1" containsInteger="1" minValue="27150" maxValue="80000"/>
    </cacheField>
    <cacheField name="Daily_Delta" numFmtId="0">
      <sharedItems containsString="0" containsBlank="1" containsNumber="1" containsInteger="1" minValue="-7400" maxValue="22650"/>
    </cacheField>
    <cacheField name="Season" numFmtId="0">
      <sharedItems count="2">
        <s v="Wet"/>
        <s v="Dry"/>
      </sharedItems>
    </cacheField>
    <cacheField name="Rainfall_Category" numFmtId="0">
      <sharedItems count="2">
        <s v="High Rainfall"/>
        <s v="Low Rainfal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tadoo@gmail.com" refreshedDate="46232.576744907405" createdVersion="8" refreshedVersion="8" minRefreshableVersion="3" recordCount="1864" xr:uid="{5CB05916-121F-41EB-9CF4-1CBFE6E63E08}">
  <cacheSource type="worksheet">
    <worksheetSource name="project_1_bamer2"/>
  </cacheSource>
  <cacheFields count="25">
    <cacheField name="Date" numFmtId="14">
      <sharedItems containsSemiMixedTypes="0" containsNonDate="0" containsDate="1" containsString="0" minDate="2020-01-02T00:00:00" maxDate="2025-09-21T00:00:00" count="1864">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20T00:00:00"/>
        <d v="2020-01-21T00:00:00"/>
        <d v="2020-01-22T00:00:00"/>
        <d v="2020-01-23T00:00:00"/>
        <d v="2020-01-24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7T00:00:00"/>
        <d v="2020-02-18T00:00:00"/>
        <d v="2020-02-19T00:00:00"/>
        <d v="2020-02-20T00:00:00"/>
        <d v="2020-02-21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4T00:00:00"/>
        <d v="2020-05-05T00:00:00"/>
        <d v="2020-05-06T00:00:00"/>
        <d v="2020-05-08T00:00:00"/>
        <d v="2020-05-09T00:00:00"/>
        <d v="2020-05-10T00:00:00"/>
        <d v="2020-05-11T00:00:00"/>
        <d v="2020-05-12T00:00:00"/>
        <d v="2020-05-13T00:00:00"/>
        <d v="2020-05-14T00:00:00"/>
        <d v="2020-05-15T00:00:00"/>
        <d v="2020-05-18T00:00:00"/>
        <d v="2020-05-19T00:00:00"/>
        <d v="2020-05-20T00:00:00"/>
        <d v="2020-05-26T00:00:00"/>
        <d v="2020-05-27T00:00:00"/>
        <d v="2020-05-28T00:00:00"/>
        <d v="2020-05-29T00:00:00"/>
        <d v="2020-05-30T00:00:00"/>
        <d v="2020-05-3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8-03T00:00:00"/>
        <d v="2020-08-04T00:00:00"/>
        <d v="2020-08-05T00:00:00"/>
        <d v="2020-08-06T00:00:00"/>
        <d v="2020-08-07T00:00:00"/>
        <d v="2020-08-08T00:00:00"/>
        <d v="2020-08-09T00:00:00"/>
        <d v="2020-08-10T00:00:00"/>
        <d v="2020-08-11T00:00:00"/>
        <d v="2020-08-12T00:00:00"/>
        <d v="2020-08-13T00:00:00"/>
        <d v="2020-08-14T00:00:00"/>
        <d v="2020-08-18T00:00:00"/>
        <d v="2020-08-19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9T00:00:00"/>
        <d v="2020-10-20T00:00:00"/>
        <d v="2020-10-21T00:00:00"/>
        <d v="2020-10-22T00:00:00"/>
        <d v="2020-10-23T00:00:00"/>
        <d v="2020-10-26T00:00:00"/>
        <d v="2020-10-27T00:00:00"/>
        <d v="2020-11-02T00:00:00"/>
        <d v="2020-11-03T00:00:00"/>
        <d v="2020-11-04T00:00:00"/>
        <d v="2020-11-05T00:00:00"/>
        <d v="2020-11-06T00:00:00"/>
        <d v="2020-11-07T00:00:00"/>
        <d v="2020-11-08T00:00:00"/>
        <d v="2020-11-09T00:00:00"/>
        <d v="2020-11-10T00:00:00"/>
        <d v="2020-11-11T00:00:00"/>
        <d v="2020-11-12T00:00:00"/>
        <d v="2020-11-13T00:00:00"/>
        <d v="2020-11-14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10T00:00:00"/>
        <d v="2020-12-11T00:00:00"/>
        <d v="2020-12-12T00:00:00"/>
        <d v="2020-12-13T00:00:00"/>
        <d v="2020-12-14T00:00:00"/>
        <d v="2020-12-15T00:00:00"/>
        <d v="2020-12-16T00:00:00"/>
        <d v="2020-12-17T00:00:00"/>
        <d v="2020-12-18T00:00:00"/>
        <d v="2020-12-21T00:00:00"/>
        <d v="2020-12-22T00:00:00"/>
        <d v="2020-12-23T00:00:00"/>
        <d v="2020-12-28T00:00:00"/>
        <d v="2020-12-29T00:00:00"/>
        <d v="2020-12-30T00:00:00"/>
        <d v="2021-01-04T00:00:00"/>
        <d v="2021-01-05T00:00:00"/>
        <d v="2021-01-06T00:00:00"/>
        <d v="2021-01-07T00:00:00"/>
        <d v="2021-01-08T00:00:00"/>
        <d v="2021-01-09T00:00:00"/>
        <d v="2021-01-10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2-01T00:00:00"/>
        <d v="2021-02-02T00:00:00"/>
        <d v="2021-02-03T00:00:00"/>
        <d v="2021-02-04T00:00:00"/>
        <d v="2021-02-05T00:00:00"/>
        <d v="2021-02-06T00:00:00"/>
        <d v="2021-02-07T00:00:00"/>
        <d v="2021-02-08T00:00:00"/>
        <d v="2021-02-09T00:00:00"/>
        <d v="2021-02-10T00:00:00"/>
        <d v="2021-02-11T00:00:00"/>
        <d v="2021-02-15T00:00:00"/>
        <d v="2021-02-16T00:00:00"/>
        <d v="2021-02-17T00:00:00"/>
        <d v="2021-02-18T00:00:00"/>
        <d v="2021-02-19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2T00:00:00"/>
        <d v="2021-03-13T00:00:00"/>
        <d v="2021-03-14T00:00:00"/>
        <d v="2021-03-15T00:00:00"/>
        <d v="2021-03-16T00:00:00"/>
        <d v="2021-03-17T00:00:00"/>
        <d v="2021-03-18T00:00:00"/>
        <d v="2021-03-19T00:00:00"/>
        <d v="2021-03-22T00:00:00"/>
        <d v="2021-03-23T00:00:00"/>
        <d v="2021-03-24T00:00:00"/>
        <d v="2021-03-25T00:00:00"/>
        <d v="2021-03-26T00:00:00"/>
        <d v="2021-03-27T00:00:00"/>
        <d v="2021-03-28T00:00:00"/>
        <d v="2021-03-29T00:00:00"/>
        <d v="2021-03-30T00:00:00"/>
        <d v="2021-03-31T00:00:00"/>
        <d v="2021-04-01T00:00:00"/>
        <d v="2021-04-05T00:00:00"/>
        <d v="2021-04-06T00:00:00"/>
        <d v="2021-04-07T00:00:00"/>
        <d v="2021-04-08T00:00:00"/>
        <d v="2021-04-09T00:00:00"/>
        <d v="2021-04-10T00:00:00"/>
        <d v="2021-04-11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7T00:00:00"/>
        <d v="2021-05-18T00:00:00"/>
        <d v="2021-05-19T00:00:00"/>
        <d v="2021-05-20T00:00:00"/>
        <d v="2021-05-21T00:00:00"/>
        <d v="2021-05-22T00:00:00"/>
        <d v="2021-05-24T00:00:00"/>
        <d v="2021-05-25T00:00:00"/>
        <d v="2021-05-27T00:00:00"/>
        <d v="2021-05-28T00:00:00"/>
        <d v="2021-05-29T00:00:00"/>
        <d v="2021-05-30T00:00:00"/>
        <d v="2021-05-3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9T00:00:00"/>
        <d v="2021-07-21T00:00:00"/>
        <d v="2021-07-22T00:00:00"/>
        <d v="2021-07-23T00:00:00"/>
        <d v="2021-07-24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2T00:00:00"/>
        <d v="2021-08-13T00:00:00"/>
        <d v="2021-08-14T00:00:00"/>
        <d v="2021-08-16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1T00:00:00"/>
        <d v="2021-10-22T00:00:00"/>
        <d v="2021-10-25T00:00:00"/>
        <d v="2021-10-26T00:00:00"/>
        <d v="2021-10-27T00:00:00"/>
        <d v="2021-10-28T00:00:00"/>
        <d v="2021-10-29T00:00:00"/>
        <d v="2021-10-30T00:00:00"/>
        <d v="2021-10-31T00:00:00"/>
        <d v="2021-11-01T00:00:00"/>
        <d v="2021-11-02T00:00:00"/>
        <d v="2021-11-03T00:00:00"/>
        <d v="2021-11-04T00:00:00"/>
        <d v="2021-11-05T00:00:00"/>
        <d v="2021-11-08T00:00:00"/>
        <d v="2021-11-09T00:00:00"/>
        <d v="2021-11-10T00:00:00"/>
        <d v="2021-11-11T00:00:00"/>
        <d v="2021-11-12T00:00:00"/>
        <d v="2021-11-13T00:00:00"/>
        <d v="2021-11-14T00:00:00"/>
        <d v="2021-11-15T00:00:00"/>
        <d v="2021-11-16T00:00:00"/>
        <d v="2021-11-17T00:00:00"/>
        <d v="2021-11-18T00:00:00"/>
        <d v="2021-11-19T00:00:00"/>
        <d v="2021-11-22T00:00:00"/>
        <d v="2021-11-23T00:00:00"/>
        <d v="2021-11-24T00:00:00"/>
        <d v="2021-11-25T00:00:00"/>
        <d v="2021-11-26T00:00:00"/>
        <d v="2021-11-27T00:00:00"/>
        <d v="2021-11-28T00:00:00"/>
        <d v="2021-11-29T00:00:00"/>
        <d v="2021-11-30T00:00:00"/>
        <d v="2021-12-01T00:00:00"/>
        <d v="2021-12-02T00:00:00"/>
        <d v="2021-12-03T00:00:00"/>
        <d v="2021-12-06T00:00:00"/>
        <d v="2021-12-07T00:00:00"/>
        <d v="2021-12-08T00:00:00"/>
        <d v="2021-12-09T00:00:00"/>
        <d v="2021-12-10T00:00:00"/>
        <d v="2021-12-11T00:00:00"/>
        <d v="2021-12-12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7T00:00:00"/>
        <d v="2022-01-18T00:00:00"/>
        <d v="2022-01-19T00:00:00"/>
        <d v="2022-01-20T00:00:00"/>
        <d v="2022-01-21T00:00:00"/>
        <d v="2022-01-22T00:00:00"/>
        <d v="2022-01-24T00:00:00"/>
        <d v="2022-01-25T00:00:00"/>
        <d v="2022-01-26T00:00:00"/>
        <d v="2022-01-27T00:00:00"/>
        <d v="2022-01-28T00:00:00"/>
        <d v="2022-01-29T00:00:00"/>
        <d v="2022-01-30T00:00:00"/>
        <d v="2022-01-3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21T00:00:00"/>
        <d v="2022-02-22T00:00:00"/>
        <d v="2022-02-23T00:00:00"/>
        <d v="2022-02-24T00:00:00"/>
        <d v="2022-02-25T00:00:00"/>
        <d v="2022-02-26T00:00:00"/>
        <d v="2022-02-27T00:00:00"/>
        <d v="2022-02-28T00:00:00"/>
        <d v="2022-03-01T00:00:00"/>
        <d v="2022-03-02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8T00:00:00"/>
        <d v="2022-04-19T00:00:00"/>
        <d v="2022-04-20T00:00:00"/>
        <d v="2022-04-21T00:00:00"/>
        <d v="2022-04-22T00:00:00"/>
        <d v="2022-04-25T00:00:00"/>
        <d v="2022-04-26T00:00:00"/>
        <d v="2022-04-27T00:00:00"/>
        <d v="2022-04-28T00:00:00"/>
        <d v="2022-05-09T00:00:00"/>
        <d v="2022-05-10T00:00:00"/>
        <d v="2022-05-11T00:00:00"/>
        <d v="2022-05-12T00:00:00"/>
        <d v="2022-05-13T00:00:00"/>
        <d v="2022-05-14T00:00:00"/>
        <d v="2022-05-17T00:00:00"/>
        <d v="2022-05-18T00:00:00"/>
        <d v="2022-05-19T00:00:00"/>
        <d v="2022-05-20T00:00:00"/>
        <d v="2022-05-21T00:00:00"/>
        <d v="2022-05-22T00:00:00"/>
        <d v="2022-05-23T00:00:00"/>
        <d v="2022-05-24T00:00:00"/>
        <d v="2022-05-25T00:00:00"/>
        <d v="2022-05-27T00:00:00"/>
        <d v="2022-05-28T00:00:00"/>
        <d v="2022-05-29T00:00:00"/>
        <d v="2022-05-30T00:00:00"/>
        <d v="2022-05-3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20T00:00:00"/>
        <d v="2022-06-21T00:00:00"/>
        <d v="2022-06-22T00:00:00"/>
        <d v="2022-06-23T00:00:00"/>
        <d v="2022-06-24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8T00:00:00"/>
        <d v="2022-08-19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7T00:00:00"/>
        <d v="2022-10-18T00:00:00"/>
        <d v="2022-10-19T00:00:00"/>
        <d v="2022-10-20T00:00:00"/>
        <d v="2022-10-21T00:00:00"/>
        <d v="2022-10-22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20T00:00:00"/>
        <d v="2023-02-21T00:00:00"/>
        <d v="2023-02-22T00:00:00"/>
        <d v="2023-02-23T00:00:00"/>
        <d v="2023-02-24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20T00:00:00"/>
        <d v="2023-03-21T00:00:00"/>
        <d v="2023-03-22T00:00:00"/>
        <d v="2023-03-23T00:00:00"/>
        <d v="2023-03-24T00:00:00"/>
        <d v="2023-03-27T00:00:00"/>
        <d v="2023-03-28T00:00:00"/>
        <d v="2023-03-29T00:00:00"/>
        <d v="2023-03-30T00:00:00"/>
        <d v="2023-03-31T00:00:00"/>
        <d v="2023-04-01T00:00:00"/>
        <d v="2023-04-02T00:00:00"/>
        <d v="2023-04-03T00:00:00"/>
        <d v="2023-04-04T00:00:00"/>
        <d v="2023-04-05T00:00:00"/>
        <d v="2023-04-06T00:00:00"/>
        <d v="2023-04-10T00:00:00"/>
        <d v="2023-04-11T00:00:00"/>
        <d v="2023-04-12T00:00:00"/>
        <d v="2023-04-13T00:00:00"/>
        <d v="2023-04-14T00:00:00"/>
        <d v="2023-04-15T00:00:00"/>
        <d v="2023-04-17T00:00:00"/>
        <d v="2023-04-18T00:00:00"/>
        <d v="2023-04-19T00:00:00"/>
        <d v="2023-04-20T00:00:00"/>
        <d v="2023-04-21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2T00:00:00"/>
        <d v="2023-06-13T00:00:00"/>
        <d v="2023-06-14T00:00:00"/>
        <d v="2023-06-15T00:00:00"/>
        <d v="2023-06-16T00:00:00"/>
        <d v="2023-06-17T00:00:00"/>
        <d v="2023-06-19T00:00:00"/>
        <d v="2023-06-20T00:00:00"/>
        <d v="2023-06-21T00:00:00"/>
        <d v="2023-06-22T00:00:00"/>
        <d v="2023-06-23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7T00:00:00"/>
        <d v="2023-08-08T00:00:00"/>
        <d v="2023-08-09T00:00:00"/>
        <d v="2023-08-10T00:00:00"/>
        <d v="2023-08-11T00:00:00"/>
        <d v="2023-08-12T00:00:00"/>
        <d v="2023-08-13T00:00:00"/>
        <d v="2023-08-14T00:00:00"/>
        <d v="2023-08-15T00:00:00"/>
        <d v="2023-08-16T00:00:00"/>
        <d v="2023-08-17T00:00:00"/>
        <d v="2023-08-18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9T00:00:00"/>
        <d v="2025-05-20T00:00:00"/>
        <d v="2025-05-21T00:00:00"/>
        <d v="2025-05-22T00:00:00"/>
        <d v="2025-05-23T00:00:00"/>
        <d v="2025-05-24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sharedItems>
      <fieldGroup par="24"/>
    </cacheField>
    <cacheField name="Prices" numFmtId="0">
      <sharedItems containsSemiMixedTypes="0" containsString="0" containsNumber="1" containsInteger="1" minValue="27150" maxValue="80000"/>
    </cacheField>
    <cacheField name="Day_count" numFmtId="0">
      <sharedItems containsSemiMixedTypes="0" containsString="0" containsNumber="1" containsInteger="1" minValue="1" maxValue="2089"/>
    </cacheField>
    <cacheField name="Month" numFmtId="0">
      <sharedItems containsSemiMixedTypes="0" containsString="0" containsNumber="1" containsInteger="1" minValue="1" maxValue="12"/>
    </cacheField>
    <cacheField name="Season" numFmtId="0">
      <sharedItems count="2">
        <s v="Wet"/>
        <s v="Dry"/>
      </sharedItems>
    </cacheField>
    <cacheField name="Weekday" numFmtId="0">
      <sharedItems containsSemiMixedTypes="0" containsString="0" containsNumber="1" containsInteger="1" minValue="0" maxValue="6"/>
    </cacheField>
    <cacheField name="Is_holiday" numFmtId="0">
      <sharedItems/>
    </cacheField>
    <cacheField name="Rolling_mean_7" numFmtId="0">
      <sharedItems containsString="0" containsBlank="1" containsNumber="1" minValue="28471.428571428572" maxValue="76000"/>
    </cacheField>
    <cacheField name="Rolling_mean_30" numFmtId="0">
      <sharedItems containsString="0" containsBlank="1" containsNumber="1" minValue="29931.666666666668" maxValue="66163.333333333328"/>
    </cacheField>
    <cacheField name="Lag_1" numFmtId="0">
      <sharedItems containsString="0" containsBlank="1" containsNumber="1" containsInteger="1" minValue="27150" maxValue="80000"/>
    </cacheField>
    <cacheField name="Lag_7" numFmtId="0">
      <sharedItems containsString="0" containsBlank="1" containsNumber="1" containsInteger="1" minValue="27150" maxValue="80000"/>
    </cacheField>
    <cacheField name="Lag_30" numFmtId="0">
      <sharedItems containsString="0" containsBlank="1" containsNumber="1" containsInteger="1" minValue="27150" maxValue="80000"/>
    </cacheField>
    <cacheField name="Daily_delta" numFmtId="0">
      <sharedItems containsString="0" containsBlank="1" containsNumber="1" containsInteger="1" minValue="-7400" maxValue="22650"/>
    </cacheField>
    <cacheField name="CPI" numFmtId="0">
      <sharedItems containsSemiMixedTypes="0" containsString="0" containsNumber="1" minValue="115.818" maxValue="133.48670000000001"/>
    </cacheField>
    <cacheField name="Total_inflation" numFmtId="0">
      <sharedItems containsSemiMixedTypes="0" containsString="0" containsNumber="1" minValue="-0.75841788300000001" maxValue="1.6496016010000001"/>
    </cacheField>
    <cacheField name="USD_IDR" numFmtId="0">
      <sharedItems containsSemiMixedTypes="0" containsString="0" containsNumber="1" minValue="0" maxValue="17051.900389999999"/>
    </cacheField>
    <cacheField name="Temperature" numFmtId="0">
      <sharedItems containsSemiMixedTypes="0" containsString="0" containsNumber="1" minValue="24.99" maxValue="29.01"/>
    </cacheField>
    <cacheField name="Rainfall" numFmtId="0">
      <sharedItems containsSemiMixedTypes="0" containsString="0" containsNumber="1" minValue="0" maxValue="75.510000000000005"/>
    </cacheField>
    <cacheField name="Humidity" numFmtId="0">
      <sharedItems containsSemiMixedTypes="0" containsString="0" containsNumber="1" minValue="65.17" maxValue="89.77"/>
    </cacheField>
    <cacheField name="Day_in_month" numFmtId="0">
      <sharedItems containsSemiMixedTypes="0" containsString="0" containsNumber="1" containsInteger="1" minValue="1" maxValue="31"/>
    </cacheField>
    <cacheField name="Diff_value" numFmtId="0">
      <sharedItems containsBlank="1"/>
    </cacheField>
    <cacheField name="Percentage" numFmtId="0">
      <sharedItems containsSemiMixedTypes="0" containsString="0" containsNumber="1" minValue="-11.71" maxValue="55.93"/>
    </cacheField>
    <cacheField name="Months (Date)" numFmtId="0" databaseField="0">
      <fieldGroup base="0">
        <rangePr groupBy="months" startDate="2020-01-02T00:00:00" endDate="2025-09-21T00:00:00"/>
        <groupItems count="14">
          <s v="&lt;02/01/2020"/>
          <s v="Jan"/>
          <s v="Feb"/>
          <s v="Mar"/>
          <s v="Apr"/>
          <s v="May"/>
          <s v="Jun"/>
          <s v="Jul"/>
          <s v="Aug"/>
          <s v="Sep"/>
          <s v="Oct"/>
          <s v="Nov"/>
          <s v="Dec"/>
          <s v="&gt;21/09/2025"/>
        </groupItems>
      </fieldGroup>
    </cacheField>
    <cacheField name="Quarters (Date)" numFmtId="0" databaseField="0">
      <fieldGroup base="0">
        <rangePr groupBy="quarters" startDate="2020-01-02T00:00:00" endDate="2025-09-21T00:00:00"/>
        <groupItems count="6">
          <s v="&lt;02/01/2020"/>
          <s v="Qtr1"/>
          <s v="Qtr2"/>
          <s v="Qtr3"/>
          <s v="Qtr4"/>
          <s v="&gt;21/09/2025"/>
        </groupItems>
      </fieldGroup>
    </cacheField>
    <cacheField name="Years (Date)" numFmtId="0" databaseField="0">
      <fieldGroup base="0">
        <rangePr groupBy="years" startDate="2020-01-02T00:00:00" endDate="2025-09-21T00:00:00"/>
        <groupItems count="8">
          <s v="&lt;02/01/2020"/>
          <s v="2020"/>
          <s v="2021"/>
          <s v="2022"/>
          <s v="2023"/>
          <s v="2024"/>
          <s v="2025"/>
          <s v="&gt;21/09/2025"/>
        </groupItems>
      </fieldGroup>
    </cacheField>
  </cacheFields>
  <extLst>
    <ext xmlns:x14="http://schemas.microsoft.com/office/spreadsheetml/2009/9/main" uri="{725AE2AE-9491-48be-B2B4-4EB974FC3084}">
      <x14:pivotCacheDefinition pivotCacheId="102188714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tadoo@gmail.com" refreshedDate="46232.629153472219" backgroundQuery="1" createdVersion="8" refreshedVersion="8" minRefreshableVersion="3" recordCount="0" supportSubquery="1" supportAdvancedDrill="1" xr:uid="{FB856D89-C274-4848-9D18-36581AE5D6D4}">
  <cacheSource type="external" connectionId="4"/>
  <cacheFields count="2">
    <cacheField name="[project_1_bamer2].[Season].[Season]" caption="Season" numFmtId="0" hierarchy="4" level="1">
      <sharedItems count="2">
        <s v="Dry"/>
        <s v="Wet"/>
      </sharedItems>
    </cacheField>
    <cacheField name="[Measures].[Average of Prices]" caption="Average of Prices" numFmtId="0" hierarchy="25" level="32767"/>
  </cacheFields>
  <cacheHierarchies count="26">
    <cacheHierarchy uniqueName="[project_1_bamer2].[Date]" caption="Date" attribute="1" time="1" defaultMemberUniqueName="[project_1_bamer2].[Date].[All]" allUniqueName="[project_1_bamer2].[Date].[All]" dimensionUniqueName="[project_1_bamer2]" displayFolder="" count="2" memberValueDatatype="7" unbalanced="0"/>
    <cacheHierarchy uniqueName="[project_1_bamer2].[Prices]" caption="Prices" attribute="1" defaultMemberUniqueName="[project_1_bamer2].[Prices].[All]" allUniqueName="[project_1_bamer2].[Prices].[All]" dimensionUniqueName="[project_1_bamer2]" displayFolder="" count="2" memberValueDatatype="20" unbalanced="0"/>
    <cacheHierarchy uniqueName="[project_1_bamer2].[Day_count]" caption="Day_count" attribute="1" defaultMemberUniqueName="[project_1_bamer2].[Day_count].[All]" allUniqueName="[project_1_bamer2].[Day_count].[All]" dimensionUniqueName="[project_1_bamer2]" displayFolder="" count="2" memberValueDatatype="20" unbalanced="0"/>
    <cacheHierarchy uniqueName="[project_1_bamer2].[Month]" caption="Month" attribute="1" defaultMemberUniqueName="[project_1_bamer2].[Month].[All]" allUniqueName="[project_1_bamer2].[Month].[All]" dimensionUniqueName="[project_1_bamer2]" displayFolder="" count="2" memberValueDatatype="20" unbalanced="0"/>
    <cacheHierarchy uniqueName="[project_1_bamer2].[Season]" caption="Season" attribute="1" defaultMemberUniqueName="[project_1_bamer2].[Season].[All]" allUniqueName="[project_1_bamer2].[Season].[All]" dimensionUniqueName="[project_1_bamer2]" displayFolder="" count="2" memberValueDatatype="130" unbalanced="0">
      <fieldsUsage count="2">
        <fieldUsage x="-1"/>
        <fieldUsage x="0"/>
      </fieldsUsage>
    </cacheHierarchy>
    <cacheHierarchy uniqueName="[project_1_bamer2].[Weekday]" caption="Weekday" attribute="1" defaultMemberUniqueName="[project_1_bamer2].[Weekday].[All]" allUniqueName="[project_1_bamer2].[Weekday].[All]" dimensionUniqueName="[project_1_bamer2]" displayFolder="" count="2" memberValueDatatype="20" unbalanced="0"/>
    <cacheHierarchy uniqueName="[project_1_bamer2].[Is_holiday]" caption="Is_holiday" attribute="1" defaultMemberUniqueName="[project_1_bamer2].[Is_holiday].[All]" allUniqueName="[project_1_bamer2].[Is_holiday].[All]" dimensionUniqueName="[project_1_bamer2]" displayFolder="" count="2" memberValueDatatype="130" unbalanced="0"/>
    <cacheHierarchy uniqueName="[project_1_bamer2].[Rolling_mean_7]" caption="Rolling_mean_7" attribute="1" defaultMemberUniqueName="[project_1_bamer2].[Rolling_mean_7].[All]" allUniqueName="[project_1_bamer2].[Rolling_mean_7].[All]" dimensionUniqueName="[project_1_bamer2]" displayFolder="" count="2" memberValueDatatype="5" unbalanced="0"/>
    <cacheHierarchy uniqueName="[project_1_bamer2].[Rolling_mean_30]" caption="Rolling_mean_30" attribute="1" defaultMemberUniqueName="[project_1_bamer2].[Rolling_mean_30].[All]" allUniqueName="[project_1_bamer2].[Rolling_mean_30].[All]" dimensionUniqueName="[project_1_bamer2]" displayFolder="" count="2" memberValueDatatype="5" unbalanced="0"/>
    <cacheHierarchy uniqueName="[project_1_bamer2].[Lag_1]" caption="Lag_1" attribute="1" defaultMemberUniqueName="[project_1_bamer2].[Lag_1].[All]" allUniqueName="[project_1_bamer2].[Lag_1].[All]" dimensionUniqueName="[project_1_bamer2]" displayFolder="" count="2" memberValueDatatype="20" unbalanced="0"/>
    <cacheHierarchy uniqueName="[project_1_bamer2].[Lag_7]" caption="Lag_7" attribute="1" defaultMemberUniqueName="[project_1_bamer2].[Lag_7].[All]" allUniqueName="[project_1_bamer2].[Lag_7].[All]" dimensionUniqueName="[project_1_bamer2]" displayFolder="" count="2" memberValueDatatype="20" unbalanced="0"/>
    <cacheHierarchy uniqueName="[project_1_bamer2].[Lag_30]" caption="Lag_30" attribute="1" defaultMemberUniqueName="[project_1_bamer2].[Lag_30].[All]" allUniqueName="[project_1_bamer2].[Lag_30].[All]" dimensionUniqueName="[project_1_bamer2]" displayFolder="" count="2" memberValueDatatype="20" unbalanced="0"/>
    <cacheHierarchy uniqueName="[project_1_bamer2].[Daily_delta]" caption="Daily_delta" attribute="1" defaultMemberUniqueName="[project_1_bamer2].[Daily_delta].[All]" allUniqueName="[project_1_bamer2].[Daily_delta].[All]" dimensionUniqueName="[project_1_bamer2]" displayFolder="" count="2" memberValueDatatype="20" unbalanced="0"/>
    <cacheHierarchy uniqueName="[project_1_bamer2].[CPI]" caption="CPI" attribute="1" defaultMemberUniqueName="[project_1_bamer2].[CPI].[All]" allUniqueName="[project_1_bamer2].[CPI].[All]" dimensionUniqueName="[project_1_bamer2]" displayFolder="" count="2" memberValueDatatype="5" unbalanced="0"/>
    <cacheHierarchy uniqueName="[project_1_bamer2].[Total_inflation]" caption="Total_inflation" attribute="1" defaultMemberUniqueName="[project_1_bamer2].[Total_inflation].[All]" allUniqueName="[project_1_bamer2].[Total_inflation].[All]" dimensionUniqueName="[project_1_bamer2]" displayFolder="" count="2" memberValueDatatype="5" unbalanced="0"/>
    <cacheHierarchy uniqueName="[project_1_bamer2].[USD_IDR]" caption="USD_IDR" attribute="1" defaultMemberUniqueName="[project_1_bamer2].[USD_IDR].[All]" allUniqueName="[project_1_bamer2].[USD_IDR].[All]" dimensionUniqueName="[project_1_bamer2]" displayFolder="" count="2" memberValueDatatype="5" unbalanced="0"/>
    <cacheHierarchy uniqueName="[project_1_bamer2].[Temperature]" caption="Temperature" attribute="1" defaultMemberUniqueName="[project_1_bamer2].[Temperature].[All]" allUniqueName="[project_1_bamer2].[Temperature].[All]" dimensionUniqueName="[project_1_bamer2]" displayFolder="" count="2" memberValueDatatype="5" unbalanced="0"/>
    <cacheHierarchy uniqueName="[project_1_bamer2].[Rainfall]" caption="Rainfall" attribute="1" defaultMemberUniqueName="[project_1_bamer2].[Rainfall].[All]" allUniqueName="[project_1_bamer2].[Rainfall].[All]" dimensionUniqueName="[project_1_bamer2]" displayFolder="" count="2" memberValueDatatype="5" unbalanced="0"/>
    <cacheHierarchy uniqueName="[project_1_bamer2].[Humidity]" caption="Humidity" attribute="1" defaultMemberUniqueName="[project_1_bamer2].[Humidity].[All]" allUniqueName="[project_1_bamer2].[Humidity].[All]" dimensionUniqueName="[project_1_bamer2]" displayFolder="" count="2" memberValueDatatype="5" unbalanced="0"/>
    <cacheHierarchy uniqueName="[project_1_bamer2].[Day_in_month]" caption="Day_in_month" attribute="1" defaultMemberUniqueName="[project_1_bamer2].[Day_in_month].[All]" allUniqueName="[project_1_bamer2].[Day_in_month].[All]" dimensionUniqueName="[project_1_bamer2]" displayFolder="" count="2" memberValueDatatype="20" unbalanced="0"/>
    <cacheHierarchy uniqueName="[project_1_bamer2].[Diff_value]" caption="Diff_value" attribute="1" defaultMemberUniqueName="[project_1_bamer2].[Diff_value].[All]" allUniqueName="[project_1_bamer2].[Diff_value].[All]" dimensionUniqueName="[project_1_bamer2]" displayFolder="" count="2" memberValueDatatype="130" unbalanced="0"/>
    <cacheHierarchy uniqueName="[project_1_bamer2].[Percentage]" caption="Percentage" attribute="1" defaultMemberUniqueName="[project_1_bamer2].[Percentage].[All]" allUniqueName="[project_1_bamer2].[Percentage].[All]" dimensionUniqueName="[project_1_bamer2]" displayFolder="" count="2" memberValueDatatype="5" unbalanced="0"/>
    <cacheHierarchy uniqueName="[Measures].[__XL_Count project_1_bamer2]" caption="__XL_Count project_1_bamer2" measure="1" displayFolder="" measureGroup="project_1_bamer2" count="0" hidden="1"/>
    <cacheHierarchy uniqueName="[Measures].[__No measures defined]" caption="__No measures defined" measure="1" displayFolder="" count="0" hidden="1"/>
    <cacheHierarchy uniqueName="[Measures].[Sum of Prices]" caption="Sum of Prices" measure="1" displayFolder="" measureGroup="project_1_bamer2" count="0" hidden="1">
      <extLst>
        <ext xmlns:x15="http://schemas.microsoft.com/office/spreadsheetml/2010/11/main" uri="{B97F6D7D-B522-45F9-BDA1-12C45D357490}">
          <x15:cacheHierarchy aggregatedColumn="1"/>
        </ext>
      </extLst>
    </cacheHierarchy>
    <cacheHierarchy uniqueName="[Measures].[Average of Prices]" caption="Average of Prices" measure="1" displayFolder="" measureGroup="project_1_bamer2"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project_1_bamer2" uniqueName="[project_1_bamer2]" caption="project_1_bamer2"/>
  </dimensions>
  <measureGroups count="1">
    <measureGroup name="project_1_bamer2" caption="project_1_bamer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4">
  <r>
    <d v="2020-01-02T00:00:00"/>
    <x v="0"/>
    <n v="36000"/>
    <m/>
    <x v="0"/>
    <x v="0"/>
  </r>
  <r>
    <d v="2020-01-03T00:00:00"/>
    <x v="0"/>
    <n v="35500"/>
    <n v="-500"/>
    <x v="0"/>
    <x v="1"/>
  </r>
  <r>
    <d v="2020-01-04T00:00:00"/>
    <x v="0"/>
    <n v="35500"/>
    <n v="0"/>
    <x v="0"/>
    <x v="1"/>
  </r>
  <r>
    <d v="2020-01-05T00:00:00"/>
    <x v="0"/>
    <n v="35500"/>
    <n v="0"/>
    <x v="0"/>
    <x v="0"/>
  </r>
  <r>
    <d v="2020-01-06T00:00:00"/>
    <x v="0"/>
    <n v="35500"/>
    <n v="0"/>
    <x v="0"/>
    <x v="1"/>
  </r>
  <r>
    <d v="2020-01-07T00:00:00"/>
    <x v="0"/>
    <n v="36000"/>
    <n v="500"/>
    <x v="0"/>
    <x v="0"/>
  </r>
  <r>
    <d v="2020-01-08T00:00:00"/>
    <x v="0"/>
    <n v="36000"/>
    <n v="0"/>
    <x v="0"/>
    <x v="0"/>
  </r>
  <r>
    <d v="2020-01-09T00:00:00"/>
    <x v="0"/>
    <n v="36000"/>
    <n v="0"/>
    <x v="0"/>
    <x v="1"/>
  </r>
  <r>
    <d v="2020-01-10T00:00:00"/>
    <x v="0"/>
    <n v="36000"/>
    <n v="0"/>
    <x v="0"/>
    <x v="0"/>
  </r>
  <r>
    <d v="2020-01-11T00:00:00"/>
    <x v="0"/>
    <n v="36000"/>
    <n v="0"/>
    <x v="0"/>
    <x v="1"/>
  </r>
  <r>
    <d v="2020-01-12T00:00:00"/>
    <x v="0"/>
    <n v="36000"/>
    <n v="0"/>
    <x v="0"/>
    <x v="1"/>
  </r>
  <r>
    <d v="2020-01-13T00:00:00"/>
    <x v="0"/>
    <n v="39000"/>
    <n v="3000"/>
    <x v="0"/>
    <x v="1"/>
  </r>
  <r>
    <d v="2020-01-14T00:00:00"/>
    <x v="0"/>
    <n v="39000"/>
    <n v="0"/>
    <x v="0"/>
    <x v="1"/>
  </r>
  <r>
    <d v="2020-01-15T00:00:00"/>
    <x v="0"/>
    <n v="42500"/>
    <n v="3500"/>
    <x v="0"/>
    <x v="1"/>
  </r>
  <r>
    <d v="2020-01-16T00:00:00"/>
    <x v="0"/>
    <n v="42000"/>
    <n v="-500"/>
    <x v="0"/>
    <x v="1"/>
  </r>
  <r>
    <d v="2020-01-17T00:00:00"/>
    <x v="0"/>
    <n v="43000"/>
    <n v="1000"/>
    <x v="0"/>
    <x v="1"/>
  </r>
  <r>
    <d v="2020-01-20T00:00:00"/>
    <x v="0"/>
    <n v="44000"/>
    <m/>
    <x v="0"/>
    <x v="1"/>
  </r>
  <r>
    <d v="2020-01-21T00:00:00"/>
    <x v="0"/>
    <n v="44000"/>
    <n v="0"/>
    <x v="0"/>
    <x v="1"/>
  </r>
  <r>
    <d v="2020-01-22T00:00:00"/>
    <x v="0"/>
    <n v="43000"/>
    <n v="-1000"/>
    <x v="0"/>
    <x v="1"/>
  </r>
  <r>
    <d v="2020-01-23T00:00:00"/>
    <x v="0"/>
    <n v="43000"/>
    <n v="0"/>
    <x v="0"/>
    <x v="1"/>
  </r>
  <r>
    <d v="2020-01-24T00:00:00"/>
    <x v="0"/>
    <n v="43000"/>
    <n v="0"/>
    <x v="0"/>
    <x v="1"/>
  </r>
  <r>
    <d v="2020-01-27T00:00:00"/>
    <x v="0"/>
    <n v="45000"/>
    <m/>
    <x v="0"/>
    <x v="1"/>
  </r>
  <r>
    <d v="2020-01-28T00:00:00"/>
    <x v="0"/>
    <n v="44500"/>
    <n v="-500"/>
    <x v="0"/>
    <x v="1"/>
  </r>
  <r>
    <d v="2020-01-29T00:00:00"/>
    <x v="0"/>
    <n v="46000"/>
    <n v="1500"/>
    <x v="0"/>
    <x v="1"/>
  </r>
  <r>
    <d v="2020-01-30T00:00:00"/>
    <x v="0"/>
    <n v="50000"/>
    <n v="4000"/>
    <x v="0"/>
    <x v="1"/>
  </r>
  <r>
    <d v="2020-01-31T00:00:00"/>
    <x v="0"/>
    <n v="50000"/>
    <n v="0"/>
    <x v="0"/>
    <x v="1"/>
  </r>
  <r>
    <d v="2020-02-01T00:00:00"/>
    <x v="0"/>
    <n v="50000"/>
    <n v="0"/>
    <x v="0"/>
    <x v="1"/>
  </r>
  <r>
    <d v="2020-02-02T00:00:00"/>
    <x v="0"/>
    <n v="50000"/>
    <n v="0"/>
    <x v="0"/>
    <x v="0"/>
  </r>
  <r>
    <d v="2020-02-03T00:00:00"/>
    <x v="0"/>
    <n v="56500"/>
    <n v="6500"/>
    <x v="0"/>
    <x v="0"/>
  </r>
  <r>
    <d v="2020-02-04T00:00:00"/>
    <x v="0"/>
    <n v="56750"/>
    <n v="250"/>
    <x v="0"/>
    <x v="1"/>
  </r>
  <r>
    <d v="2020-02-05T00:00:00"/>
    <x v="0"/>
    <n v="56500"/>
    <n v="-250"/>
    <x v="0"/>
    <x v="1"/>
  </r>
  <r>
    <d v="2020-02-06T00:00:00"/>
    <x v="0"/>
    <n v="56500"/>
    <n v="0"/>
    <x v="0"/>
    <x v="1"/>
  </r>
  <r>
    <d v="2020-02-07T00:00:00"/>
    <x v="0"/>
    <n v="57750"/>
    <n v="1250"/>
    <x v="0"/>
    <x v="1"/>
  </r>
  <r>
    <d v="2020-02-08T00:00:00"/>
    <x v="0"/>
    <n v="57750"/>
    <n v="0"/>
    <x v="0"/>
    <x v="1"/>
  </r>
  <r>
    <d v="2020-02-09T00:00:00"/>
    <x v="0"/>
    <n v="57750"/>
    <n v="0"/>
    <x v="0"/>
    <x v="1"/>
  </r>
  <r>
    <d v="2020-02-10T00:00:00"/>
    <x v="0"/>
    <n v="57500"/>
    <n v="-250"/>
    <x v="0"/>
    <x v="1"/>
  </r>
  <r>
    <d v="2020-02-11T00:00:00"/>
    <x v="0"/>
    <n v="57500"/>
    <n v="0"/>
    <x v="0"/>
    <x v="1"/>
  </r>
  <r>
    <d v="2020-02-12T00:00:00"/>
    <x v="0"/>
    <n v="56500"/>
    <n v="-1000"/>
    <x v="0"/>
    <x v="1"/>
  </r>
  <r>
    <d v="2020-02-13T00:00:00"/>
    <x v="0"/>
    <n v="55500"/>
    <n v="-1000"/>
    <x v="0"/>
    <x v="1"/>
  </r>
  <r>
    <d v="2020-02-14T00:00:00"/>
    <x v="0"/>
    <n v="55500"/>
    <n v="0"/>
    <x v="0"/>
    <x v="1"/>
  </r>
  <r>
    <d v="2020-02-17T00:00:00"/>
    <x v="0"/>
    <n v="54000"/>
    <m/>
    <x v="0"/>
    <x v="1"/>
  </r>
  <r>
    <d v="2020-02-18T00:00:00"/>
    <x v="0"/>
    <n v="54000"/>
    <n v="0"/>
    <x v="0"/>
    <x v="1"/>
  </r>
  <r>
    <d v="2020-02-19T00:00:00"/>
    <x v="0"/>
    <n v="54000"/>
    <n v="0"/>
    <x v="0"/>
    <x v="1"/>
  </r>
  <r>
    <d v="2020-02-20T00:00:00"/>
    <x v="0"/>
    <n v="51750"/>
    <n v="-2250"/>
    <x v="0"/>
    <x v="1"/>
  </r>
  <r>
    <d v="2020-02-21T00:00:00"/>
    <x v="0"/>
    <n v="52250"/>
    <n v="500"/>
    <x v="0"/>
    <x v="1"/>
  </r>
  <r>
    <d v="2020-02-24T00:00:00"/>
    <x v="0"/>
    <n v="48500"/>
    <m/>
    <x v="0"/>
    <x v="1"/>
  </r>
  <r>
    <d v="2020-02-25T00:00:00"/>
    <x v="0"/>
    <n v="47000"/>
    <n v="-1500"/>
    <x v="0"/>
    <x v="1"/>
  </r>
  <r>
    <d v="2020-02-26T00:00:00"/>
    <x v="0"/>
    <n v="45500"/>
    <n v="-1500"/>
    <x v="0"/>
    <x v="1"/>
  </r>
  <r>
    <d v="2020-02-27T00:00:00"/>
    <x v="0"/>
    <n v="45000"/>
    <n v="-500"/>
    <x v="0"/>
    <x v="1"/>
  </r>
  <r>
    <d v="2020-02-28T00:00:00"/>
    <x v="0"/>
    <n v="45000"/>
    <n v="0"/>
    <x v="0"/>
    <x v="1"/>
  </r>
  <r>
    <d v="2020-02-29T00:00:00"/>
    <x v="0"/>
    <n v="45000"/>
    <n v="0"/>
    <x v="0"/>
    <x v="1"/>
  </r>
  <r>
    <d v="2020-03-01T00:00:00"/>
    <x v="0"/>
    <n v="45000"/>
    <n v="0"/>
    <x v="0"/>
    <x v="0"/>
  </r>
  <r>
    <d v="2020-03-02T00:00:00"/>
    <x v="0"/>
    <n v="45000"/>
    <n v="0"/>
    <x v="0"/>
    <x v="0"/>
  </r>
  <r>
    <d v="2020-03-03T00:00:00"/>
    <x v="0"/>
    <n v="45000"/>
    <n v="0"/>
    <x v="0"/>
    <x v="0"/>
  </r>
  <r>
    <d v="2020-03-04T00:00:00"/>
    <x v="0"/>
    <n v="45000"/>
    <n v="0"/>
    <x v="0"/>
    <x v="1"/>
  </r>
  <r>
    <d v="2020-03-05T00:00:00"/>
    <x v="0"/>
    <n v="44000"/>
    <n v="-1000"/>
    <x v="0"/>
    <x v="1"/>
  </r>
  <r>
    <d v="2020-03-06T00:00:00"/>
    <x v="0"/>
    <n v="43500"/>
    <n v="-500"/>
    <x v="0"/>
    <x v="1"/>
  </r>
  <r>
    <d v="2020-03-07T00:00:00"/>
    <x v="0"/>
    <n v="43500"/>
    <n v="0"/>
    <x v="0"/>
    <x v="0"/>
  </r>
  <r>
    <d v="2020-03-08T00:00:00"/>
    <x v="0"/>
    <n v="43500"/>
    <n v="0"/>
    <x v="0"/>
    <x v="1"/>
  </r>
  <r>
    <d v="2020-03-09T00:00:00"/>
    <x v="0"/>
    <n v="43500"/>
    <n v="0"/>
    <x v="0"/>
    <x v="1"/>
  </r>
  <r>
    <d v="2020-03-10T00:00:00"/>
    <x v="0"/>
    <n v="44500"/>
    <n v="1000"/>
    <x v="0"/>
    <x v="1"/>
  </r>
  <r>
    <d v="2020-03-11T00:00:00"/>
    <x v="0"/>
    <n v="43500"/>
    <n v="-1000"/>
    <x v="0"/>
    <x v="1"/>
  </r>
  <r>
    <d v="2020-03-12T00:00:00"/>
    <x v="0"/>
    <n v="44000"/>
    <n v="500"/>
    <x v="0"/>
    <x v="1"/>
  </r>
  <r>
    <d v="2020-03-13T00:00:00"/>
    <x v="0"/>
    <n v="42750"/>
    <n v="-1250"/>
    <x v="0"/>
    <x v="1"/>
  </r>
  <r>
    <d v="2020-03-14T00:00:00"/>
    <x v="0"/>
    <n v="42750"/>
    <n v="0"/>
    <x v="0"/>
    <x v="1"/>
  </r>
  <r>
    <d v="2020-03-15T00:00:00"/>
    <x v="0"/>
    <n v="42750"/>
    <n v="0"/>
    <x v="0"/>
    <x v="1"/>
  </r>
  <r>
    <d v="2020-03-16T00:00:00"/>
    <x v="0"/>
    <n v="44500"/>
    <n v="1750"/>
    <x v="0"/>
    <x v="1"/>
  </r>
  <r>
    <d v="2020-03-17T00:00:00"/>
    <x v="0"/>
    <n v="44500"/>
    <n v="0"/>
    <x v="0"/>
    <x v="1"/>
  </r>
  <r>
    <d v="2020-03-18T00:00:00"/>
    <x v="0"/>
    <n v="45500"/>
    <n v="1000"/>
    <x v="0"/>
    <x v="1"/>
  </r>
  <r>
    <d v="2020-03-19T00:00:00"/>
    <x v="0"/>
    <n v="45250"/>
    <n v="-250"/>
    <x v="0"/>
    <x v="0"/>
  </r>
  <r>
    <d v="2020-03-20T00:00:00"/>
    <x v="0"/>
    <n v="45250"/>
    <n v="0"/>
    <x v="0"/>
    <x v="1"/>
  </r>
  <r>
    <d v="2020-03-21T00:00:00"/>
    <x v="0"/>
    <n v="45250"/>
    <n v="0"/>
    <x v="0"/>
    <x v="1"/>
  </r>
  <r>
    <d v="2020-03-22T00:00:00"/>
    <x v="0"/>
    <n v="45250"/>
    <n v="0"/>
    <x v="0"/>
    <x v="1"/>
  </r>
  <r>
    <d v="2020-03-23T00:00:00"/>
    <x v="0"/>
    <n v="44500"/>
    <n v="-750"/>
    <x v="0"/>
    <x v="1"/>
  </r>
  <r>
    <d v="2020-03-24T00:00:00"/>
    <x v="0"/>
    <n v="44500"/>
    <n v="0"/>
    <x v="0"/>
    <x v="1"/>
  </r>
  <r>
    <d v="2020-03-26T00:00:00"/>
    <x v="0"/>
    <n v="45750"/>
    <m/>
    <x v="0"/>
    <x v="1"/>
  </r>
  <r>
    <d v="2020-03-27T00:00:00"/>
    <x v="0"/>
    <n v="45750"/>
    <n v="0"/>
    <x v="0"/>
    <x v="1"/>
  </r>
  <r>
    <d v="2020-03-28T00:00:00"/>
    <x v="0"/>
    <n v="45750"/>
    <n v="0"/>
    <x v="0"/>
    <x v="0"/>
  </r>
  <r>
    <d v="2020-03-29T00:00:00"/>
    <x v="0"/>
    <n v="45750"/>
    <n v="0"/>
    <x v="0"/>
    <x v="0"/>
  </r>
  <r>
    <d v="2020-03-30T00:00:00"/>
    <x v="0"/>
    <n v="47000"/>
    <n v="1250"/>
    <x v="0"/>
    <x v="0"/>
  </r>
  <r>
    <d v="2020-03-31T00:00:00"/>
    <x v="0"/>
    <n v="46500"/>
    <n v="-500"/>
    <x v="0"/>
    <x v="0"/>
  </r>
  <r>
    <d v="2020-04-01T00:00:00"/>
    <x v="0"/>
    <n v="46500"/>
    <n v="0"/>
    <x v="1"/>
    <x v="1"/>
  </r>
  <r>
    <d v="2020-04-02T00:00:00"/>
    <x v="0"/>
    <n v="45000"/>
    <n v="-1500"/>
    <x v="1"/>
    <x v="1"/>
  </r>
  <r>
    <d v="2020-04-03T00:00:00"/>
    <x v="0"/>
    <n v="45000"/>
    <n v="0"/>
    <x v="1"/>
    <x v="1"/>
  </r>
  <r>
    <d v="2020-04-04T00:00:00"/>
    <x v="0"/>
    <n v="45000"/>
    <n v="0"/>
    <x v="1"/>
    <x v="1"/>
  </r>
  <r>
    <d v="2020-04-06T00:00:00"/>
    <x v="0"/>
    <n v="44250"/>
    <m/>
    <x v="1"/>
    <x v="1"/>
  </r>
  <r>
    <d v="2020-04-07T00:00:00"/>
    <x v="0"/>
    <n v="44000"/>
    <n v="-250"/>
    <x v="1"/>
    <x v="1"/>
  </r>
  <r>
    <d v="2020-04-08T00:00:00"/>
    <x v="0"/>
    <n v="44000"/>
    <n v="0"/>
    <x v="1"/>
    <x v="1"/>
  </r>
  <r>
    <d v="2020-04-09T00:00:00"/>
    <x v="0"/>
    <n v="44000"/>
    <n v="0"/>
    <x v="1"/>
    <x v="1"/>
  </r>
  <r>
    <d v="2020-04-13T00:00:00"/>
    <x v="0"/>
    <n v="43000"/>
    <m/>
    <x v="1"/>
    <x v="1"/>
  </r>
  <r>
    <d v="2020-04-14T00:00:00"/>
    <x v="0"/>
    <n v="43000"/>
    <n v="0"/>
    <x v="1"/>
    <x v="1"/>
  </r>
  <r>
    <d v="2020-04-15T00:00:00"/>
    <x v="0"/>
    <n v="42000"/>
    <n v="-1000"/>
    <x v="1"/>
    <x v="1"/>
  </r>
  <r>
    <d v="2020-04-16T00:00:00"/>
    <x v="0"/>
    <n v="42000"/>
    <n v="0"/>
    <x v="1"/>
    <x v="1"/>
  </r>
  <r>
    <d v="2020-04-17T00:00:00"/>
    <x v="0"/>
    <n v="40000"/>
    <n v="-2000"/>
    <x v="1"/>
    <x v="1"/>
  </r>
  <r>
    <d v="2020-04-20T00:00:00"/>
    <x v="0"/>
    <n v="41500"/>
    <m/>
    <x v="1"/>
    <x v="1"/>
  </r>
  <r>
    <d v="2020-04-21T00:00:00"/>
    <x v="0"/>
    <n v="41500"/>
    <n v="0"/>
    <x v="1"/>
    <x v="1"/>
  </r>
  <r>
    <d v="2020-04-22T00:00:00"/>
    <x v="0"/>
    <n v="43000"/>
    <n v="1500"/>
    <x v="1"/>
    <x v="1"/>
  </r>
  <r>
    <d v="2020-04-23T00:00:00"/>
    <x v="0"/>
    <n v="43000"/>
    <n v="0"/>
    <x v="1"/>
    <x v="1"/>
  </r>
  <r>
    <d v="2020-04-24T00:00:00"/>
    <x v="0"/>
    <n v="42000"/>
    <n v="-1000"/>
    <x v="1"/>
    <x v="1"/>
  </r>
  <r>
    <d v="2020-04-27T00:00:00"/>
    <x v="0"/>
    <n v="41000"/>
    <m/>
    <x v="1"/>
    <x v="0"/>
  </r>
  <r>
    <d v="2020-04-28T00:00:00"/>
    <x v="0"/>
    <n v="42000"/>
    <n v="1000"/>
    <x v="1"/>
    <x v="1"/>
  </r>
  <r>
    <d v="2020-04-29T00:00:00"/>
    <x v="0"/>
    <n v="43000"/>
    <n v="1000"/>
    <x v="1"/>
    <x v="1"/>
  </r>
  <r>
    <d v="2020-04-30T00:00:00"/>
    <x v="0"/>
    <n v="43000"/>
    <n v="0"/>
    <x v="1"/>
    <x v="1"/>
  </r>
  <r>
    <d v="2020-05-04T00:00:00"/>
    <x v="0"/>
    <n v="54000"/>
    <m/>
    <x v="1"/>
    <x v="1"/>
  </r>
  <r>
    <d v="2020-05-05T00:00:00"/>
    <x v="0"/>
    <n v="55250"/>
    <n v="1250"/>
    <x v="1"/>
    <x v="1"/>
  </r>
  <r>
    <d v="2020-05-06T00:00:00"/>
    <x v="0"/>
    <n v="52000"/>
    <n v="-3250"/>
    <x v="1"/>
    <x v="1"/>
  </r>
  <r>
    <d v="2020-05-08T00:00:00"/>
    <x v="0"/>
    <n v="51500"/>
    <m/>
    <x v="1"/>
    <x v="1"/>
  </r>
  <r>
    <d v="2020-05-09T00:00:00"/>
    <x v="0"/>
    <n v="51500"/>
    <n v="0"/>
    <x v="1"/>
    <x v="1"/>
  </r>
  <r>
    <d v="2020-05-10T00:00:00"/>
    <x v="0"/>
    <n v="51500"/>
    <n v="0"/>
    <x v="1"/>
    <x v="0"/>
  </r>
  <r>
    <d v="2020-05-11T00:00:00"/>
    <x v="0"/>
    <n v="53500"/>
    <n v="2000"/>
    <x v="1"/>
    <x v="1"/>
  </r>
  <r>
    <d v="2020-05-12T00:00:00"/>
    <x v="0"/>
    <n v="52500"/>
    <n v="-1000"/>
    <x v="1"/>
    <x v="1"/>
  </r>
  <r>
    <d v="2020-05-13T00:00:00"/>
    <x v="0"/>
    <n v="52500"/>
    <n v="0"/>
    <x v="1"/>
    <x v="1"/>
  </r>
  <r>
    <d v="2020-05-14T00:00:00"/>
    <x v="0"/>
    <n v="54500"/>
    <n v="2000"/>
    <x v="1"/>
    <x v="1"/>
  </r>
  <r>
    <d v="2020-05-15T00:00:00"/>
    <x v="0"/>
    <n v="54500"/>
    <n v="0"/>
    <x v="1"/>
    <x v="1"/>
  </r>
  <r>
    <d v="2020-05-18T00:00:00"/>
    <x v="0"/>
    <n v="56000"/>
    <m/>
    <x v="1"/>
    <x v="0"/>
  </r>
  <r>
    <d v="2020-05-19T00:00:00"/>
    <x v="0"/>
    <n v="56000"/>
    <n v="0"/>
    <x v="1"/>
    <x v="0"/>
  </r>
  <r>
    <d v="2020-05-20T00:00:00"/>
    <x v="0"/>
    <n v="60750"/>
    <n v="4750"/>
    <x v="1"/>
    <x v="1"/>
  </r>
  <r>
    <d v="2020-05-26T00:00:00"/>
    <x v="0"/>
    <n v="69000"/>
    <m/>
    <x v="1"/>
    <x v="1"/>
  </r>
  <r>
    <d v="2020-05-27T00:00:00"/>
    <x v="0"/>
    <n v="67000"/>
    <n v="-2000"/>
    <x v="1"/>
    <x v="1"/>
  </r>
  <r>
    <d v="2020-05-28T00:00:00"/>
    <x v="0"/>
    <n v="67000"/>
    <n v="0"/>
    <x v="1"/>
    <x v="1"/>
  </r>
  <r>
    <d v="2020-05-29T00:00:00"/>
    <x v="0"/>
    <n v="67000"/>
    <n v="0"/>
    <x v="1"/>
    <x v="1"/>
  </r>
  <r>
    <d v="2020-05-30T00:00:00"/>
    <x v="0"/>
    <n v="67000"/>
    <n v="0"/>
    <x v="1"/>
    <x v="1"/>
  </r>
  <r>
    <d v="2020-05-31T00:00:00"/>
    <x v="0"/>
    <n v="67000"/>
    <n v="0"/>
    <x v="1"/>
    <x v="1"/>
  </r>
  <r>
    <d v="2020-06-02T00:00:00"/>
    <x v="0"/>
    <n v="80000"/>
    <m/>
    <x v="1"/>
    <x v="1"/>
  </r>
  <r>
    <d v="2020-06-03T00:00:00"/>
    <x v="0"/>
    <n v="80000"/>
    <n v="0"/>
    <x v="1"/>
    <x v="1"/>
  </r>
  <r>
    <d v="2020-06-04T00:00:00"/>
    <x v="0"/>
    <n v="75000"/>
    <n v="-5000"/>
    <x v="1"/>
    <x v="1"/>
  </r>
  <r>
    <d v="2020-06-05T00:00:00"/>
    <x v="0"/>
    <n v="75000"/>
    <n v="0"/>
    <x v="1"/>
    <x v="1"/>
  </r>
  <r>
    <d v="2020-06-06T00:00:00"/>
    <x v="0"/>
    <n v="75000"/>
    <n v="0"/>
    <x v="1"/>
    <x v="1"/>
  </r>
  <r>
    <d v="2020-06-07T00:00:00"/>
    <x v="0"/>
    <n v="75000"/>
    <n v="0"/>
    <x v="1"/>
    <x v="0"/>
  </r>
  <r>
    <d v="2020-06-08T00:00:00"/>
    <x v="0"/>
    <n v="72000"/>
    <n v="-3000"/>
    <x v="1"/>
    <x v="0"/>
  </r>
  <r>
    <d v="2020-06-09T00:00:00"/>
    <x v="0"/>
    <n v="69500"/>
    <n v="-2500"/>
    <x v="1"/>
    <x v="1"/>
  </r>
  <r>
    <d v="2020-06-10T00:00:00"/>
    <x v="0"/>
    <n v="65750"/>
    <n v="-3750"/>
    <x v="1"/>
    <x v="1"/>
  </r>
  <r>
    <d v="2020-06-11T00:00:00"/>
    <x v="0"/>
    <n v="66500"/>
    <n v="750"/>
    <x v="1"/>
    <x v="0"/>
  </r>
  <r>
    <d v="2020-06-12T00:00:00"/>
    <x v="0"/>
    <n v="65500"/>
    <n v="-1000"/>
    <x v="1"/>
    <x v="1"/>
  </r>
  <r>
    <d v="2020-06-13T00:00:00"/>
    <x v="0"/>
    <n v="65500"/>
    <n v="0"/>
    <x v="1"/>
    <x v="1"/>
  </r>
  <r>
    <d v="2020-06-14T00:00:00"/>
    <x v="0"/>
    <n v="65500"/>
    <n v="0"/>
    <x v="1"/>
    <x v="1"/>
  </r>
  <r>
    <d v="2020-06-15T00:00:00"/>
    <x v="0"/>
    <n v="62500"/>
    <n v="-3000"/>
    <x v="1"/>
    <x v="1"/>
  </r>
  <r>
    <d v="2020-06-16T00:00:00"/>
    <x v="0"/>
    <n v="59000"/>
    <n v="-3500"/>
    <x v="1"/>
    <x v="1"/>
  </r>
  <r>
    <d v="2020-06-17T00:00:00"/>
    <x v="0"/>
    <n v="54000"/>
    <n v="-5000"/>
    <x v="1"/>
    <x v="1"/>
  </r>
  <r>
    <d v="2020-06-18T00:00:00"/>
    <x v="0"/>
    <n v="54000"/>
    <n v="0"/>
    <x v="1"/>
    <x v="1"/>
  </r>
  <r>
    <d v="2020-06-19T00:00:00"/>
    <x v="0"/>
    <n v="54000"/>
    <n v="0"/>
    <x v="1"/>
    <x v="1"/>
  </r>
  <r>
    <d v="2020-06-22T00:00:00"/>
    <x v="0"/>
    <n v="50750"/>
    <m/>
    <x v="1"/>
    <x v="1"/>
  </r>
  <r>
    <d v="2020-06-23T00:00:00"/>
    <x v="0"/>
    <n v="50750"/>
    <n v="0"/>
    <x v="1"/>
    <x v="1"/>
  </r>
  <r>
    <d v="2020-06-24T00:00:00"/>
    <x v="0"/>
    <n v="50000"/>
    <n v="-750"/>
    <x v="1"/>
    <x v="1"/>
  </r>
  <r>
    <d v="2020-06-25T00:00:00"/>
    <x v="0"/>
    <n v="50000"/>
    <n v="0"/>
    <x v="1"/>
    <x v="1"/>
  </r>
  <r>
    <d v="2020-06-26T00:00:00"/>
    <x v="0"/>
    <n v="48000"/>
    <n v="-2000"/>
    <x v="1"/>
    <x v="1"/>
  </r>
  <r>
    <d v="2020-06-27T00:00:00"/>
    <x v="0"/>
    <n v="48000"/>
    <n v="0"/>
    <x v="1"/>
    <x v="0"/>
  </r>
  <r>
    <d v="2020-06-28T00:00:00"/>
    <x v="0"/>
    <n v="48000"/>
    <n v="0"/>
    <x v="1"/>
    <x v="0"/>
  </r>
  <r>
    <d v="2020-06-29T00:00:00"/>
    <x v="0"/>
    <n v="46000"/>
    <n v="-2000"/>
    <x v="1"/>
    <x v="1"/>
  </r>
  <r>
    <d v="2020-06-30T00:00:00"/>
    <x v="0"/>
    <n v="47250"/>
    <n v="1250"/>
    <x v="1"/>
    <x v="1"/>
  </r>
  <r>
    <d v="2020-07-01T00:00:00"/>
    <x v="0"/>
    <n v="45500"/>
    <n v="-1750"/>
    <x v="1"/>
    <x v="0"/>
  </r>
  <r>
    <d v="2020-07-02T00:00:00"/>
    <x v="0"/>
    <n v="43500"/>
    <n v="-2000"/>
    <x v="1"/>
    <x v="0"/>
  </r>
  <r>
    <d v="2020-07-03T00:00:00"/>
    <x v="0"/>
    <n v="43750"/>
    <n v="250"/>
    <x v="1"/>
    <x v="1"/>
  </r>
  <r>
    <d v="2020-07-04T00:00:00"/>
    <x v="0"/>
    <n v="43750"/>
    <n v="0"/>
    <x v="1"/>
    <x v="1"/>
  </r>
  <r>
    <d v="2020-07-05T00:00:00"/>
    <x v="0"/>
    <n v="43750"/>
    <n v="0"/>
    <x v="1"/>
    <x v="1"/>
  </r>
  <r>
    <d v="2020-07-06T00:00:00"/>
    <x v="0"/>
    <n v="43500"/>
    <n v="-250"/>
    <x v="1"/>
    <x v="1"/>
  </r>
  <r>
    <d v="2020-07-07T00:00:00"/>
    <x v="0"/>
    <n v="43500"/>
    <n v="0"/>
    <x v="1"/>
    <x v="1"/>
  </r>
  <r>
    <d v="2020-07-08T00:00:00"/>
    <x v="0"/>
    <n v="43250"/>
    <n v="-250"/>
    <x v="1"/>
    <x v="1"/>
  </r>
  <r>
    <d v="2020-07-09T00:00:00"/>
    <x v="0"/>
    <n v="42000"/>
    <n v="-1250"/>
    <x v="1"/>
    <x v="1"/>
  </r>
  <r>
    <d v="2020-07-10T00:00:00"/>
    <x v="0"/>
    <n v="42000"/>
    <n v="0"/>
    <x v="1"/>
    <x v="1"/>
  </r>
  <r>
    <d v="2020-07-11T00:00:00"/>
    <x v="0"/>
    <n v="42000"/>
    <n v="0"/>
    <x v="1"/>
    <x v="1"/>
  </r>
  <r>
    <d v="2020-07-12T00:00:00"/>
    <x v="0"/>
    <n v="42000"/>
    <n v="0"/>
    <x v="1"/>
    <x v="1"/>
  </r>
  <r>
    <d v="2020-07-13T00:00:00"/>
    <x v="0"/>
    <n v="40000"/>
    <n v="-2000"/>
    <x v="1"/>
    <x v="0"/>
  </r>
  <r>
    <d v="2020-07-14T00:00:00"/>
    <x v="0"/>
    <n v="40000"/>
    <n v="0"/>
    <x v="1"/>
    <x v="1"/>
  </r>
  <r>
    <d v="2020-07-15T00:00:00"/>
    <x v="0"/>
    <n v="40000"/>
    <n v="0"/>
    <x v="1"/>
    <x v="1"/>
  </r>
  <r>
    <d v="2020-07-16T00:00:00"/>
    <x v="0"/>
    <n v="40000"/>
    <n v="0"/>
    <x v="1"/>
    <x v="1"/>
  </r>
  <r>
    <d v="2020-07-17T00:00:00"/>
    <x v="0"/>
    <n v="40000"/>
    <n v="0"/>
    <x v="1"/>
    <x v="1"/>
  </r>
  <r>
    <d v="2020-07-20T00:00:00"/>
    <x v="0"/>
    <n v="40000"/>
    <m/>
    <x v="1"/>
    <x v="1"/>
  </r>
  <r>
    <d v="2020-07-21T00:00:00"/>
    <x v="0"/>
    <n v="40000"/>
    <n v="0"/>
    <x v="1"/>
    <x v="1"/>
  </r>
  <r>
    <d v="2020-07-22T00:00:00"/>
    <x v="0"/>
    <n v="40000"/>
    <n v="0"/>
    <x v="1"/>
    <x v="0"/>
  </r>
  <r>
    <d v="2020-07-23T00:00:00"/>
    <x v="0"/>
    <n v="40000"/>
    <n v="0"/>
    <x v="1"/>
    <x v="0"/>
  </r>
  <r>
    <d v="2020-07-24T00:00:00"/>
    <x v="0"/>
    <n v="39000"/>
    <n v="-1000"/>
    <x v="1"/>
    <x v="1"/>
  </r>
  <r>
    <d v="2020-07-27T00:00:00"/>
    <x v="0"/>
    <n v="36750"/>
    <m/>
    <x v="1"/>
    <x v="1"/>
  </r>
  <r>
    <d v="2020-07-28T00:00:00"/>
    <x v="0"/>
    <n v="36750"/>
    <n v="0"/>
    <x v="1"/>
    <x v="1"/>
  </r>
  <r>
    <d v="2020-07-29T00:00:00"/>
    <x v="0"/>
    <n v="35750"/>
    <n v="-1000"/>
    <x v="1"/>
    <x v="0"/>
  </r>
  <r>
    <d v="2020-07-30T00:00:00"/>
    <x v="0"/>
    <n v="35750"/>
    <n v="0"/>
    <x v="1"/>
    <x v="1"/>
  </r>
  <r>
    <d v="2020-08-03T00:00:00"/>
    <x v="0"/>
    <n v="34750"/>
    <m/>
    <x v="1"/>
    <x v="1"/>
  </r>
  <r>
    <d v="2020-08-04T00:00:00"/>
    <x v="0"/>
    <n v="34750"/>
    <n v="0"/>
    <x v="1"/>
    <x v="0"/>
  </r>
  <r>
    <d v="2020-08-05T00:00:00"/>
    <x v="0"/>
    <n v="33250"/>
    <n v="-1500"/>
    <x v="1"/>
    <x v="1"/>
  </r>
  <r>
    <d v="2020-08-06T00:00:00"/>
    <x v="0"/>
    <n v="33250"/>
    <n v="0"/>
    <x v="1"/>
    <x v="1"/>
  </r>
  <r>
    <d v="2020-08-07T00:00:00"/>
    <x v="0"/>
    <n v="33250"/>
    <n v="0"/>
    <x v="1"/>
    <x v="1"/>
  </r>
  <r>
    <d v="2020-08-08T00:00:00"/>
    <x v="0"/>
    <n v="33250"/>
    <n v="0"/>
    <x v="1"/>
    <x v="1"/>
  </r>
  <r>
    <d v="2020-08-09T00:00:00"/>
    <x v="0"/>
    <n v="33250"/>
    <n v="0"/>
    <x v="1"/>
    <x v="1"/>
  </r>
  <r>
    <d v="2020-08-10T00:00:00"/>
    <x v="0"/>
    <n v="35500"/>
    <n v="2250"/>
    <x v="1"/>
    <x v="1"/>
  </r>
  <r>
    <d v="2020-08-11T00:00:00"/>
    <x v="0"/>
    <n v="35500"/>
    <n v="0"/>
    <x v="1"/>
    <x v="1"/>
  </r>
  <r>
    <d v="2020-08-12T00:00:00"/>
    <x v="0"/>
    <n v="38000"/>
    <n v="2500"/>
    <x v="1"/>
    <x v="1"/>
  </r>
  <r>
    <d v="2020-08-13T00:00:00"/>
    <x v="0"/>
    <n v="37500"/>
    <n v="-500"/>
    <x v="1"/>
    <x v="1"/>
  </r>
  <r>
    <d v="2020-08-14T00:00:00"/>
    <x v="0"/>
    <n v="39500"/>
    <n v="2000"/>
    <x v="1"/>
    <x v="1"/>
  </r>
  <r>
    <d v="2020-08-18T00:00:00"/>
    <x v="0"/>
    <n v="40000"/>
    <m/>
    <x v="1"/>
    <x v="1"/>
  </r>
  <r>
    <d v="2020-08-19T00:00:00"/>
    <x v="0"/>
    <n v="40000"/>
    <n v="0"/>
    <x v="1"/>
    <x v="1"/>
  </r>
  <r>
    <d v="2020-08-24T00:00:00"/>
    <x v="0"/>
    <n v="36500"/>
    <m/>
    <x v="1"/>
    <x v="1"/>
  </r>
  <r>
    <d v="2020-08-25T00:00:00"/>
    <x v="0"/>
    <n v="35500"/>
    <n v="-1000"/>
    <x v="1"/>
    <x v="1"/>
  </r>
  <r>
    <d v="2020-08-26T00:00:00"/>
    <x v="0"/>
    <n v="35000"/>
    <n v="-500"/>
    <x v="1"/>
    <x v="1"/>
  </r>
  <r>
    <d v="2020-08-27T00:00:00"/>
    <x v="0"/>
    <n v="35000"/>
    <n v="0"/>
    <x v="1"/>
    <x v="1"/>
  </r>
  <r>
    <d v="2020-08-28T00:00:00"/>
    <x v="0"/>
    <n v="35000"/>
    <n v="0"/>
    <x v="1"/>
    <x v="1"/>
  </r>
  <r>
    <d v="2020-08-29T00:00:00"/>
    <x v="0"/>
    <n v="35000"/>
    <n v="0"/>
    <x v="1"/>
    <x v="1"/>
  </r>
  <r>
    <d v="2020-08-30T00:00:00"/>
    <x v="0"/>
    <n v="35000"/>
    <n v="0"/>
    <x v="1"/>
    <x v="1"/>
  </r>
  <r>
    <d v="2020-08-31T00:00:00"/>
    <x v="0"/>
    <n v="34000"/>
    <n v="-1000"/>
    <x v="1"/>
    <x v="1"/>
  </r>
  <r>
    <d v="2020-09-01T00:00:00"/>
    <x v="0"/>
    <n v="34000"/>
    <n v="0"/>
    <x v="1"/>
    <x v="1"/>
  </r>
  <r>
    <d v="2020-09-02T00:00:00"/>
    <x v="0"/>
    <n v="34000"/>
    <n v="0"/>
    <x v="1"/>
    <x v="1"/>
  </r>
  <r>
    <d v="2020-09-03T00:00:00"/>
    <x v="0"/>
    <n v="32000"/>
    <n v="-2000"/>
    <x v="1"/>
    <x v="1"/>
  </r>
  <r>
    <d v="2020-09-04T00:00:00"/>
    <x v="0"/>
    <n v="33000"/>
    <n v="1000"/>
    <x v="1"/>
    <x v="1"/>
  </r>
  <r>
    <d v="2020-09-05T00:00:00"/>
    <x v="0"/>
    <n v="33000"/>
    <n v="0"/>
    <x v="1"/>
    <x v="1"/>
  </r>
  <r>
    <d v="2020-09-06T00:00:00"/>
    <x v="0"/>
    <n v="33000"/>
    <n v="0"/>
    <x v="1"/>
    <x v="1"/>
  </r>
  <r>
    <d v="2020-09-07T00:00:00"/>
    <x v="0"/>
    <n v="34750"/>
    <n v="1750"/>
    <x v="1"/>
    <x v="1"/>
  </r>
  <r>
    <d v="2020-09-08T00:00:00"/>
    <x v="0"/>
    <n v="35500"/>
    <n v="750"/>
    <x v="1"/>
    <x v="1"/>
  </r>
  <r>
    <d v="2020-09-09T00:00:00"/>
    <x v="0"/>
    <n v="36000"/>
    <n v="500"/>
    <x v="1"/>
    <x v="1"/>
  </r>
  <r>
    <d v="2020-09-10T00:00:00"/>
    <x v="0"/>
    <n v="36000"/>
    <n v="0"/>
    <x v="1"/>
    <x v="1"/>
  </r>
  <r>
    <d v="2020-09-11T00:00:00"/>
    <x v="0"/>
    <n v="36500"/>
    <n v="500"/>
    <x v="1"/>
    <x v="1"/>
  </r>
  <r>
    <d v="2020-09-12T00:00:00"/>
    <x v="0"/>
    <n v="36500"/>
    <n v="0"/>
    <x v="1"/>
    <x v="1"/>
  </r>
  <r>
    <d v="2020-09-13T00:00:00"/>
    <x v="0"/>
    <n v="36500"/>
    <n v="0"/>
    <x v="1"/>
    <x v="0"/>
  </r>
  <r>
    <d v="2020-09-14T00:00:00"/>
    <x v="0"/>
    <n v="35750"/>
    <n v="-750"/>
    <x v="1"/>
    <x v="0"/>
  </r>
  <r>
    <d v="2020-09-15T00:00:00"/>
    <x v="0"/>
    <n v="36000"/>
    <n v="250"/>
    <x v="1"/>
    <x v="1"/>
  </r>
  <r>
    <d v="2020-09-16T00:00:00"/>
    <x v="0"/>
    <n v="36000"/>
    <n v="0"/>
    <x v="1"/>
    <x v="1"/>
  </r>
  <r>
    <d v="2020-09-17T00:00:00"/>
    <x v="0"/>
    <n v="35000"/>
    <n v="-1000"/>
    <x v="1"/>
    <x v="1"/>
  </r>
  <r>
    <d v="2020-09-18T00:00:00"/>
    <x v="0"/>
    <n v="35000"/>
    <n v="0"/>
    <x v="1"/>
    <x v="1"/>
  </r>
  <r>
    <d v="2020-09-21T00:00:00"/>
    <x v="0"/>
    <n v="33000"/>
    <m/>
    <x v="1"/>
    <x v="1"/>
  </r>
  <r>
    <d v="2020-09-22T00:00:00"/>
    <x v="0"/>
    <n v="33000"/>
    <n v="0"/>
    <x v="1"/>
    <x v="1"/>
  </r>
  <r>
    <d v="2020-09-23T00:00:00"/>
    <x v="0"/>
    <n v="32500"/>
    <n v="-500"/>
    <x v="1"/>
    <x v="1"/>
  </r>
  <r>
    <d v="2020-09-24T00:00:00"/>
    <x v="0"/>
    <n v="32500"/>
    <n v="0"/>
    <x v="1"/>
    <x v="0"/>
  </r>
  <r>
    <d v="2020-09-25T00:00:00"/>
    <x v="0"/>
    <n v="32500"/>
    <n v="0"/>
    <x v="1"/>
    <x v="0"/>
  </r>
  <r>
    <d v="2020-09-26T00:00:00"/>
    <x v="0"/>
    <n v="32500"/>
    <n v="0"/>
    <x v="1"/>
    <x v="1"/>
  </r>
  <r>
    <d v="2020-09-27T00:00:00"/>
    <x v="0"/>
    <n v="32500"/>
    <n v="0"/>
    <x v="1"/>
    <x v="1"/>
  </r>
  <r>
    <d v="2020-09-28T00:00:00"/>
    <x v="0"/>
    <n v="32000"/>
    <n v="-500"/>
    <x v="1"/>
    <x v="1"/>
  </r>
  <r>
    <d v="2020-09-29T00:00:00"/>
    <x v="0"/>
    <n v="32000"/>
    <n v="0"/>
    <x v="1"/>
    <x v="1"/>
  </r>
  <r>
    <d v="2020-09-30T00:00:00"/>
    <x v="0"/>
    <n v="30500"/>
    <n v="-1500"/>
    <x v="1"/>
    <x v="1"/>
  </r>
  <r>
    <d v="2020-10-01T00:00:00"/>
    <x v="0"/>
    <n v="30500"/>
    <n v="0"/>
    <x v="0"/>
    <x v="1"/>
  </r>
  <r>
    <d v="2020-10-02T00:00:00"/>
    <x v="0"/>
    <n v="30500"/>
    <n v="0"/>
    <x v="0"/>
    <x v="1"/>
  </r>
  <r>
    <d v="2020-10-03T00:00:00"/>
    <x v="0"/>
    <n v="30500"/>
    <n v="0"/>
    <x v="0"/>
    <x v="1"/>
  </r>
  <r>
    <d v="2020-10-04T00:00:00"/>
    <x v="0"/>
    <n v="30500"/>
    <n v="0"/>
    <x v="0"/>
    <x v="1"/>
  </r>
  <r>
    <d v="2020-10-05T00:00:00"/>
    <x v="0"/>
    <n v="32000"/>
    <n v="1500"/>
    <x v="0"/>
    <x v="0"/>
  </r>
  <r>
    <d v="2020-10-06T00:00:00"/>
    <x v="0"/>
    <n v="32500"/>
    <n v="500"/>
    <x v="0"/>
    <x v="1"/>
  </r>
  <r>
    <d v="2020-10-07T00:00:00"/>
    <x v="0"/>
    <n v="33500"/>
    <n v="1000"/>
    <x v="0"/>
    <x v="1"/>
  </r>
  <r>
    <d v="2020-10-08T00:00:00"/>
    <x v="0"/>
    <n v="33500"/>
    <n v="0"/>
    <x v="0"/>
    <x v="1"/>
  </r>
  <r>
    <d v="2020-10-09T00:00:00"/>
    <x v="0"/>
    <n v="35500"/>
    <n v="2000"/>
    <x v="0"/>
    <x v="1"/>
  </r>
  <r>
    <d v="2020-10-10T00:00:00"/>
    <x v="0"/>
    <n v="35500"/>
    <n v="0"/>
    <x v="0"/>
    <x v="1"/>
  </r>
  <r>
    <d v="2020-10-11T00:00:00"/>
    <x v="0"/>
    <n v="35500"/>
    <n v="0"/>
    <x v="0"/>
    <x v="0"/>
  </r>
  <r>
    <d v="2020-10-12T00:00:00"/>
    <x v="0"/>
    <n v="40000"/>
    <n v="4500"/>
    <x v="0"/>
    <x v="1"/>
  </r>
  <r>
    <d v="2020-10-13T00:00:00"/>
    <x v="0"/>
    <n v="40000"/>
    <n v="0"/>
    <x v="0"/>
    <x v="1"/>
  </r>
  <r>
    <d v="2020-10-14T00:00:00"/>
    <x v="0"/>
    <n v="40000"/>
    <n v="0"/>
    <x v="0"/>
    <x v="0"/>
  </r>
  <r>
    <d v="2020-10-15T00:00:00"/>
    <x v="0"/>
    <n v="40000"/>
    <n v="0"/>
    <x v="0"/>
    <x v="1"/>
  </r>
  <r>
    <d v="2020-10-16T00:00:00"/>
    <x v="0"/>
    <n v="40000"/>
    <n v="0"/>
    <x v="0"/>
    <x v="0"/>
  </r>
  <r>
    <d v="2020-10-19T00:00:00"/>
    <x v="0"/>
    <n v="40000"/>
    <m/>
    <x v="0"/>
    <x v="1"/>
  </r>
  <r>
    <d v="2020-10-20T00:00:00"/>
    <x v="0"/>
    <n v="40000"/>
    <n v="0"/>
    <x v="0"/>
    <x v="1"/>
  </r>
  <r>
    <d v="2020-10-21T00:00:00"/>
    <x v="0"/>
    <n v="40000"/>
    <n v="0"/>
    <x v="0"/>
    <x v="1"/>
  </r>
  <r>
    <d v="2020-10-22T00:00:00"/>
    <x v="0"/>
    <n v="40000"/>
    <n v="0"/>
    <x v="0"/>
    <x v="1"/>
  </r>
  <r>
    <d v="2020-10-23T00:00:00"/>
    <x v="0"/>
    <n v="40000"/>
    <n v="0"/>
    <x v="0"/>
    <x v="1"/>
  </r>
  <r>
    <d v="2020-10-26T00:00:00"/>
    <x v="0"/>
    <n v="41500"/>
    <m/>
    <x v="0"/>
    <x v="1"/>
  </r>
  <r>
    <d v="2020-10-27T00:00:00"/>
    <x v="0"/>
    <n v="41000"/>
    <n v="-500"/>
    <x v="0"/>
    <x v="1"/>
  </r>
  <r>
    <d v="2020-11-02T00:00:00"/>
    <x v="0"/>
    <n v="39000"/>
    <m/>
    <x v="0"/>
    <x v="1"/>
  </r>
  <r>
    <d v="2020-11-03T00:00:00"/>
    <x v="0"/>
    <n v="39000"/>
    <n v="0"/>
    <x v="0"/>
    <x v="0"/>
  </r>
  <r>
    <d v="2020-11-04T00:00:00"/>
    <x v="0"/>
    <n v="39500"/>
    <n v="500"/>
    <x v="0"/>
    <x v="1"/>
  </r>
  <r>
    <d v="2020-11-05T00:00:00"/>
    <x v="0"/>
    <n v="39500"/>
    <n v="0"/>
    <x v="0"/>
    <x v="1"/>
  </r>
  <r>
    <d v="2020-11-06T00:00:00"/>
    <x v="0"/>
    <n v="41500"/>
    <n v="2000"/>
    <x v="0"/>
    <x v="1"/>
  </r>
  <r>
    <d v="2020-11-07T00:00:00"/>
    <x v="0"/>
    <n v="41500"/>
    <n v="0"/>
    <x v="0"/>
    <x v="1"/>
  </r>
  <r>
    <d v="2020-11-08T00:00:00"/>
    <x v="0"/>
    <n v="41500"/>
    <n v="0"/>
    <x v="0"/>
    <x v="0"/>
  </r>
  <r>
    <d v="2020-11-09T00:00:00"/>
    <x v="0"/>
    <n v="43000"/>
    <n v="1500"/>
    <x v="0"/>
    <x v="1"/>
  </r>
  <r>
    <d v="2020-11-10T00:00:00"/>
    <x v="0"/>
    <n v="44000"/>
    <n v="1000"/>
    <x v="0"/>
    <x v="1"/>
  </r>
  <r>
    <d v="2020-11-11T00:00:00"/>
    <x v="0"/>
    <n v="45000"/>
    <n v="1000"/>
    <x v="0"/>
    <x v="1"/>
  </r>
  <r>
    <d v="2020-11-12T00:00:00"/>
    <x v="0"/>
    <n v="45000"/>
    <n v="0"/>
    <x v="0"/>
    <x v="1"/>
  </r>
  <r>
    <d v="2020-11-13T00:00:00"/>
    <x v="0"/>
    <n v="45000"/>
    <n v="0"/>
    <x v="0"/>
    <x v="1"/>
  </r>
  <r>
    <d v="2020-11-14T00:00:00"/>
    <x v="0"/>
    <n v="45000"/>
    <n v="0"/>
    <x v="0"/>
    <x v="1"/>
  </r>
  <r>
    <d v="2020-11-16T00:00:00"/>
    <x v="0"/>
    <n v="44000"/>
    <m/>
    <x v="0"/>
    <x v="1"/>
  </r>
  <r>
    <d v="2020-11-17T00:00:00"/>
    <x v="0"/>
    <n v="44000"/>
    <n v="0"/>
    <x v="0"/>
    <x v="1"/>
  </r>
  <r>
    <d v="2020-11-18T00:00:00"/>
    <x v="0"/>
    <n v="41000"/>
    <n v="-3000"/>
    <x v="0"/>
    <x v="1"/>
  </r>
  <r>
    <d v="2020-11-19T00:00:00"/>
    <x v="0"/>
    <n v="41000"/>
    <n v="0"/>
    <x v="0"/>
    <x v="1"/>
  </r>
  <r>
    <d v="2020-11-20T00:00:00"/>
    <x v="0"/>
    <n v="43000"/>
    <n v="2000"/>
    <x v="0"/>
    <x v="1"/>
  </r>
  <r>
    <d v="2020-11-21T00:00:00"/>
    <x v="0"/>
    <n v="43000"/>
    <n v="0"/>
    <x v="0"/>
    <x v="1"/>
  </r>
  <r>
    <d v="2020-11-22T00:00:00"/>
    <x v="0"/>
    <n v="43000"/>
    <n v="0"/>
    <x v="0"/>
    <x v="1"/>
  </r>
  <r>
    <d v="2020-11-23T00:00:00"/>
    <x v="0"/>
    <n v="43500"/>
    <n v="500"/>
    <x v="0"/>
    <x v="1"/>
  </r>
  <r>
    <d v="2020-11-24T00:00:00"/>
    <x v="0"/>
    <n v="43500"/>
    <n v="0"/>
    <x v="0"/>
    <x v="0"/>
  </r>
  <r>
    <d v="2020-11-25T00:00:00"/>
    <x v="0"/>
    <n v="43500"/>
    <n v="0"/>
    <x v="0"/>
    <x v="1"/>
  </r>
  <r>
    <d v="2020-11-26T00:00:00"/>
    <x v="0"/>
    <n v="43500"/>
    <n v="0"/>
    <x v="0"/>
    <x v="1"/>
  </r>
  <r>
    <d v="2020-11-27T00:00:00"/>
    <x v="0"/>
    <n v="41750"/>
    <n v="-1750"/>
    <x v="0"/>
    <x v="1"/>
  </r>
  <r>
    <d v="2020-11-28T00:00:00"/>
    <x v="0"/>
    <n v="41750"/>
    <n v="0"/>
    <x v="0"/>
    <x v="1"/>
  </r>
  <r>
    <d v="2020-11-29T00:00:00"/>
    <x v="0"/>
    <n v="41750"/>
    <n v="0"/>
    <x v="0"/>
    <x v="0"/>
  </r>
  <r>
    <d v="2020-11-30T00:00:00"/>
    <x v="0"/>
    <n v="42000"/>
    <n v="250"/>
    <x v="0"/>
    <x v="0"/>
  </r>
  <r>
    <d v="2020-12-01T00:00:00"/>
    <x v="0"/>
    <n v="42000"/>
    <n v="0"/>
    <x v="0"/>
    <x v="0"/>
  </r>
  <r>
    <d v="2020-12-02T00:00:00"/>
    <x v="0"/>
    <n v="42000"/>
    <n v="0"/>
    <x v="0"/>
    <x v="1"/>
  </r>
  <r>
    <d v="2020-12-03T00:00:00"/>
    <x v="0"/>
    <n v="42000"/>
    <n v="0"/>
    <x v="0"/>
    <x v="1"/>
  </r>
  <r>
    <d v="2020-12-04T00:00:00"/>
    <x v="0"/>
    <n v="42000"/>
    <n v="0"/>
    <x v="0"/>
    <x v="1"/>
  </r>
  <r>
    <d v="2020-12-05T00:00:00"/>
    <x v="0"/>
    <n v="42000"/>
    <n v="0"/>
    <x v="0"/>
    <x v="1"/>
  </r>
  <r>
    <d v="2020-12-06T00:00:00"/>
    <x v="0"/>
    <n v="42000"/>
    <n v="0"/>
    <x v="0"/>
    <x v="1"/>
  </r>
  <r>
    <d v="2020-12-07T00:00:00"/>
    <x v="0"/>
    <n v="42500"/>
    <n v="500"/>
    <x v="0"/>
    <x v="1"/>
  </r>
  <r>
    <d v="2020-12-08T00:00:00"/>
    <x v="0"/>
    <n v="42500"/>
    <n v="0"/>
    <x v="0"/>
    <x v="1"/>
  </r>
  <r>
    <d v="2020-12-10T00:00:00"/>
    <x v="0"/>
    <n v="42500"/>
    <m/>
    <x v="0"/>
    <x v="1"/>
  </r>
  <r>
    <d v="2020-12-11T00:00:00"/>
    <x v="0"/>
    <n v="42500"/>
    <n v="0"/>
    <x v="0"/>
    <x v="1"/>
  </r>
  <r>
    <d v="2020-12-12T00:00:00"/>
    <x v="0"/>
    <n v="42500"/>
    <n v="0"/>
    <x v="0"/>
    <x v="1"/>
  </r>
  <r>
    <d v="2020-12-13T00:00:00"/>
    <x v="0"/>
    <n v="42500"/>
    <n v="0"/>
    <x v="0"/>
    <x v="1"/>
  </r>
  <r>
    <d v="2020-12-14T00:00:00"/>
    <x v="0"/>
    <n v="40500"/>
    <n v="-2000"/>
    <x v="0"/>
    <x v="0"/>
  </r>
  <r>
    <d v="2020-12-15T00:00:00"/>
    <x v="0"/>
    <n v="40500"/>
    <n v="0"/>
    <x v="0"/>
    <x v="1"/>
  </r>
  <r>
    <d v="2020-12-16T00:00:00"/>
    <x v="0"/>
    <n v="39500"/>
    <n v="-1000"/>
    <x v="0"/>
    <x v="1"/>
  </r>
  <r>
    <d v="2020-12-17T00:00:00"/>
    <x v="0"/>
    <n v="42000"/>
    <n v="2500"/>
    <x v="0"/>
    <x v="1"/>
  </r>
  <r>
    <d v="2020-12-18T00:00:00"/>
    <x v="0"/>
    <n v="42000"/>
    <n v="0"/>
    <x v="0"/>
    <x v="1"/>
  </r>
  <r>
    <d v="2020-12-21T00:00:00"/>
    <x v="0"/>
    <n v="40000"/>
    <m/>
    <x v="0"/>
    <x v="0"/>
  </r>
  <r>
    <d v="2020-12-22T00:00:00"/>
    <x v="0"/>
    <n v="40000"/>
    <n v="0"/>
    <x v="0"/>
    <x v="1"/>
  </r>
  <r>
    <d v="2020-12-23T00:00:00"/>
    <x v="0"/>
    <n v="40000"/>
    <n v="0"/>
    <x v="0"/>
    <x v="1"/>
  </r>
  <r>
    <d v="2020-12-28T00:00:00"/>
    <x v="0"/>
    <n v="37000"/>
    <m/>
    <x v="0"/>
    <x v="0"/>
  </r>
  <r>
    <d v="2020-12-29T00:00:00"/>
    <x v="0"/>
    <n v="37000"/>
    <n v="0"/>
    <x v="0"/>
    <x v="1"/>
  </r>
  <r>
    <d v="2020-12-30T00:00:00"/>
    <x v="0"/>
    <n v="36000"/>
    <n v="-1000"/>
    <x v="0"/>
    <x v="1"/>
  </r>
  <r>
    <d v="2021-01-04T00:00:00"/>
    <x v="1"/>
    <n v="36000"/>
    <m/>
    <x v="0"/>
    <x v="1"/>
  </r>
  <r>
    <d v="2021-01-05T00:00:00"/>
    <x v="1"/>
    <n v="34000"/>
    <n v="-2000"/>
    <x v="0"/>
    <x v="1"/>
  </r>
  <r>
    <d v="2021-01-06T00:00:00"/>
    <x v="1"/>
    <n v="34000"/>
    <n v="0"/>
    <x v="0"/>
    <x v="0"/>
  </r>
  <r>
    <d v="2021-01-07T00:00:00"/>
    <x v="1"/>
    <n v="34000"/>
    <n v="0"/>
    <x v="0"/>
    <x v="0"/>
  </r>
  <r>
    <d v="2021-01-08T00:00:00"/>
    <x v="1"/>
    <n v="34250"/>
    <n v="250"/>
    <x v="0"/>
    <x v="1"/>
  </r>
  <r>
    <d v="2021-01-09T00:00:00"/>
    <x v="1"/>
    <n v="34250"/>
    <n v="0"/>
    <x v="0"/>
    <x v="1"/>
  </r>
  <r>
    <d v="2021-01-10T00:00:00"/>
    <x v="1"/>
    <n v="34250"/>
    <n v="0"/>
    <x v="0"/>
    <x v="1"/>
  </r>
  <r>
    <d v="2021-01-11T00:00:00"/>
    <x v="1"/>
    <n v="34000"/>
    <n v="-250"/>
    <x v="0"/>
    <x v="1"/>
  </r>
  <r>
    <d v="2021-01-12T00:00:00"/>
    <x v="1"/>
    <n v="34000"/>
    <n v="0"/>
    <x v="0"/>
    <x v="1"/>
  </r>
  <r>
    <d v="2021-01-13T00:00:00"/>
    <x v="1"/>
    <n v="34000"/>
    <n v="0"/>
    <x v="0"/>
    <x v="1"/>
  </r>
  <r>
    <d v="2021-01-14T00:00:00"/>
    <x v="1"/>
    <n v="34000"/>
    <n v="0"/>
    <x v="0"/>
    <x v="1"/>
  </r>
  <r>
    <d v="2021-01-15T00:00:00"/>
    <x v="1"/>
    <n v="34000"/>
    <n v="0"/>
    <x v="0"/>
    <x v="0"/>
  </r>
  <r>
    <d v="2021-01-18T00:00:00"/>
    <x v="1"/>
    <n v="33000"/>
    <m/>
    <x v="0"/>
    <x v="1"/>
  </r>
  <r>
    <d v="2021-01-19T00:00:00"/>
    <x v="1"/>
    <n v="33000"/>
    <n v="0"/>
    <x v="0"/>
    <x v="1"/>
  </r>
  <r>
    <d v="2021-01-20T00:00:00"/>
    <x v="1"/>
    <n v="32000"/>
    <n v="-1000"/>
    <x v="0"/>
    <x v="1"/>
  </r>
  <r>
    <d v="2021-01-21T00:00:00"/>
    <x v="1"/>
    <n v="32000"/>
    <n v="0"/>
    <x v="0"/>
    <x v="0"/>
  </r>
  <r>
    <d v="2021-01-22T00:00:00"/>
    <x v="1"/>
    <n v="32000"/>
    <n v="0"/>
    <x v="0"/>
    <x v="0"/>
  </r>
  <r>
    <d v="2021-01-25T00:00:00"/>
    <x v="1"/>
    <n v="33000"/>
    <m/>
    <x v="0"/>
    <x v="0"/>
  </r>
  <r>
    <d v="2021-01-26T00:00:00"/>
    <x v="1"/>
    <n v="33000"/>
    <n v="0"/>
    <x v="0"/>
    <x v="1"/>
  </r>
  <r>
    <d v="2021-01-27T00:00:00"/>
    <x v="1"/>
    <n v="33000"/>
    <n v="0"/>
    <x v="0"/>
    <x v="1"/>
  </r>
  <r>
    <d v="2021-01-28T00:00:00"/>
    <x v="1"/>
    <n v="32000"/>
    <n v="-1000"/>
    <x v="0"/>
    <x v="1"/>
  </r>
  <r>
    <d v="2021-02-01T00:00:00"/>
    <x v="1"/>
    <n v="31000"/>
    <m/>
    <x v="0"/>
    <x v="1"/>
  </r>
  <r>
    <d v="2021-02-02T00:00:00"/>
    <x v="1"/>
    <n v="31500"/>
    <n v="500"/>
    <x v="0"/>
    <x v="1"/>
  </r>
  <r>
    <d v="2021-02-03T00:00:00"/>
    <x v="1"/>
    <n v="31500"/>
    <n v="0"/>
    <x v="0"/>
    <x v="1"/>
  </r>
  <r>
    <d v="2021-02-04T00:00:00"/>
    <x v="1"/>
    <n v="31500"/>
    <n v="0"/>
    <x v="0"/>
    <x v="1"/>
  </r>
  <r>
    <d v="2021-02-05T00:00:00"/>
    <x v="1"/>
    <n v="31500"/>
    <n v="0"/>
    <x v="0"/>
    <x v="1"/>
  </r>
  <r>
    <d v="2021-02-06T00:00:00"/>
    <x v="1"/>
    <n v="31500"/>
    <n v="0"/>
    <x v="0"/>
    <x v="1"/>
  </r>
  <r>
    <d v="2021-02-07T00:00:00"/>
    <x v="1"/>
    <n v="31500"/>
    <n v="0"/>
    <x v="0"/>
    <x v="1"/>
  </r>
  <r>
    <d v="2021-02-08T00:00:00"/>
    <x v="1"/>
    <n v="31000"/>
    <n v="-500"/>
    <x v="0"/>
    <x v="1"/>
  </r>
  <r>
    <d v="2021-02-09T00:00:00"/>
    <x v="1"/>
    <n v="31000"/>
    <n v="0"/>
    <x v="0"/>
    <x v="1"/>
  </r>
  <r>
    <d v="2021-02-10T00:00:00"/>
    <x v="1"/>
    <n v="33250"/>
    <n v="2250"/>
    <x v="0"/>
    <x v="1"/>
  </r>
  <r>
    <d v="2021-02-11T00:00:00"/>
    <x v="1"/>
    <n v="33750"/>
    <n v="500"/>
    <x v="0"/>
    <x v="1"/>
  </r>
  <r>
    <d v="2021-02-15T00:00:00"/>
    <x v="1"/>
    <n v="33750"/>
    <m/>
    <x v="0"/>
    <x v="0"/>
  </r>
  <r>
    <d v="2021-02-16T00:00:00"/>
    <x v="1"/>
    <n v="33750"/>
    <n v="0"/>
    <x v="0"/>
    <x v="1"/>
  </r>
  <r>
    <d v="2021-02-17T00:00:00"/>
    <x v="1"/>
    <n v="33750"/>
    <n v="0"/>
    <x v="0"/>
    <x v="0"/>
  </r>
  <r>
    <d v="2021-02-18T00:00:00"/>
    <x v="1"/>
    <n v="34250"/>
    <n v="500"/>
    <x v="0"/>
    <x v="0"/>
  </r>
  <r>
    <d v="2021-02-19T00:00:00"/>
    <x v="1"/>
    <n v="34250"/>
    <n v="0"/>
    <x v="0"/>
    <x v="1"/>
  </r>
  <r>
    <d v="2021-02-22T00:00:00"/>
    <x v="1"/>
    <n v="37000"/>
    <m/>
    <x v="0"/>
    <x v="1"/>
  </r>
  <r>
    <d v="2021-02-23T00:00:00"/>
    <x v="1"/>
    <n v="36750"/>
    <n v="-250"/>
    <x v="0"/>
    <x v="1"/>
  </r>
  <r>
    <d v="2021-02-24T00:00:00"/>
    <x v="1"/>
    <n v="37250"/>
    <n v="500"/>
    <x v="0"/>
    <x v="1"/>
  </r>
  <r>
    <d v="2021-02-25T00:00:00"/>
    <x v="1"/>
    <n v="37250"/>
    <n v="0"/>
    <x v="0"/>
    <x v="1"/>
  </r>
  <r>
    <d v="2021-02-26T00:00:00"/>
    <x v="1"/>
    <n v="37000"/>
    <n v="-250"/>
    <x v="0"/>
    <x v="1"/>
  </r>
  <r>
    <d v="2021-02-27T00:00:00"/>
    <x v="1"/>
    <n v="37000"/>
    <n v="0"/>
    <x v="0"/>
    <x v="1"/>
  </r>
  <r>
    <d v="2021-02-28T00:00:00"/>
    <x v="1"/>
    <n v="37000"/>
    <n v="0"/>
    <x v="0"/>
    <x v="1"/>
  </r>
  <r>
    <d v="2021-03-01T00:00:00"/>
    <x v="1"/>
    <n v="36750"/>
    <n v="-250"/>
    <x v="0"/>
    <x v="1"/>
  </r>
  <r>
    <d v="2021-03-02T00:00:00"/>
    <x v="1"/>
    <n v="36500"/>
    <n v="-250"/>
    <x v="0"/>
    <x v="0"/>
  </r>
  <r>
    <d v="2021-03-03T00:00:00"/>
    <x v="1"/>
    <n v="36500"/>
    <n v="0"/>
    <x v="0"/>
    <x v="1"/>
  </r>
  <r>
    <d v="2021-03-04T00:00:00"/>
    <x v="1"/>
    <n v="37000"/>
    <n v="500"/>
    <x v="0"/>
    <x v="1"/>
  </r>
  <r>
    <d v="2021-03-05T00:00:00"/>
    <x v="1"/>
    <n v="36500"/>
    <n v="-500"/>
    <x v="0"/>
    <x v="0"/>
  </r>
  <r>
    <d v="2021-03-06T00:00:00"/>
    <x v="1"/>
    <n v="36500"/>
    <n v="0"/>
    <x v="0"/>
    <x v="1"/>
  </r>
  <r>
    <d v="2021-03-07T00:00:00"/>
    <x v="1"/>
    <n v="36500"/>
    <n v="0"/>
    <x v="0"/>
    <x v="1"/>
  </r>
  <r>
    <d v="2021-03-08T00:00:00"/>
    <x v="1"/>
    <n v="38000"/>
    <n v="1500"/>
    <x v="0"/>
    <x v="1"/>
  </r>
  <r>
    <d v="2021-03-09T00:00:00"/>
    <x v="1"/>
    <n v="38500"/>
    <n v="500"/>
    <x v="0"/>
    <x v="1"/>
  </r>
  <r>
    <d v="2021-03-10T00:00:00"/>
    <x v="1"/>
    <n v="38500"/>
    <n v="0"/>
    <x v="0"/>
    <x v="1"/>
  </r>
  <r>
    <d v="2021-03-12T00:00:00"/>
    <x v="1"/>
    <n v="38000"/>
    <m/>
    <x v="0"/>
    <x v="1"/>
  </r>
  <r>
    <d v="2021-03-13T00:00:00"/>
    <x v="1"/>
    <n v="38000"/>
    <n v="0"/>
    <x v="0"/>
    <x v="1"/>
  </r>
  <r>
    <d v="2021-03-14T00:00:00"/>
    <x v="1"/>
    <n v="38000"/>
    <n v="0"/>
    <x v="0"/>
    <x v="1"/>
  </r>
  <r>
    <d v="2021-03-15T00:00:00"/>
    <x v="1"/>
    <n v="39000"/>
    <n v="1000"/>
    <x v="0"/>
    <x v="1"/>
  </r>
  <r>
    <d v="2021-03-16T00:00:00"/>
    <x v="1"/>
    <n v="39000"/>
    <n v="0"/>
    <x v="0"/>
    <x v="1"/>
  </r>
  <r>
    <d v="2021-03-17T00:00:00"/>
    <x v="1"/>
    <n v="37000"/>
    <n v="-2000"/>
    <x v="0"/>
    <x v="1"/>
  </r>
  <r>
    <d v="2021-03-18T00:00:00"/>
    <x v="1"/>
    <n v="37000"/>
    <n v="0"/>
    <x v="0"/>
    <x v="1"/>
  </r>
  <r>
    <d v="2021-03-19T00:00:00"/>
    <x v="1"/>
    <n v="39500"/>
    <n v="2500"/>
    <x v="0"/>
    <x v="1"/>
  </r>
  <r>
    <d v="2021-03-22T00:00:00"/>
    <x v="1"/>
    <n v="39500"/>
    <m/>
    <x v="0"/>
    <x v="0"/>
  </r>
  <r>
    <d v="2021-03-23T00:00:00"/>
    <x v="1"/>
    <n v="38000"/>
    <n v="-1500"/>
    <x v="0"/>
    <x v="1"/>
  </r>
  <r>
    <d v="2021-03-24T00:00:00"/>
    <x v="1"/>
    <n v="38500"/>
    <n v="500"/>
    <x v="0"/>
    <x v="1"/>
  </r>
  <r>
    <d v="2021-03-25T00:00:00"/>
    <x v="1"/>
    <n v="37500"/>
    <n v="-1000"/>
    <x v="0"/>
    <x v="0"/>
  </r>
  <r>
    <d v="2021-03-26T00:00:00"/>
    <x v="1"/>
    <n v="36500"/>
    <n v="-1000"/>
    <x v="0"/>
    <x v="1"/>
  </r>
  <r>
    <d v="2021-03-27T00:00:00"/>
    <x v="1"/>
    <n v="36500"/>
    <n v="0"/>
    <x v="0"/>
    <x v="1"/>
  </r>
  <r>
    <d v="2021-03-28T00:00:00"/>
    <x v="1"/>
    <n v="36500"/>
    <n v="0"/>
    <x v="0"/>
    <x v="0"/>
  </r>
  <r>
    <d v="2021-03-29T00:00:00"/>
    <x v="1"/>
    <n v="36250"/>
    <n v="-250"/>
    <x v="0"/>
    <x v="1"/>
  </r>
  <r>
    <d v="2021-03-30T00:00:00"/>
    <x v="1"/>
    <n v="36500"/>
    <n v="250"/>
    <x v="0"/>
    <x v="1"/>
  </r>
  <r>
    <d v="2021-03-31T00:00:00"/>
    <x v="1"/>
    <n v="36500"/>
    <n v="0"/>
    <x v="0"/>
    <x v="1"/>
  </r>
  <r>
    <d v="2021-04-01T00:00:00"/>
    <x v="1"/>
    <n v="35500"/>
    <n v="-1000"/>
    <x v="1"/>
    <x v="1"/>
  </r>
  <r>
    <d v="2021-04-05T00:00:00"/>
    <x v="1"/>
    <n v="35500"/>
    <m/>
    <x v="1"/>
    <x v="1"/>
  </r>
  <r>
    <d v="2021-04-06T00:00:00"/>
    <x v="1"/>
    <n v="35500"/>
    <n v="0"/>
    <x v="1"/>
    <x v="1"/>
  </r>
  <r>
    <d v="2021-04-07T00:00:00"/>
    <x v="1"/>
    <n v="35000"/>
    <n v="-500"/>
    <x v="1"/>
    <x v="1"/>
  </r>
  <r>
    <d v="2021-04-08T00:00:00"/>
    <x v="1"/>
    <n v="35000"/>
    <n v="0"/>
    <x v="1"/>
    <x v="1"/>
  </r>
  <r>
    <d v="2021-04-09T00:00:00"/>
    <x v="1"/>
    <n v="36000"/>
    <n v="1000"/>
    <x v="1"/>
    <x v="0"/>
  </r>
  <r>
    <d v="2021-04-10T00:00:00"/>
    <x v="1"/>
    <n v="36000"/>
    <n v="0"/>
    <x v="1"/>
    <x v="0"/>
  </r>
  <r>
    <d v="2021-04-11T00:00:00"/>
    <x v="1"/>
    <n v="36000"/>
    <n v="0"/>
    <x v="1"/>
    <x v="1"/>
  </r>
  <r>
    <d v="2021-04-12T00:00:00"/>
    <x v="1"/>
    <n v="37000"/>
    <n v="1000"/>
    <x v="1"/>
    <x v="1"/>
  </r>
  <r>
    <d v="2021-04-13T00:00:00"/>
    <x v="1"/>
    <n v="37000"/>
    <n v="0"/>
    <x v="1"/>
    <x v="1"/>
  </r>
  <r>
    <d v="2021-04-14T00:00:00"/>
    <x v="1"/>
    <n v="37000"/>
    <n v="0"/>
    <x v="1"/>
    <x v="1"/>
  </r>
  <r>
    <d v="2021-04-15T00:00:00"/>
    <x v="1"/>
    <n v="37000"/>
    <n v="0"/>
    <x v="1"/>
    <x v="1"/>
  </r>
  <r>
    <d v="2021-04-16T00:00:00"/>
    <x v="1"/>
    <n v="37000"/>
    <n v="0"/>
    <x v="1"/>
    <x v="0"/>
  </r>
  <r>
    <d v="2021-04-19T00:00:00"/>
    <x v="1"/>
    <n v="36000"/>
    <m/>
    <x v="1"/>
    <x v="1"/>
  </r>
  <r>
    <d v="2021-04-20T00:00:00"/>
    <x v="1"/>
    <n v="35750"/>
    <n v="-250"/>
    <x v="1"/>
    <x v="1"/>
  </r>
  <r>
    <d v="2021-04-21T00:00:00"/>
    <x v="1"/>
    <n v="35750"/>
    <n v="0"/>
    <x v="1"/>
    <x v="1"/>
  </r>
  <r>
    <d v="2021-04-22T00:00:00"/>
    <x v="1"/>
    <n v="35750"/>
    <n v="0"/>
    <x v="1"/>
    <x v="1"/>
  </r>
  <r>
    <d v="2021-04-23T00:00:00"/>
    <x v="1"/>
    <n v="35000"/>
    <n v="-750"/>
    <x v="1"/>
    <x v="1"/>
  </r>
  <r>
    <d v="2021-04-26T00:00:00"/>
    <x v="1"/>
    <n v="34250"/>
    <m/>
    <x v="1"/>
    <x v="1"/>
  </r>
  <r>
    <d v="2021-04-27T00:00:00"/>
    <x v="1"/>
    <n v="34250"/>
    <n v="0"/>
    <x v="1"/>
    <x v="1"/>
  </r>
  <r>
    <d v="2021-04-28T00:00:00"/>
    <x v="1"/>
    <n v="33500"/>
    <n v="-750"/>
    <x v="1"/>
    <x v="1"/>
  </r>
  <r>
    <d v="2021-04-29T00:00:00"/>
    <x v="1"/>
    <n v="33500"/>
    <n v="0"/>
    <x v="1"/>
    <x v="0"/>
  </r>
  <r>
    <d v="2021-04-30T00:00:00"/>
    <x v="1"/>
    <n v="34000"/>
    <n v="500"/>
    <x v="1"/>
    <x v="1"/>
  </r>
  <r>
    <d v="2021-05-01T00:00:00"/>
    <x v="1"/>
    <n v="34000"/>
    <n v="0"/>
    <x v="1"/>
    <x v="1"/>
  </r>
  <r>
    <d v="2021-05-02T00:00:00"/>
    <x v="1"/>
    <n v="34000"/>
    <n v="0"/>
    <x v="1"/>
    <x v="1"/>
  </r>
  <r>
    <d v="2021-05-03T00:00:00"/>
    <x v="1"/>
    <n v="33750"/>
    <n v="-250"/>
    <x v="1"/>
    <x v="1"/>
  </r>
  <r>
    <d v="2021-05-04T00:00:00"/>
    <x v="1"/>
    <n v="32000"/>
    <n v="-1750"/>
    <x v="1"/>
    <x v="1"/>
  </r>
  <r>
    <d v="2021-05-05T00:00:00"/>
    <x v="1"/>
    <n v="32500"/>
    <n v="500"/>
    <x v="1"/>
    <x v="1"/>
  </r>
  <r>
    <d v="2021-05-06T00:00:00"/>
    <x v="1"/>
    <n v="32500"/>
    <n v="0"/>
    <x v="1"/>
    <x v="0"/>
  </r>
  <r>
    <d v="2021-05-07T00:00:00"/>
    <x v="1"/>
    <n v="32500"/>
    <n v="0"/>
    <x v="1"/>
    <x v="0"/>
  </r>
  <r>
    <d v="2021-05-08T00:00:00"/>
    <x v="1"/>
    <n v="32500"/>
    <n v="0"/>
    <x v="1"/>
    <x v="0"/>
  </r>
  <r>
    <d v="2021-05-09T00:00:00"/>
    <x v="1"/>
    <n v="32500"/>
    <n v="0"/>
    <x v="1"/>
    <x v="1"/>
  </r>
  <r>
    <d v="2021-05-10T00:00:00"/>
    <x v="1"/>
    <n v="32500"/>
    <n v="0"/>
    <x v="1"/>
    <x v="1"/>
  </r>
  <r>
    <d v="2021-05-11T00:00:00"/>
    <x v="1"/>
    <n v="32000"/>
    <n v="-500"/>
    <x v="1"/>
    <x v="1"/>
  </r>
  <r>
    <d v="2021-05-17T00:00:00"/>
    <x v="1"/>
    <n v="33750"/>
    <m/>
    <x v="1"/>
    <x v="0"/>
  </r>
  <r>
    <d v="2021-05-18T00:00:00"/>
    <x v="1"/>
    <n v="35250"/>
    <n v="1500"/>
    <x v="1"/>
    <x v="0"/>
  </r>
  <r>
    <d v="2021-05-19T00:00:00"/>
    <x v="1"/>
    <n v="35500"/>
    <n v="250"/>
    <x v="1"/>
    <x v="1"/>
  </r>
  <r>
    <d v="2021-05-20T00:00:00"/>
    <x v="1"/>
    <n v="36500"/>
    <n v="1000"/>
    <x v="1"/>
    <x v="0"/>
  </r>
  <r>
    <d v="2021-05-21T00:00:00"/>
    <x v="1"/>
    <n v="36500"/>
    <n v="0"/>
    <x v="1"/>
    <x v="0"/>
  </r>
  <r>
    <d v="2021-05-22T00:00:00"/>
    <x v="1"/>
    <n v="36500"/>
    <n v="0"/>
    <x v="1"/>
    <x v="1"/>
  </r>
  <r>
    <d v="2021-05-24T00:00:00"/>
    <x v="1"/>
    <n v="38000"/>
    <m/>
    <x v="1"/>
    <x v="1"/>
  </r>
  <r>
    <d v="2021-05-25T00:00:00"/>
    <x v="1"/>
    <n v="38000"/>
    <n v="0"/>
    <x v="1"/>
    <x v="1"/>
  </r>
  <r>
    <d v="2021-05-27T00:00:00"/>
    <x v="1"/>
    <n v="39000"/>
    <m/>
    <x v="1"/>
    <x v="1"/>
  </r>
  <r>
    <d v="2021-05-28T00:00:00"/>
    <x v="1"/>
    <n v="37500"/>
    <n v="-1500"/>
    <x v="1"/>
    <x v="1"/>
  </r>
  <r>
    <d v="2021-05-29T00:00:00"/>
    <x v="1"/>
    <n v="37500"/>
    <n v="0"/>
    <x v="1"/>
    <x v="1"/>
  </r>
  <r>
    <d v="2021-05-30T00:00:00"/>
    <x v="1"/>
    <n v="37500"/>
    <n v="0"/>
    <x v="1"/>
    <x v="1"/>
  </r>
  <r>
    <d v="2021-05-31T00:00:00"/>
    <x v="1"/>
    <n v="35750"/>
    <n v="-1750"/>
    <x v="1"/>
    <x v="1"/>
  </r>
  <r>
    <d v="2021-06-02T00:00:00"/>
    <x v="1"/>
    <n v="35000"/>
    <m/>
    <x v="1"/>
    <x v="1"/>
  </r>
  <r>
    <d v="2021-06-03T00:00:00"/>
    <x v="1"/>
    <n v="35000"/>
    <n v="0"/>
    <x v="1"/>
    <x v="1"/>
  </r>
  <r>
    <d v="2021-06-04T00:00:00"/>
    <x v="1"/>
    <n v="34500"/>
    <n v="-500"/>
    <x v="1"/>
    <x v="1"/>
  </r>
  <r>
    <d v="2021-06-05T00:00:00"/>
    <x v="1"/>
    <n v="34500"/>
    <n v="0"/>
    <x v="1"/>
    <x v="1"/>
  </r>
  <r>
    <d v="2021-06-06T00:00:00"/>
    <x v="1"/>
    <n v="34500"/>
    <n v="0"/>
    <x v="1"/>
    <x v="1"/>
  </r>
  <r>
    <d v="2021-06-07T00:00:00"/>
    <x v="1"/>
    <n v="31250"/>
    <n v="-3250"/>
    <x v="1"/>
    <x v="0"/>
  </r>
  <r>
    <d v="2021-06-08T00:00:00"/>
    <x v="1"/>
    <n v="30750"/>
    <n v="-500"/>
    <x v="1"/>
    <x v="1"/>
  </r>
  <r>
    <d v="2021-06-09T00:00:00"/>
    <x v="1"/>
    <n v="31500"/>
    <n v="750"/>
    <x v="1"/>
    <x v="1"/>
  </r>
  <r>
    <d v="2021-06-10T00:00:00"/>
    <x v="1"/>
    <n v="31500"/>
    <n v="0"/>
    <x v="1"/>
    <x v="1"/>
  </r>
  <r>
    <d v="2021-06-11T00:00:00"/>
    <x v="1"/>
    <n v="31500"/>
    <n v="0"/>
    <x v="1"/>
    <x v="1"/>
  </r>
  <r>
    <d v="2021-06-12T00:00:00"/>
    <x v="1"/>
    <n v="31500"/>
    <n v="0"/>
    <x v="1"/>
    <x v="1"/>
  </r>
  <r>
    <d v="2021-06-13T00:00:00"/>
    <x v="1"/>
    <n v="31500"/>
    <n v="0"/>
    <x v="1"/>
    <x v="0"/>
  </r>
  <r>
    <d v="2021-06-14T00:00:00"/>
    <x v="1"/>
    <n v="31000"/>
    <n v="-500"/>
    <x v="1"/>
    <x v="0"/>
  </r>
  <r>
    <d v="2021-06-15T00:00:00"/>
    <x v="1"/>
    <n v="30000"/>
    <n v="-1000"/>
    <x v="1"/>
    <x v="1"/>
  </r>
  <r>
    <d v="2021-06-16T00:00:00"/>
    <x v="1"/>
    <n v="30000"/>
    <n v="0"/>
    <x v="1"/>
    <x v="1"/>
  </r>
  <r>
    <d v="2021-06-17T00:00:00"/>
    <x v="1"/>
    <n v="30000"/>
    <n v="0"/>
    <x v="1"/>
    <x v="1"/>
  </r>
  <r>
    <d v="2021-06-18T00:00:00"/>
    <x v="1"/>
    <n v="31000"/>
    <n v="1000"/>
    <x v="1"/>
    <x v="1"/>
  </r>
  <r>
    <d v="2021-06-21T00:00:00"/>
    <x v="1"/>
    <n v="34250"/>
    <m/>
    <x v="1"/>
    <x v="1"/>
  </r>
  <r>
    <d v="2021-06-22T00:00:00"/>
    <x v="1"/>
    <n v="34250"/>
    <n v="0"/>
    <x v="1"/>
    <x v="1"/>
  </r>
  <r>
    <d v="2021-06-23T00:00:00"/>
    <x v="1"/>
    <n v="34500"/>
    <n v="250"/>
    <x v="1"/>
    <x v="1"/>
  </r>
  <r>
    <d v="2021-06-24T00:00:00"/>
    <x v="1"/>
    <n v="34500"/>
    <n v="0"/>
    <x v="1"/>
    <x v="1"/>
  </r>
  <r>
    <d v="2021-06-25T00:00:00"/>
    <x v="1"/>
    <n v="34000"/>
    <n v="-500"/>
    <x v="1"/>
    <x v="1"/>
  </r>
  <r>
    <d v="2021-06-26T00:00:00"/>
    <x v="1"/>
    <n v="34000"/>
    <n v="0"/>
    <x v="1"/>
    <x v="1"/>
  </r>
  <r>
    <d v="2021-06-27T00:00:00"/>
    <x v="1"/>
    <n v="34000"/>
    <n v="0"/>
    <x v="1"/>
    <x v="1"/>
  </r>
  <r>
    <d v="2021-06-28T00:00:00"/>
    <x v="1"/>
    <n v="33750"/>
    <n v="-250"/>
    <x v="1"/>
    <x v="1"/>
  </r>
  <r>
    <d v="2021-06-29T00:00:00"/>
    <x v="1"/>
    <n v="33750"/>
    <n v="0"/>
    <x v="1"/>
    <x v="1"/>
  </r>
  <r>
    <d v="2021-06-30T00:00:00"/>
    <x v="1"/>
    <n v="34750"/>
    <n v="1000"/>
    <x v="1"/>
    <x v="1"/>
  </r>
  <r>
    <d v="2021-07-01T00:00:00"/>
    <x v="1"/>
    <n v="34000"/>
    <n v="-750"/>
    <x v="1"/>
    <x v="1"/>
  </r>
  <r>
    <d v="2021-07-02T00:00:00"/>
    <x v="1"/>
    <n v="34000"/>
    <n v="0"/>
    <x v="1"/>
    <x v="1"/>
  </r>
  <r>
    <d v="2021-07-03T00:00:00"/>
    <x v="1"/>
    <n v="34000"/>
    <n v="0"/>
    <x v="1"/>
    <x v="0"/>
  </r>
  <r>
    <d v="2021-07-04T00:00:00"/>
    <x v="1"/>
    <n v="34000"/>
    <n v="0"/>
    <x v="1"/>
    <x v="0"/>
  </r>
  <r>
    <d v="2021-07-05T00:00:00"/>
    <x v="1"/>
    <n v="34250"/>
    <n v="250"/>
    <x v="1"/>
    <x v="1"/>
  </r>
  <r>
    <d v="2021-07-06T00:00:00"/>
    <x v="1"/>
    <n v="34250"/>
    <n v="0"/>
    <x v="1"/>
    <x v="1"/>
  </r>
  <r>
    <d v="2021-07-07T00:00:00"/>
    <x v="1"/>
    <n v="34750"/>
    <n v="500"/>
    <x v="1"/>
    <x v="1"/>
  </r>
  <r>
    <d v="2021-07-08T00:00:00"/>
    <x v="1"/>
    <n v="34750"/>
    <n v="0"/>
    <x v="1"/>
    <x v="1"/>
  </r>
  <r>
    <d v="2021-07-09T00:00:00"/>
    <x v="1"/>
    <n v="35500"/>
    <n v="750"/>
    <x v="1"/>
    <x v="1"/>
  </r>
  <r>
    <d v="2021-07-10T00:00:00"/>
    <x v="1"/>
    <n v="35500"/>
    <n v="0"/>
    <x v="1"/>
    <x v="1"/>
  </r>
  <r>
    <d v="2021-07-11T00:00:00"/>
    <x v="1"/>
    <n v="35500"/>
    <n v="0"/>
    <x v="1"/>
    <x v="1"/>
  </r>
  <r>
    <d v="2021-07-12T00:00:00"/>
    <x v="1"/>
    <n v="34650"/>
    <n v="-850"/>
    <x v="1"/>
    <x v="1"/>
  </r>
  <r>
    <d v="2021-07-13T00:00:00"/>
    <x v="1"/>
    <n v="34650"/>
    <n v="0"/>
    <x v="1"/>
    <x v="1"/>
  </r>
  <r>
    <d v="2021-07-14T00:00:00"/>
    <x v="1"/>
    <n v="34650"/>
    <n v="0"/>
    <x v="1"/>
    <x v="1"/>
  </r>
  <r>
    <d v="2021-07-15T00:00:00"/>
    <x v="1"/>
    <n v="35150"/>
    <n v="500"/>
    <x v="1"/>
    <x v="1"/>
  </r>
  <r>
    <d v="2021-07-16T00:00:00"/>
    <x v="1"/>
    <n v="36150"/>
    <n v="1000"/>
    <x v="1"/>
    <x v="0"/>
  </r>
  <r>
    <d v="2021-07-19T00:00:00"/>
    <x v="1"/>
    <n v="39900"/>
    <m/>
    <x v="1"/>
    <x v="1"/>
  </r>
  <r>
    <d v="2021-07-21T00:00:00"/>
    <x v="1"/>
    <n v="38750"/>
    <m/>
    <x v="1"/>
    <x v="1"/>
  </r>
  <r>
    <d v="2021-07-22T00:00:00"/>
    <x v="1"/>
    <n v="38150"/>
    <n v="-600"/>
    <x v="1"/>
    <x v="1"/>
  </r>
  <r>
    <d v="2021-07-23T00:00:00"/>
    <x v="1"/>
    <n v="38150"/>
    <n v="0"/>
    <x v="1"/>
    <x v="1"/>
  </r>
  <r>
    <d v="2021-07-24T00:00:00"/>
    <x v="1"/>
    <n v="38150"/>
    <n v="0"/>
    <x v="1"/>
    <x v="1"/>
  </r>
  <r>
    <d v="2021-07-26T00:00:00"/>
    <x v="1"/>
    <n v="37900"/>
    <m/>
    <x v="1"/>
    <x v="1"/>
  </r>
  <r>
    <d v="2021-07-27T00:00:00"/>
    <x v="1"/>
    <n v="37900"/>
    <n v="0"/>
    <x v="1"/>
    <x v="1"/>
  </r>
  <r>
    <d v="2021-07-28T00:00:00"/>
    <x v="1"/>
    <n v="37650"/>
    <n v="-250"/>
    <x v="1"/>
    <x v="1"/>
  </r>
  <r>
    <d v="2021-07-29T00:00:00"/>
    <x v="1"/>
    <n v="38650"/>
    <n v="1000"/>
    <x v="1"/>
    <x v="1"/>
  </r>
  <r>
    <d v="2021-07-30T00:00:00"/>
    <x v="1"/>
    <n v="39150"/>
    <n v="500"/>
    <x v="1"/>
    <x v="1"/>
  </r>
  <r>
    <d v="2021-07-31T00:00:00"/>
    <x v="1"/>
    <n v="39150"/>
    <n v="0"/>
    <x v="1"/>
    <x v="1"/>
  </r>
  <r>
    <d v="2021-08-01T00:00:00"/>
    <x v="1"/>
    <n v="39150"/>
    <n v="0"/>
    <x v="1"/>
    <x v="1"/>
  </r>
  <r>
    <d v="2021-08-02T00:00:00"/>
    <x v="1"/>
    <n v="40400"/>
    <n v="1250"/>
    <x v="1"/>
    <x v="1"/>
  </r>
  <r>
    <d v="2021-08-03T00:00:00"/>
    <x v="1"/>
    <n v="40400"/>
    <n v="0"/>
    <x v="1"/>
    <x v="1"/>
  </r>
  <r>
    <d v="2021-08-04T00:00:00"/>
    <x v="1"/>
    <n v="40400"/>
    <n v="0"/>
    <x v="1"/>
    <x v="1"/>
  </r>
  <r>
    <d v="2021-08-05T00:00:00"/>
    <x v="1"/>
    <n v="39900"/>
    <n v="-500"/>
    <x v="1"/>
    <x v="1"/>
  </r>
  <r>
    <d v="2021-08-06T00:00:00"/>
    <x v="1"/>
    <n v="41250"/>
    <n v="1350"/>
    <x v="1"/>
    <x v="1"/>
  </r>
  <r>
    <d v="2021-08-07T00:00:00"/>
    <x v="1"/>
    <n v="41250"/>
    <n v="0"/>
    <x v="1"/>
    <x v="1"/>
  </r>
  <r>
    <d v="2021-08-08T00:00:00"/>
    <x v="1"/>
    <n v="41250"/>
    <n v="0"/>
    <x v="1"/>
    <x v="1"/>
  </r>
  <r>
    <d v="2021-08-09T00:00:00"/>
    <x v="1"/>
    <n v="40400"/>
    <n v="-850"/>
    <x v="1"/>
    <x v="1"/>
  </r>
  <r>
    <d v="2021-08-10T00:00:00"/>
    <x v="1"/>
    <n v="40400"/>
    <n v="0"/>
    <x v="1"/>
    <x v="1"/>
  </r>
  <r>
    <d v="2021-08-12T00:00:00"/>
    <x v="1"/>
    <n v="39900"/>
    <m/>
    <x v="1"/>
    <x v="1"/>
  </r>
  <r>
    <d v="2021-08-13T00:00:00"/>
    <x v="1"/>
    <n v="39400"/>
    <n v="-500"/>
    <x v="1"/>
    <x v="1"/>
  </r>
  <r>
    <d v="2021-08-14T00:00:00"/>
    <x v="1"/>
    <n v="39400"/>
    <n v="0"/>
    <x v="1"/>
    <x v="1"/>
  </r>
  <r>
    <d v="2021-08-16T00:00:00"/>
    <x v="1"/>
    <n v="38900"/>
    <m/>
    <x v="1"/>
    <x v="1"/>
  </r>
  <r>
    <d v="2021-08-18T00:00:00"/>
    <x v="1"/>
    <n v="39150"/>
    <m/>
    <x v="1"/>
    <x v="1"/>
  </r>
  <r>
    <d v="2021-08-19T00:00:00"/>
    <x v="1"/>
    <n v="38650"/>
    <n v="-500"/>
    <x v="1"/>
    <x v="0"/>
  </r>
  <r>
    <d v="2021-08-20T00:00:00"/>
    <x v="1"/>
    <n v="39150"/>
    <n v="500"/>
    <x v="1"/>
    <x v="1"/>
  </r>
  <r>
    <d v="2021-08-21T00:00:00"/>
    <x v="1"/>
    <n v="39150"/>
    <n v="0"/>
    <x v="1"/>
    <x v="1"/>
  </r>
  <r>
    <d v="2021-08-22T00:00:00"/>
    <x v="1"/>
    <n v="39150"/>
    <n v="0"/>
    <x v="1"/>
    <x v="1"/>
  </r>
  <r>
    <d v="2021-08-23T00:00:00"/>
    <x v="1"/>
    <n v="38400"/>
    <n v="-750"/>
    <x v="1"/>
    <x v="1"/>
  </r>
  <r>
    <d v="2021-08-24T00:00:00"/>
    <x v="1"/>
    <n v="38150"/>
    <n v="-250"/>
    <x v="1"/>
    <x v="1"/>
  </r>
  <r>
    <d v="2021-08-25T00:00:00"/>
    <x v="1"/>
    <n v="36650"/>
    <n v="-1500"/>
    <x v="1"/>
    <x v="0"/>
  </r>
  <r>
    <d v="2021-08-26T00:00:00"/>
    <x v="1"/>
    <n v="36400"/>
    <n v="-250"/>
    <x v="1"/>
    <x v="0"/>
  </r>
  <r>
    <d v="2021-08-27T00:00:00"/>
    <x v="1"/>
    <n v="37000"/>
    <n v="600"/>
    <x v="1"/>
    <x v="1"/>
  </r>
  <r>
    <d v="2021-08-28T00:00:00"/>
    <x v="1"/>
    <n v="37000"/>
    <n v="0"/>
    <x v="1"/>
    <x v="1"/>
  </r>
  <r>
    <d v="2021-08-29T00:00:00"/>
    <x v="1"/>
    <n v="37000"/>
    <n v="0"/>
    <x v="1"/>
    <x v="1"/>
  </r>
  <r>
    <d v="2021-08-30T00:00:00"/>
    <x v="1"/>
    <n v="35750"/>
    <n v="-1250"/>
    <x v="1"/>
    <x v="1"/>
  </r>
  <r>
    <d v="2021-08-31T00:00:00"/>
    <x v="1"/>
    <n v="35750"/>
    <n v="0"/>
    <x v="1"/>
    <x v="1"/>
  </r>
  <r>
    <d v="2021-09-01T00:00:00"/>
    <x v="1"/>
    <n v="35500"/>
    <n v="-250"/>
    <x v="1"/>
    <x v="1"/>
  </r>
  <r>
    <d v="2021-09-02T00:00:00"/>
    <x v="1"/>
    <n v="35500"/>
    <n v="0"/>
    <x v="1"/>
    <x v="1"/>
  </r>
  <r>
    <d v="2021-09-03T00:00:00"/>
    <x v="1"/>
    <n v="35500"/>
    <n v="0"/>
    <x v="1"/>
    <x v="1"/>
  </r>
  <r>
    <d v="2021-09-04T00:00:00"/>
    <x v="1"/>
    <n v="35500"/>
    <n v="0"/>
    <x v="1"/>
    <x v="0"/>
  </r>
  <r>
    <d v="2021-09-05T00:00:00"/>
    <x v="1"/>
    <n v="35500"/>
    <n v="0"/>
    <x v="1"/>
    <x v="0"/>
  </r>
  <r>
    <d v="2021-09-06T00:00:00"/>
    <x v="1"/>
    <n v="36250"/>
    <n v="750"/>
    <x v="1"/>
    <x v="1"/>
  </r>
  <r>
    <d v="2021-09-07T00:00:00"/>
    <x v="1"/>
    <n v="36000"/>
    <n v="-250"/>
    <x v="1"/>
    <x v="1"/>
  </r>
  <r>
    <d v="2021-09-08T00:00:00"/>
    <x v="1"/>
    <n v="36000"/>
    <n v="0"/>
    <x v="1"/>
    <x v="1"/>
  </r>
  <r>
    <d v="2021-09-09T00:00:00"/>
    <x v="1"/>
    <n v="36000"/>
    <n v="0"/>
    <x v="1"/>
    <x v="0"/>
  </r>
  <r>
    <d v="2021-09-10T00:00:00"/>
    <x v="1"/>
    <n v="35750"/>
    <n v="-250"/>
    <x v="1"/>
    <x v="1"/>
  </r>
  <r>
    <d v="2021-09-11T00:00:00"/>
    <x v="1"/>
    <n v="35750"/>
    <n v="0"/>
    <x v="1"/>
    <x v="1"/>
  </r>
  <r>
    <d v="2021-09-12T00:00:00"/>
    <x v="1"/>
    <n v="35750"/>
    <n v="0"/>
    <x v="1"/>
    <x v="0"/>
  </r>
  <r>
    <d v="2021-09-13T00:00:00"/>
    <x v="1"/>
    <n v="34750"/>
    <n v="-1000"/>
    <x v="1"/>
    <x v="0"/>
  </r>
  <r>
    <d v="2021-09-14T00:00:00"/>
    <x v="1"/>
    <n v="33900"/>
    <n v="-850"/>
    <x v="1"/>
    <x v="0"/>
  </r>
  <r>
    <d v="2021-09-15T00:00:00"/>
    <x v="1"/>
    <n v="33900"/>
    <n v="0"/>
    <x v="1"/>
    <x v="1"/>
  </r>
  <r>
    <d v="2021-09-16T00:00:00"/>
    <x v="1"/>
    <n v="34000"/>
    <n v="100"/>
    <x v="1"/>
    <x v="0"/>
  </r>
  <r>
    <d v="2021-09-17T00:00:00"/>
    <x v="1"/>
    <n v="33500"/>
    <n v="-500"/>
    <x v="1"/>
    <x v="1"/>
  </r>
  <r>
    <d v="2021-09-20T00:00:00"/>
    <x v="1"/>
    <n v="33650"/>
    <m/>
    <x v="1"/>
    <x v="0"/>
  </r>
  <r>
    <d v="2021-09-21T00:00:00"/>
    <x v="1"/>
    <n v="33650"/>
    <n v="0"/>
    <x v="1"/>
    <x v="0"/>
  </r>
  <r>
    <d v="2021-09-22T00:00:00"/>
    <x v="1"/>
    <n v="33650"/>
    <n v="0"/>
    <x v="1"/>
    <x v="0"/>
  </r>
  <r>
    <d v="2021-09-23T00:00:00"/>
    <x v="1"/>
    <n v="33650"/>
    <n v="0"/>
    <x v="1"/>
    <x v="1"/>
  </r>
  <r>
    <d v="2021-09-24T00:00:00"/>
    <x v="1"/>
    <n v="33650"/>
    <n v="0"/>
    <x v="1"/>
    <x v="1"/>
  </r>
  <r>
    <d v="2021-09-27T00:00:00"/>
    <x v="1"/>
    <n v="33150"/>
    <m/>
    <x v="1"/>
    <x v="1"/>
  </r>
  <r>
    <d v="2021-09-28T00:00:00"/>
    <x v="1"/>
    <n v="33150"/>
    <n v="0"/>
    <x v="1"/>
    <x v="1"/>
  </r>
  <r>
    <d v="2021-09-29T00:00:00"/>
    <x v="1"/>
    <n v="33150"/>
    <n v="0"/>
    <x v="1"/>
    <x v="1"/>
  </r>
  <r>
    <d v="2021-09-30T00:00:00"/>
    <x v="1"/>
    <n v="32900"/>
    <n v="-250"/>
    <x v="1"/>
    <x v="1"/>
  </r>
  <r>
    <d v="2021-10-01T00:00:00"/>
    <x v="1"/>
    <n v="32900"/>
    <n v="0"/>
    <x v="0"/>
    <x v="0"/>
  </r>
  <r>
    <d v="2021-10-02T00:00:00"/>
    <x v="1"/>
    <n v="32900"/>
    <n v="0"/>
    <x v="0"/>
    <x v="0"/>
  </r>
  <r>
    <d v="2021-10-03T00:00:00"/>
    <x v="1"/>
    <n v="32900"/>
    <n v="0"/>
    <x v="0"/>
    <x v="1"/>
  </r>
  <r>
    <d v="2021-10-04T00:00:00"/>
    <x v="1"/>
    <n v="32000"/>
    <n v="-900"/>
    <x v="0"/>
    <x v="1"/>
  </r>
  <r>
    <d v="2021-10-05T00:00:00"/>
    <x v="1"/>
    <n v="32000"/>
    <n v="0"/>
    <x v="0"/>
    <x v="1"/>
  </r>
  <r>
    <d v="2021-10-06T00:00:00"/>
    <x v="1"/>
    <n v="32000"/>
    <n v="0"/>
    <x v="0"/>
    <x v="1"/>
  </r>
  <r>
    <d v="2021-10-07T00:00:00"/>
    <x v="1"/>
    <n v="32000"/>
    <n v="0"/>
    <x v="0"/>
    <x v="1"/>
  </r>
  <r>
    <d v="2021-10-08T00:00:00"/>
    <x v="1"/>
    <n v="32000"/>
    <n v="0"/>
    <x v="0"/>
    <x v="1"/>
  </r>
  <r>
    <d v="2021-10-09T00:00:00"/>
    <x v="1"/>
    <n v="32000"/>
    <n v="0"/>
    <x v="0"/>
    <x v="1"/>
  </r>
  <r>
    <d v="2021-10-10T00:00:00"/>
    <x v="1"/>
    <n v="32000"/>
    <n v="0"/>
    <x v="0"/>
    <x v="1"/>
  </r>
  <r>
    <d v="2021-10-11T00:00:00"/>
    <x v="1"/>
    <n v="32000"/>
    <n v="0"/>
    <x v="0"/>
    <x v="1"/>
  </r>
  <r>
    <d v="2021-10-12T00:00:00"/>
    <x v="1"/>
    <n v="32000"/>
    <n v="0"/>
    <x v="0"/>
    <x v="1"/>
  </r>
  <r>
    <d v="2021-10-13T00:00:00"/>
    <x v="1"/>
    <n v="32000"/>
    <n v="0"/>
    <x v="0"/>
    <x v="1"/>
  </r>
  <r>
    <d v="2021-10-14T00:00:00"/>
    <x v="1"/>
    <n v="32000"/>
    <n v="0"/>
    <x v="0"/>
    <x v="1"/>
  </r>
  <r>
    <d v="2021-10-15T00:00:00"/>
    <x v="1"/>
    <n v="32000"/>
    <n v="0"/>
    <x v="0"/>
    <x v="1"/>
  </r>
  <r>
    <d v="2021-10-16T00:00:00"/>
    <x v="1"/>
    <n v="32000"/>
    <n v="0"/>
    <x v="0"/>
    <x v="1"/>
  </r>
  <r>
    <d v="2021-10-17T00:00:00"/>
    <x v="1"/>
    <n v="32000"/>
    <n v="0"/>
    <x v="0"/>
    <x v="1"/>
  </r>
  <r>
    <d v="2021-10-18T00:00:00"/>
    <x v="1"/>
    <n v="32500"/>
    <n v="500"/>
    <x v="0"/>
    <x v="1"/>
  </r>
  <r>
    <d v="2021-10-19T00:00:00"/>
    <x v="1"/>
    <n v="32750"/>
    <n v="250"/>
    <x v="0"/>
    <x v="1"/>
  </r>
  <r>
    <d v="2021-10-21T00:00:00"/>
    <x v="1"/>
    <n v="32750"/>
    <m/>
    <x v="0"/>
    <x v="1"/>
  </r>
  <r>
    <d v="2021-10-22T00:00:00"/>
    <x v="1"/>
    <n v="32750"/>
    <n v="0"/>
    <x v="0"/>
    <x v="0"/>
  </r>
  <r>
    <d v="2021-10-25T00:00:00"/>
    <x v="1"/>
    <n v="32750"/>
    <m/>
    <x v="0"/>
    <x v="1"/>
  </r>
  <r>
    <d v="2021-10-26T00:00:00"/>
    <x v="1"/>
    <n v="32750"/>
    <n v="0"/>
    <x v="0"/>
    <x v="1"/>
  </r>
  <r>
    <d v="2021-10-27T00:00:00"/>
    <x v="1"/>
    <n v="32750"/>
    <n v="0"/>
    <x v="0"/>
    <x v="1"/>
  </r>
  <r>
    <d v="2021-10-28T00:00:00"/>
    <x v="1"/>
    <n v="32750"/>
    <n v="0"/>
    <x v="0"/>
    <x v="1"/>
  </r>
  <r>
    <d v="2021-10-29T00:00:00"/>
    <x v="1"/>
    <n v="31250"/>
    <n v="-1500"/>
    <x v="0"/>
    <x v="1"/>
  </r>
  <r>
    <d v="2021-10-30T00:00:00"/>
    <x v="1"/>
    <n v="31250"/>
    <n v="0"/>
    <x v="0"/>
    <x v="0"/>
  </r>
  <r>
    <d v="2021-10-31T00:00:00"/>
    <x v="1"/>
    <n v="31250"/>
    <n v="0"/>
    <x v="0"/>
    <x v="0"/>
  </r>
  <r>
    <d v="2021-11-01T00:00:00"/>
    <x v="1"/>
    <n v="30250"/>
    <n v="-1000"/>
    <x v="0"/>
    <x v="1"/>
  </r>
  <r>
    <d v="2021-11-02T00:00:00"/>
    <x v="1"/>
    <n v="30250"/>
    <n v="0"/>
    <x v="0"/>
    <x v="1"/>
  </r>
  <r>
    <d v="2021-11-03T00:00:00"/>
    <x v="1"/>
    <n v="30250"/>
    <n v="0"/>
    <x v="0"/>
    <x v="1"/>
  </r>
  <r>
    <d v="2021-11-04T00:00:00"/>
    <x v="1"/>
    <n v="30000"/>
    <n v="-250"/>
    <x v="0"/>
    <x v="1"/>
  </r>
  <r>
    <d v="2021-11-05T00:00:00"/>
    <x v="1"/>
    <n v="30000"/>
    <n v="0"/>
    <x v="0"/>
    <x v="0"/>
  </r>
  <r>
    <d v="2021-11-08T00:00:00"/>
    <x v="1"/>
    <n v="30500"/>
    <m/>
    <x v="0"/>
    <x v="1"/>
  </r>
  <r>
    <d v="2021-11-09T00:00:00"/>
    <x v="1"/>
    <n v="29750"/>
    <n v="-750"/>
    <x v="0"/>
    <x v="1"/>
  </r>
  <r>
    <d v="2021-11-10T00:00:00"/>
    <x v="1"/>
    <n v="29750"/>
    <n v="0"/>
    <x v="0"/>
    <x v="1"/>
  </r>
  <r>
    <d v="2021-11-11T00:00:00"/>
    <x v="1"/>
    <n v="29750"/>
    <n v="0"/>
    <x v="0"/>
    <x v="1"/>
  </r>
  <r>
    <d v="2021-11-12T00:00:00"/>
    <x v="1"/>
    <n v="29500"/>
    <n v="-250"/>
    <x v="0"/>
    <x v="0"/>
  </r>
  <r>
    <d v="2021-11-13T00:00:00"/>
    <x v="1"/>
    <n v="29500"/>
    <n v="0"/>
    <x v="0"/>
    <x v="1"/>
  </r>
  <r>
    <d v="2021-11-14T00:00:00"/>
    <x v="1"/>
    <n v="29500"/>
    <n v="0"/>
    <x v="0"/>
    <x v="0"/>
  </r>
  <r>
    <d v="2021-11-15T00:00:00"/>
    <x v="1"/>
    <n v="29750"/>
    <n v="250"/>
    <x v="0"/>
    <x v="1"/>
  </r>
  <r>
    <d v="2021-11-16T00:00:00"/>
    <x v="1"/>
    <n v="29500"/>
    <n v="-250"/>
    <x v="0"/>
    <x v="1"/>
  </r>
  <r>
    <d v="2021-11-17T00:00:00"/>
    <x v="1"/>
    <n v="29500"/>
    <n v="0"/>
    <x v="0"/>
    <x v="1"/>
  </r>
  <r>
    <d v="2021-11-18T00:00:00"/>
    <x v="1"/>
    <n v="28750"/>
    <n v="-750"/>
    <x v="0"/>
    <x v="1"/>
  </r>
  <r>
    <d v="2021-11-19T00:00:00"/>
    <x v="1"/>
    <n v="28750"/>
    <n v="0"/>
    <x v="0"/>
    <x v="1"/>
  </r>
  <r>
    <d v="2021-11-22T00:00:00"/>
    <x v="1"/>
    <n v="28400"/>
    <m/>
    <x v="0"/>
    <x v="1"/>
  </r>
  <r>
    <d v="2021-11-23T00:00:00"/>
    <x v="1"/>
    <n v="28650"/>
    <n v="250"/>
    <x v="0"/>
    <x v="1"/>
  </r>
  <r>
    <d v="2021-11-24T00:00:00"/>
    <x v="1"/>
    <n v="28650"/>
    <n v="0"/>
    <x v="0"/>
    <x v="1"/>
  </r>
  <r>
    <d v="2021-11-25T00:00:00"/>
    <x v="1"/>
    <n v="27900"/>
    <n v="-750"/>
    <x v="0"/>
    <x v="0"/>
  </r>
  <r>
    <d v="2021-11-26T00:00:00"/>
    <x v="1"/>
    <n v="28650"/>
    <n v="750"/>
    <x v="0"/>
    <x v="1"/>
  </r>
  <r>
    <d v="2021-11-27T00:00:00"/>
    <x v="1"/>
    <n v="28650"/>
    <n v="0"/>
    <x v="0"/>
    <x v="1"/>
  </r>
  <r>
    <d v="2021-11-28T00:00:00"/>
    <x v="1"/>
    <n v="28650"/>
    <n v="0"/>
    <x v="0"/>
    <x v="1"/>
  </r>
  <r>
    <d v="2021-11-29T00:00:00"/>
    <x v="1"/>
    <n v="28650"/>
    <n v="0"/>
    <x v="0"/>
    <x v="0"/>
  </r>
  <r>
    <d v="2021-11-30T00:00:00"/>
    <x v="1"/>
    <n v="28400"/>
    <n v="-250"/>
    <x v="0"/>
    <x v="0"/>
  </r>
  <r>
    <d v="2021-12-01T00:00:00"/>
    <x v="1"/>
    <n v="28400"/>
    <n v="0"/>
    <x v="0"/>
    <x v="1"/>
  </r>
  <r>
    <d v="2021-12-02T00:00:00"/>
    <x v="1"/>
    <n v="28400"/>
    <n v="0"/>
    <x v="0"/>
    <x v="1"/>
  </r>
  <r>
    <d v="2021-12-03T00:00:00"/>
    <x v="1"/>
    <n v="28500"/>
    <n v="100"/>
    <x v="0"/>
    <x v="0"/>
  </r>
  <r>
    <d v="2021-12-06T00:00:00"/>
    <x v="1"/>
    <n v="29000"/>
    <m/>
    <x v="0"/>
    <x v="1"/>
  </r>
  <r>
    <d v="2021-12-07T00:00:00"/>
    <x v="1"/>
    <n v="29000"/>
    <n v="0"/>
    <x v="0"/>
    <x v="0"/>
  </r>
  <r>
    <d v="2021-12-08T00:00:00"/>
    <x v="1"/>
    <n v="29250"/>
    <n v="250"/>
    <x v="0"/>
    <x v="1"/>
  </r>
  <r>
    <d v="2021-12-09T00:00:00"/>
    <x v="1"/>
    <n v="28650"/>
    <n v="-600"/>
    <x v="0"/>
    <x v="1"/>
  </r>
  <r>
    <d v="2021-12-10T00:00:00"/>
    <x v="1"/>
    <n v="28650"/>
    <n v="0"/>
    <x v="0"/>
    <x v="1"/>
  </r>
  <r>
    <d v="2021-12-11T00:00:00"/>
    <x v="1"/>
    <n v="28650"/>
    <n v="0"/>
    <x v="0"/>
    <x v="1"/>
  </r>
  <r>
    <d v="2021-12-12T00:00:00"/>
    <x v="1"/>
    <n v="28650"/>
    <n v="0"/>
    <x v="0"/>
    <x v="1"/>
  </r>
  <r>
    <d v="2021-12-13T00:00:00"/>
    <x v="1"/>
    <n v="32400"/>
    <n v="3750"/>
    <x v="0"/>
    <x v="1"/>
  </r>
  <r>
    <d v="2021-12-14T00:00:00"/>
    <x v="1"/>
    <n v="32650"/>
    <n v="250"/>
    <x v="0"/>
    <x v="1"/>
  </r>
  <r>
    <d v="2021-12-15T00:00:00"/>
    <x v="1"/>
    <n v="32900"/>
    <n v="250"/>
    <x v="0"/>
    <x v="1"/>
  </r>
  <r>
    <d v="2021-12-16T00:00:00"/>
    <x v="1"/>
    <n v="32650"/>
    <n v="-250"/>
    <x v="0"/>
    <x v="1"/>
  </r>
  <r>
    <d v="2021-12-17T00:00:00"/>
    <x v="1"/>
    <n v="32650"/>
    <n v="0"/>
    <x v="0"/>
    <x v="1"/>
  </r>
  <r>
    <d v="2021-12-20T00:00:00"/>
    <x v="1"/>
    <n v="32650"/>
    <m/>
    <x v="0"/>
    <x v="0"/>
  </r>
  <r>
    <d v="2021-12-21T00:00:00"/>
    <x v="1"/>
    <n v="33000"/>
    <n v="350"/>
    <x v="0"/>
    <x v="1"/>
  </r>
  <r>
    <d v="2021-12-22T00:00:00"/>
    <x v="1"/>
    <n v="33150"/>
    <n v="150"/>
    <x v="0"/>
    <x v="1"/>
  </r>
  <r>
    <d v="2021-12-23T00:00:00"/>
    <x v="1"/>
    <n v="33900"/>
    <n v="750"/>
    <x v="0"/>
    <x v="0"/>
  </r>
  <r>
    <d v="2021-12-24T00:00:00"/>
    <x v="1"/>
    <n v="33900"/>
    <n v="0"/>
    <x v="0"/>
    <x v="1"/>
  </r>
  <r>
    <d v="2021-12-27T00:00:00"/>
    <x v="1"/>
    <n v="33900"/>
    <m/>
    <x v="0"/>
    <x v="0"/>
  </r>
  <r>
    <d v="2021-12-28T00:00:00"/>
    <x v="1"/>
    <n v="33650"/>
    <n v="-250"/>
    <x v="0"/>
    <x v="0"/>
  </r>
  <r>
    <d v="2021-12-29T00:00:00"/>
    <x v="1"/>
    <n v="33650"/>
    <n v="0"/>
    <x v="0"/>
    <x v="1"/>
  </r>
  <r>
    <d v="2021-12-30T00:00:00"/>
    <x v="1"/>
    <n v="33650"/>
    <n v="0"/>
    <x v="0"/>
    <x v="1"/>
  </r>
  <r>
    <d v="2021-12-31T00:00:00"/>
    <x v="1"/>
    <n v="33400"/>
    <n v="-250"/>
    <x v="0"/>
    <x v="0"/>
  </r>
  <r>
    <d v="2022-01-01T00:00:00"/>
    <x v="2"/>
    <n v="33400"/>
    <n v="0"/>
    <x v="0"/>
    <x v="0"/>
  </r>
  <r>
    <d v="2022-01-02T00:00:00"/>
    <x v="2"/>
    <n v="33400"/>
    <n v="0"/>
    <x v="0"/>
    <x v="1"/>
  </r>
  <r>
    <d v="2022-01-03T00:00:00"/>
    <x v="2"/>
    <n v="33400"/>
    <n v="0"/>
    <x v="0"/>
    <x v="1"/>
  </r>
  <r>
    <d v="2022-01-04T00:00:00"/>
    <x v="2"/>
    <n v="34250"/>
    <n v="850"/>
    <x v="0"/>
    <x v="1"/>
  </r>
  <r>
    <d v="2022-01-05T00:00:00"/>
    <x v="2"/>
    <n v="34250"/>
    <n v="0"/>
    <x v="0"/>
    <x v="1"/>
  </r>
  <r>
    <d v="2022-01-06T00:00:00"/>
    <x v="2"/>
    <n v="34650"/>
    <n v="400"/>
    <x v="0"/>
    <x v="1"/>
  </r>
  <r>
    <d v="2022-01-07T00:00:00"/>
    <x v="2"/>
    <n v="35650"/>
    <n v="1000"/>
    <x v="0"/>
    <x v="1"/>
  </r>
  <r>
    <d v="2022-01-08T00:00:00"/>
    <x v="2"/>
    <n v="35650"/>
    <n v="0"/>
    <x v="0"/>
    <x v="1"/>
  </r>
  <r>
    <d v="2022-01-09T00:00:00"/>
    <x v="2"/>
    <n v="35650"/>
    <n v="0"/>
    <x v="0"/>
    <x v="1"/>
  </r>
  <r>
    <d v="2022-01-10T00:00:00"/>
    <x v="2"/>
    <n v="41150"/>
    <n v="5500"/>
    <x v="0"/>
    <x v="1"/>
  </r>
  <r>
    <d v="2022-01-11T00:00:00"/>
    <x v="2"/>
    <n v="39650"/>
    <n v="-1500"/>
    <x v="0"/>
    <x v="1"/>
  </r>
  <r>
    <d v="2022-01-12T00:00:00"/>
    <x v="2"/>
    <n v="39000"/>
    <n v="-650"/>
    <x v="0"/>
    <x v="1"/>
  </r>
  <r>
    <d v="2022-01-13T00:00:00"/>
    <x v="2"/>
    <n v="39650"/>
    <n v="650"/>
    <x v="0"/>
    <x v="1"/>
  </r>
  <r>
    <d v="2022-01-14T00:00:00"/>
    <x v="2"/>
    <n v="39650"/>
    <n v="0"/>
    <x v="0"/>
    <x v="1"/>
  </r>
  <r>
    <d v="2022-01-17T00:00:00"/>
    <x v="2"/>
    <n v="39000"/>
    <m/>
    <x v="0"/>
    <x v="0"/>
  </r>
  <r>
    <d v="2022-01-18T00:00:00"/>
    <x v="2"/>
    <n v="38400"/>
    <n v="-600"/>
    <x v="0"/>
    <x v="1"/>
  </r>
  <r>
    <d v="2022-01-19T00:00:00"/>
    <x v="2"/>
    <n v="38400"/>
    <n v="0"/>
    <x v="0"/>
    <x v="1"/>
  </r>
  <r>
    <d v="2022-01-20T00:00:00"/>
    <x v="2"/>
    <n v="38400"/>
    <n v="0"/>
    <x v="0"/>
    <x v="0"/>
  </r>
  <r>
    <d v="2022-01-21T00:00:00"/>
    <x v="2"/>
    <n v="37400"/>
    <n v="-1000"/>
    <x v="0"/>
    <x v="0"/>
  </r>
  <r>
    <d v="2022-01-22T00:00:00"/>
    <x v="2"/>
    <n v="37400"/>
    <n v="0"/>
    <x v="0"/>
    <x v="1"/>
  </r>
  <r>
    <d v="2022-01-24T00:00:00"/>
    <x v="2"/>
    <n v="36150"/>
    <m/>
    <x v="0"/>
    <x v="1"/>
  </r>
  <r>
    <d v="2022-01-25T00:00:00"/>
    <x v="2"/>
    <n v="35900"/>
    <n v="-250"/>
    <x v="0"/>
    <x v="1"/>
  </r>
  <r>
    <d v="2022-01-26T00:00:00"/>
    <x v="2"/>
    <n v="35900"/>
    <n v="0"/>
    <x v="0"/>
    <x v="1"/>
  </r>
  <r>
    <d v="2022-01-27T00:00:00"/>
    <x v="2"/>
    <n v="35250"/>
    <n v="-650"/>
    <x v="0"/>
    <x v="1"/>
  </r>
  <r>
    <d v="2022-01-28T00:00:00"/>
    <x v="2"/>
    <n v="35150"/>
    <n v="-100"/>
    <x v="0"/>
    <x v="1"/>
  </r>
  <r>
    <d v="2022-01-29T00:00:00"/>
    <x v="2"/>
    <n v="35150"/>
    <n v="0"/>
    <x v="0"/>
    <x v="1"/>
  </r>
  <r>
    <d v="2022-01-30T00:00:00"/>
    <x v="2"/>
    <n v="35150"/>
    <n v="0"/>
    <x v="0"/>
    <x v="1"/>
  </r>
  <r>
    <d v="2022-01-31T00:00:00"/>
    <x v="2"/>
    <n v="35150"/>
    <n v="0"/>
    <x v="0"/>
    <x v="1"/>
  </r>
  <r>
    <d v="2022-02-02T00:00:00"/>
    <x v="2"/>
    <n v="36250"/>
    <m/>
    <x v="0"/>
    <x v="1"/>
  </r>
  <r>
    <d v="2022-02-03T00:00:00"/>
    <x v="2"/>
    <n v="37400"/>
    <n v="1150"/>
    <x v="0"/>
    <x v="0"/>
  </r>
  <r>
    <d v="2022-02-04T00:00:00"/>
    <x v="2"/>
    <n v="37400"/>
    <n v="0"/>
    <x v="0"/>
    <x v="0"/>
  </r>
  <r>
    <d v="2022-02-05T00:00:00"/>
    <x v="2"/>
    <n v="37400"/>
    <n v="0"/>
    <x v="0"/>
    <x v="1"/>
  </r>
  <r>
    <d v="2022-02-06T00:00:00"/>
    <x v="2"/>
    <n v="37400"/>
    <n v="0"/>
    <x v="0"/>
    <x v="1"/>
  </r>
  <r>
    <d v="2022-02-07T00:00:00"/>
    <x v="2"/>
    <n v="37900"/>
    <n v="500"/>
    <x v="0"/>
    <x v="1"/>
  </r>
  <r>
    <d v="2022-02-08T00:00:00"/>
    <x v="2"/>
    <n v="37400"/>
    <n v="-500"/>
    <x v="0"/>
    <x v="1"/>
  </r>
  <r>
    <d v="2022-02-09T00:00:00"/>
    <x v="2"/>
    <n v="38150"/>
    <n v="750"/>
    <x v="0"/>
    <x v="0"/>
  </r>
  <r>
    <d v="2022-02-10T00:00:00"/>
    <x v="2"/>
    <n v="37650"/>
    <n v="-500"/>
    <x v="0"/>
    <x v="1"/>
  </r>
  <r>
    <d v="2022-02-11T00:00:00"/>
    <x v="2"/>
    <n v="37650"/>
    <n v="0"/>
    <x v="0"/>
    <x v="1"/>
  </r>
  <r>
    <d v="2022-02-12T00:00:00"/>
    <x v="2"/>
    <n v="37650"/>
    <n v="0"/>
    <x v="0"/>
    <x v="1"/>
  </r>
  <r>
    <d v="2022-02-13T00:00:00"/>
    <x v="2"/>
    <n v="37650"/>
    <n v="0"/>
    <x v="0"/>
    <x v="1"/>
  </r>
  <r>
    <d v="2022-02-14T00:00:00"/>
    <x v="2"/>
    <n v="37650"/>
    <n v="0"/>
    <x v="0"/>
    <x v="1"/>
  </r>
  <r>
    <d v="2022-02-15T00:00:00"/>
    <x v="2"/>
    <n v="37650"/>
    <n v="0"/>
    <x v="0"/>
    <x v="1"/>
  </r>
  <r>
    <d v="2022-02-16T00:00:00"/>
    <x v="2"/>
    <n v="38000"/>
    <n v="350"/>
    <x v="0"/>
    <x v="0"/>
  </r>
  <r>
    <d v="2022-02-17T00:00:00"/>
    <x v="2"/>
    <n v="37900"/>
    <n v="-100"/>
    <x v="0"/>
    <x v="0"/>
  </r>
  <r>
    <d v="2022-02-18T00:00:00"/>
    <x v="2"/>
    <n v="38250"/>
    <n v="350"/>
    <x v="0"/>
    <x v="0"/>
  </r>
  <r>
    <d v="2022-02-21T00:00:00"/>
    <x v="2"/>
    <n v="38500"/>
    <m/>
    <x v="0"/>
    <x v="0"/>
  </r>
  <r>
    <d v="2022-02-22T00:00:00"/>
    <x v="2"/>
    <n v="39500"/>
    <n v="1000"/>
    <x v="0"/>
    <x v="0"/>
  </r>
  <r>
    <d v="2022-02-23T00:00:00"/>
    <x v="2"/>
    <n v="40000"/>
    <n v="500"/>
    <x v="0"/>
    <x v="1"/>
  </r>
  <r>
    <d v="2022-02-24T00:00:00"/>
    <x v="2"/>
    <n v="40000"/>
    <n v="0"/>
    <x v="0"/>
    <x v="1"/>
  </r>
  <r>
    <d v="2022-02-25T00:00:00"/>
    <x v="2"/>
    <n v="40500"/>
    <n v="500"/>
    <x v="0"/>
    <x v="1"/>
  </r>
  <r>
    <d v="2022-02-26T00:00:00"/>
    <x v="2"/>
    <n v="40500"/>
    <n v="0"/>
    <x v="0"/>
    <x v="1"/>
  </r>
  <r>
    <d v="2022-02-27T00:00:00"/>
    <x v="2"/>
    <n v="40500"/>
    <n v="0"/>
    <x v="0"/>
    <x v="1"/>
  </r>
  <r>
    <d v="2022-02-28T00:00:00"/>
    <x v="2"/>
    <n v="40500"/>
    <n v="0"/>
    <x v="0"/>
    <x v="1"/>
  </r>
  <r>
    <d v="2022-03-01T00:00:00"/>
    <x v="2"/>
    <n v="39500"/>
    <n v="-1000"/>
    <x v="0"/>
    <x v="1"/>
  </r>
  <r>
    <d v="2022-03-02T00:00:00"/>
    <x v="2"/>
    <n v="39500"/>
    <n v="0"/>
    <x v="0"/>
    <x v="1"/>
  </r>
  <r>
    <d v="2022-03-04T00:00:00"/>
    <x v="2"/>
    <n v="39500"/>
    <m/>
    <x v="0"/>
    <x v="1"/>
  </r>
  <r>
    <d v="2022-03-05T00:00:00"/>
    <x v="2"/>
    <n v="39500"/>
    <n v="0"/>
    <x v="0"/>
    <x v="1"/>
  </r>
  <r>
    <d v="2022-03-06T00:00:00"/>
    <x v="2"/>
    <n v="39500"/>
    <n v="0"/>
    <x v="0"/>
    <x v="1"/>
  </r>
  <r>
    <d v="2022-03-07T00:00:00"/>
    <x v="2"/>
    <n v="40150"/>
    <n v="650"/>
    <x v="0"/>
    <x v="1"/>
  </r>
  <r>
    <d v="2022-03-08T00:00:00"/>
    <x v="2"/>
    <n v="40150"/>
    <n v="0"/>
    <x v="0"/>
    <x v="1"/>
  </r>
  <r>
    <d v="2022-03-09T00:00:00"/>
    <x v="2"/>
    <n v="40150"/>
    <n v="0"/>
    <x v="0"/>
    <x v="1"/>
  </r>
  <r>
    <d v="2022-03-10T00:00:00"/>
    <x v="2"/>
    <n v="40150"/>
    <n v="0"/>
    <x v="0"/>
    <x v="1"/>
  </r>
  <r>
    <d v="2022-03-11T00:00:00"/>
    <x v="2"/>
    <n v="39900"/>
    <n v="-250"/>
    <x v="0"/>
    <x v="1"/>
  </r>
  <r>
    <d v="2022-03-12T00:00:00"/>
    <x v="2"/>
    <n v="39900"/>
    <n v="0"/>
    <x v="0"/>
    <x v="0"/>
  </r>
  <r>
    <d v="2022-03-13T00:00:00"/>
    <x v="2"/>
    <n v="39900"/>
    <n v="0"/>
    <x v="0"/>
    <x v="0"/>
  </r>
  <r>
    <d v="2022-03-14T00:00:00"/>
    <x v="2"/>
    <n v="39650"/>
    <n v="-250"/>
    <x v="0"/>
    <x v="1"/>
  </r>
  <r>
    <d v="2022-03-15T00:00:00"/>
    <x v="2"/>
    <n v="39900"/>
    <n v="250"/>
    <x v="0"/>
    <x v="1"/>
  </r>
  <r>
    <d v="2022-03-16T00:00:00"/>
    <x v="2"/>
    <n v="39650"/>
    <n v="-250"/>
    <x v="0"/>
    <x v="1"/>
  </r>
  <r>
    <d v="2022-03-17T00:00:00"/>
    <x v="2"/>
    <n v="39650"/>
    <n v="0"/>
    <x v="0"/>
    <x v="1"/>
  </r>
  <r>
    <d v="2022-03-18T00:00:00"/>
    <x v="2"/>
    <n v="39900"/>
    <n v="250"/>
    <x v="0"/>
    <x v="1"/>
  </r>
  <r>
    <d v="2022-03-21T00:00:00"/>
    <x v="2"/>
    <n v="38500"/>
    <m/>
    <x v="0"/>
    <x v="0"/>
  </r>
  <r>
    <d v="2022-03-22T00:00:00"/>
    <x v="2"/>
    <n v="38500"/>
    <n v="0"/>
    <x v="0"/>
    <x v="1"/>
  </r>
  <r>
    <d v="2022-03-23T00:00:00"/>
    <x v="2"/>
    <n v="38250"/>
    <n v="-250"/>
    <x v="0"/>
    <x v="1"/>
  </r>
  <r>
    <d v="2022-03-24T00:00:00"/>
    <x v="2"/>
    <n v="38250"/>
    <n v="0"/>
    <x v="0"/>
    <x v="0"/>
  </r>
  <r>
    <d v="2022-03-25T00:00:00"/>
    <x v="2"/>
    <n v="37500"/>
    <n v="-750"/>
    <x v="0"/>
    <x v="1"/>
  </r>
  <r>
    <d v="2022-03-26T00:00:00"/>
    <x v="2"/>
    <n v="37500"/>
    <n v="0"/>
    <x v="0"/>
    <x v="1"/>
  </r>
  <r>
    <d v="2022-03-27T00:00:00"/>
    <x v="2"/>
    <n v="37500"/>
    <n v="0"/>
    <x v="0"/>
    <x v="1"/>
  </r>
  <r>
    <d v="2022-03-28T00:00:00"/>
    <x v="2"/>
    <n v="37150"/>
    <n v="-350"/>
    <x v="0"/>
    <x v="0"/>
  </r>
  <r>
    <d v="2022-03-29T00:00:00"/>
    <x v="2"/>
    <n v="37500"/>
    <n v="350"/>
    <x v="0"/>
    <x v="0"/>
  </r>
  <r>
    <d v="2022-03-30T00:00:00"/>
    <x v="2"/>
    <n v="37500"/>
    <n v="0"/>
    <x v="0"/>
    <x v="1"/>
  </r>
  <r>
    <d v="2022-03-31T00:00:00"/>
    <x v="2"/>
    <n v="36750"/>
    <n v="-750"/>
    <x v="0"/>
    <x v="1"/>
  </r>
  <r>
    <d v="2022-04-01T00:00:00"/>
    <x v="2"/>
    <n v="36750"/>
    <n v="0"/>
    <x v="1"/>
    <x v="1"/>
  </r>
  <r>
    <d v="2022-04-02T00:00:00"/>
    <x v="2"/>
    <n v="36750"/>
    <n v="0"/>
    <x v="1"/>
    <x v="0"/>
  </r>
  <r>
    <d v="2022-04-03T00:00:00"/>
    <x v="2"/>
    <n v="36750"/>
    <n v="0"/>
    <x v="1"/>
    <x v="0"/>
  </r>
  <r>
    <d v="2022-04-04T00:00:00"/>
    <x v="2"/>
    <n v="36750"/>
    <n v="0"/>
    <x v="1"/>
    <x v="1"/>
  </r>
  <r>
    <d v="2022-04-05T00:00:00"/>
    <x v="2"/>
    <n v="36750"/>
    <n v="0"/>
    <x v="1"/>
    <x v="1"/>
  </r>
  <r>
    <d v="2022-04-06T00:00:00"/>
    <x v="2"/>
    <n v="36750"/>
    <n v="0"/>
    <x v="1"/>
    <x v="0"/>
  </r>
  <r>
    <d v="2022-04-07T00:00:00"/>
    <x v="2"/>
    <n v="36750"/>
    <n v="0"/>
    <x v="1"/>
    <x v="1"/>
  </r>
  <r>
    <d v="2022-04-08T00:00:00"/>
    <x v="2"/>
    <n v="36500"/>
    <n v="-250"/>
    <x v="1"/>
    <x v="1"/>
  </r>
  <r>
    <d v="2022-04-09T00:00:00"/>
    <x v="2"/>
    <n v="36500"/>
    <n v="0"/>
    <x v="1"/>
    <x v="0"/>
  </r>
  <r>
    <d v="2022-04-10T00:00:00"/>
    <x v="2"/>
    <n v="36500"/>
    <n v="0"/>
    <x v="1"/>
    <x v="1"/>
  </r>
  <r>
    <d v="2022-04-11T00:00:00"/>
    <x v="2"/>
    <n v="36500"/>
    <n v="0"/>
    <x v="1"/>
    <x v="1"/>
  </r>
  <r>
    <d v="2022-04-12T00:00:00"/>
    <x v="2"/>
    <n v="35900"/>
    <n v="-600"/>
    <x v="1"/>
    <x v="1"/>
  </r>
  <r>
    <d v="2022-04-13T00:00:00"/>
    <x v="2"/>
    <n v="35900"/>
    <n v="0"/>
    <x v="1"/>
    <x v="1"/>
  </r>
  <r>
    <d v="2022-04-14T00:00:00"/>
    <x v="2"/>
    <n v="35900"/>
    <n v="0"/>
    <x v="1"/>
    <x v="1"/>
  </r>
  <r>
    <d v="2022-04-18T00:00:00"/>
    <x v="2"/>
    <n v="37650"/>
    <m/>
    <x v="1"/>
    <x v="1"/>
  </r>
  <r>
    <d v="2022-04-19T00:00:00"/>
    <x v="2"/>
    <n v="37650"/>
    <n v="0"/>
    <x v="1"/>
    <x v="1"/>
  </r>
  <r>
    <d v="2022-04-20T00:00:00"/>
    <x v="2"/>
    <n v="37650"/>
    <n v="0"/>
    <x v="1"/>
    <x v="1"/>
  </r>
  <r>
    <d v="2022-04-21T00:00:00"/>
    <x v="2"/>
    <n v="36750"/>
    <n v="-900"/>
    <x v="1"/>
    <x v="1"/>
  </r>
  <r>
    <d v="2022-04-22T00:00:00"/>
    <x v="2"/>
    <n v="36750"/>
    <n v="0"/>
    <x v="1"/>
    <x v="1"/>
  </r>
  <r>
    <d v="2022-04-25T00:00:00"/>
    <x v="2"/>
    <n v="35900"/>
    <m/>
    <x v="1"/>
    <x v="1"/>
  </r>
  <r>
    <d v="2022-04-26T00:00:00"/>
    <x v="2"/>
    <n v="35400"/>
    <n v="-500"/>
    <x v="1"/>
    <x v="0"/>
  </r>
  <r>
    <d v="2022-04-27T00:00:00"/>
    <x v="2"/>
    <n v="35900"/>
    <n v="500"/>
    <x v="1"/>
    <x v="0"/>
  </r>
  <r>
    <d v="2022-04-28T00:00:00"/>
    <x v="2"/>
    <n v="35900"/>
    <n v="0"/>
    <x v="1"/>
    <x v="0"/>
  </r>
  <r>
    <d v="2022-05-09T00:00:00"/>
    <x v="2"/>
    <n v="43400"/>
    <m/>
    <x v="1"/>
    <x v="0"/>
  </r>
  <r>
    <d v="2022-05-10T00:00:00"/>
    <x v="2"/>
    <n v="43650"/>
    <n v="250"/>
    <x v="1"/>
    <x v="0"/>
  </r>
  <r>
    <d v="2022-05-11T00:00:00"/>
    <x v="2"/>
    <n v="43650"/>
    <n v="0"/>
    <x v="1"/>
    <x v="1"/>
  </r>
  <r>
    <d v="2022-05-12T00:00:00"/>
    <x v="2"/>
    <n v="43400"/>
    <n v="-250"/>
    <x v="1"/>
    <x v="1"/>
  </r>
  <r>
    <d v="2022-05-13T00:00:00"/>
    <x v="2"/>
    <n v="43500"/>
    <n v="100"/>
    <x v="1"/>
    <x v="1"/>
  </r>
  <r>
    <d v="2022-05-14T00:00:00"/>
    <x v="2"/>
    <n v="43500"/>
    <n v="0"/>
    <x v="1"/>
    <x v="0"/>
  </r>
  <r>
    <d v="2022-05-17T00:00:00"/>
    <x v="2"/>
    <n v="41500"/>
    <m/>
    <x v="1"/>
    <x v="1"/>
  </r>
  <r>
    <d v="2022-05-18T00:00:00"/>
    <x v="2"/>
    <n v="40000"/>
    <n v="-1500"/>
    <x v="1"/>
    <x v="1"/>
  </r>
  <r>
    <d v="2022-05-19T00:00:00"/>
    <x v="2"/>
    <n v="39750"/>
    <n v="-250"/>
    <x v="1"/>
    <x v="1"/>
  </r>
  <r>
    <d v="2022-05-20T00:00:00"/>
    <x v="2"/>
    <n v="38650"/>
    <n v="-1100"/>
    <x v="1"/>
    <x v="1"/>
  </r>
  <r>
    <d v="2022-05-21T00:00:00"/>
    <x v="2"/>
    <n v="38650"/>
    <n v="0"/>
    <x v="1"/>
    <x v="1"/>
  </r>
  <r>
    <d v="2022-05-22T00:00:00"/>
    <x v="2"/>
    <n v="38650"/>
    <n v="0"/>
    <x v="1"/>
    <x v="0"/>
  </r>
  <r>
    <d v="2022-05-23T00:00:00"/>
    <x v="2"/>
    <n v="38650"/>
    <n v="0"/>
    <x v="1"/>
    <x v="1"/>
  </r>
  <r>
    <d v="2022-05-24T00:00:00"/>
    <x v="2"/>
    <n v="39150"/>
    <n v="500"/>
    <x v="1"/>
    <x v="1"/>
  </r>
  <r>
    <d v="2022-05-25T00:00:00"/>
    <x v="2"/>
    <n v="39150"/>
    <n v="0"/>
    <x v="1"/>
    <x v="1"/>
  </r>
  <r>
    <d v="2022-05-27T00:00:00"/>
    <x v="2"/>
    <n v="39650"/>
    <m/>
    <x v="1"/>
    <x v="0"/>
  </r>
  <r>
    <d v="2022-05-28T00:00:00"/>
    <x v="2"/>
    <n v="39650"/>
    <n v="0"/>
    <x v="1"/>
    <x v="0"/>
  </r>
  <r>
    <d v="2022-05-29T00:00:00"/>
    <x v="2"/>
    <n v="39650"/>
    <n v="0"/>
    <x v="1"/>
    <x v="1"/>
  </r>
  <r>
    <d v="2022-05-30T00:00:00"/>
    <x v="2"/>
    <n v="41000"/>
    <n v="1350"/>
    <x v="1"/>
    <x v="1"/>
  </r>
  <r>
    <d v="2022-05-31T00:00:00"/>
    <x v="2"/>
    <n v="42150"/>
    <n v="1150"/>
    <x v="1"/>
    <x v="1"/>
  </r>
  <r>
    <d v="2022-06-02T00:00:00"/>
    <x v="2"/>
    <n v="42150"/>
    <m/>
    <x v="1"/>
    <x v="1"/>
  </r>
  <r>
    <d v="2022-06-03T00:00:00"/>
    <x v="2"/>
    <n v="42150"/>
    <n v="0"/>
    <x v="1"/>
    <x v="1"/>
  </r>
  <r>
    <d v="2022-06-04T00:00:00"/>
    <x v="2"/>
    <n v="42150"/>
    <n v="0"/>
    <x v="1"/>
    <x v="1"/>
  </r>
  <r>
    <d v="2022-06-05T00:00:00"/>
    <x v="2"/>
    <n v="42150"/>
    <n v="0"/>
    <x v="1"/>
    <x v="1"/>
  </r>
  <r>
    <d v="2022-06-06T00:00:00"/>
    <x v="2"/>
    <n v="41650"/>
    <n v="-500"/>
    <x v="1"/>
    <x v="1"/>
  </r>
  <r>
    <d v="2022-06-07T00:00:00"/>
    <x v="2"/>
    <n v="42150"/>
    <n v="500"/>
    <x v="1"/>
    <x v="1"/>
  </r>
  <r>
    <d v="2022-06-08T00:00:00"/>
    <x v="2"/>
    <n v="42900"/>
    <n v="750"/>
    <x v="1"/>
    <x v="1"/>
  </r>
  <r>
    <d v="2022-06-09T00:00:00"/>
    <x v="2"/>
    <n v="44150"/>
    <n v="1250"/>
    <x v="1"/>
    <x v="1"/>
  </r>
  <r>
    <d v="2022-06-10T00:00:00"/>
    <x v="2"/>
    <n v="44150"/>
    <n v="0"/>
    <x v="1"/>
    <x v="1"/>
  </r>
  <r>
    <d v="2022-06-11T00:00:00"/>
    <x v="2"/>
    <n v="44150"/>
    <n v="0"/>
    <x v="1"/>
    <x v="1"/>
  </r>
  <r>
    <d v="2022-06-12T00:00:00"/>
    <x v="2"/>
    <n v="44150"/>
    <n v="0"/>
    <x v="1"/>
    <x v="1"/>
  </r>
  <r>
    <d v="2022-06-13T00:00:00"/>
    <x v="2"/>
    <n v="49650"/>
    <n v="5500"/>
    <x v="1"/>
    <x v="1"/>
  </r>
  <r>
    <d v="2022-06-14T00:00:00"/>
    <x v="2"/>
    <n v="56750"/>
    <n v="7100"/>
    <x v="1"/>
    <x v="1"/>
  </r>
  <r>
    <d v="2022-06-15T00:00:00"/>
    <x v="2"/>
    <n v="58500"/>
    <n v="1750"/>
    <x v="1"/>
    <x v="1"/>
  </r>
  <r>
    <d v="2022-06-16T00:00:00"/>
    <x v="2"/>
    <n v="58500"/>
    <n v="0"/>
    <x v="1"/>
    <x v="1"/>
  </r>
  <r>
    <d v="2022-06-17T00:00:00"/>
    <x v="2"/>
    <n v="59400"/>
    <n v="900"/>
    <x v="1"/>
    <x v="1"/>
  </r>
  <r>
    <d v="2022-06-18T00:00:00"/>
    <x v="2"/>
    <n v="59400"/>
    <n v="0"/>
    <x v="1"/>
    <x v="1"/>
  </r>
  <r>
    <d v="2022-06-20T00:00:00"/>
    <x v="2"/>
    <n v="64150"/>
    <m/>
    <x v="1"/>
    <x v="1"/>
  </r>
  <r>
    <d v="2022-06-21T00:00:00"/>
    <x v="2"/>
    <n v="64650"/>
    <n v="500"/>
    <x v="1"/>
    <x v="1"/>
  </r>
  <r>
    <d v="2022-06-22T00:00:00"/>
    <x v="2"/>
    <n v="70500"/>
    <n v="5850"/>
    <x v="1"/>
    <x v="1"/>
  </r>
  <r>
    <d v="2022-06-23T00:00:00"/>
    <x v="2"/>
    <n v="71750"/>
    <n v="1250"/>
    <x v="1"/>
    <x v="1"/>
  </r>
  <r>
    <d v="2022-06-24T00:00:00"/>
    <x v="2"/>
    <n v="71400"/>
    <n v="-350"/>
    <x v="1"/>
    <x v="1"/>
  </r>
  <r>
    <d v="2022-06-27T00:00:00"/>
    <x v="2"/>
    <n v="73150"/>
    <m/>
    <x v="1"/>
    <x v="0"/>
  </r>
  <r>
    <d v="2022-06-28T00:00:00"/>
    <x v="2"/>
    <n v="76400"/>
    <n v="3250"/>
    <x v="1"/>
    <x v="1"/>
  </r>
  <r>
    <d v="2022-06-29T00:00:00"/>
    <x v="2"/>
    <n v="75250"/>
    <n v="-1150"/>
    <x v="1"/>
    <x v="1"/>
  </r>
  <r>
    <d v="2022-06-30T00:00:00"/>
    <x v="2"/>
    <n v="77150"/>
    <n v="1900"/>
    <x v="1"/>
    <x v="1"/>
  </r>
  <r>
    <d v="2022-07-01T00:00:00"/>
    <x v="2"/>
    <n v="76150"/>
    <n v="-1000"/>
    <x v="1"/>
    <x v="1"/>
  </r>
  <r>
    <d v="2022-07-02T00:00:00"/>
    <x v="2"/>
    <n v="76150"/>
    <n v="0"/>
    <x v="1"/>
    <x v="1"/>
  </r>
  <r>
    <d v="2022-07-03T00:00:00"/>
    <x v="2"/>
    <n v="76150"/>
    <n v="0"/>
    <x v="1"/>
    <x v="1"/>
  </r>
  <r>
    <d v="2022-07-04T00:00:00"/>
    <x v="2"/>
    <n v="71750"/>
    <n v="-4400"/>
    <x v="1"/>
    <x v="1"/>
  </r>
  <r>
    <d v="2022-07-05T00:00:00"/>
    <x v="2"/>
    <n v="71750"/>
    <n v="0"/>
    <x v="1"/>
    <x v="0"/>
  </r>
  <r>
    <d v="2022-07-06T00:00:00"/>
    <x v="2"/>
    <n v="69500"/>
    <n v="-2250"/>
    <x v="1"/>
    <x v="0"/>
  </r>
  <r>
    <d v="2022-07-07T00:00:00"/>
    <x v="2"/>
    <n v="69000"/>
    <n v="-500"/>
    <x v="1"/>
    <x v="0"/>
  </r>
  <r>
    <d v="2022-07-08T00:00:00"/>
    <x v="2"/>
    <n v="68900"/>
    <n v="-100"/>
    <x v="1"/>
    <x v="0"/>
  </r>
  <r>
    <d v="2022-07-09T00:00:00"/>
    <x v="2"/>
    <n v="68900"/>
    <n v="0"/>
    <x v="1"/>
    <x v="0"/>
  </r>
  <r>
    <d v="2022-07-10T00:00:00"/>
    <x v="2"/>
    <n v="68900"/>
    <n v="0"/>
    <x v="1"/>
    <x v="0"/>
  </r>
  <r>
    <d v="2022-07-11T00:00:00"/>
    <x v="2"/>
    <n v="74150"/>
    <n v="5250"/>
    <x v="1"/>
    <x v="1"/>
  </r>
  <r>
    <d v="2022-07-12T00:00:00"/>
    <x v="2"/>
    <n v="72250"/>
    <n v="-1900"/>
    <x v="1"/>
    <x v="1"/>
  </r>
  <r>
    <d v="2022-07-13T00:00:00"/>
    <x v="2"/>
    <n v="69150"/>
    <n v="-3100"/>
    <x v="1"/>
    <x v="1"/>
  </r>
  <r>
    <d v="2022-07-14T00:00:00"/>
    <x v="2"/>
    <n v="68400"/>
    <n v="-750"/>
    <x v="1"/>
    <x v="1"/>
  </r>
  <r>
    <d v="2022-07-15T00:00:00"/>
    <x v="2"/>
    <n v="68750"/>
    <n v="350"/>
    <x v="1"/>
    <x v="1"/>
  </r>
  <r>
    <d v="2022-07-18T00:00:00"/>
    <x v="2"/>
    <n v="78400"/>
    <m/>
    <x v="1"/>
    <x v="0"/>
  </r>
  <r>
    <d v="2022-07-19T00:00:00"/>
    <x v="2"/>
    <n v="77900"/>
    <n v="-500"/>
    <x v="1"/>
    <x v="1"/>
  </r>
  <r>
    <d v="2022-07-20T00:00:00"/>
    <x v="2"/>
    <n v="79000"/>
    <n v="1100"/>
    <x v="1"/>
    <x v="1"/>
  </r>
  <r>
    <d v="2022-07-21T00:00:00"/>
    <x v="2"/>
    <n v="78500"/>
    <n v="-500"/>
    <x v="1"/>
    <x v="1"/>
  </r>
  <r>
    <d v="2022-07-22T00:00:00"/>
    <x v="2"/>
    <n v="78500"/>
    <n v="0"/>
    <x v="1"/>
    <x v="1"/>
  </r>
  <r>
    <d v="2022-07-25T00:00:00"/>
    <x v="2"/>
    <n v="74250"/>
    <m/>
    <x v="1"/>
    <x v="1"/>
  </r>
  <r>
    <d v="2022-07-26T00:00:00"/>
    <x v="2"/>
    <n v="74250"/>
    <n v="0"/>
    <x v="1"/>
    <x v="1"/>
  </r>
  <r>
    <d v="2022-07-27T00:00:00"/>
    <x v="2"/>
    <n v="74250"/>
    <n v="0"/>
    <x v="1"/>
    <x v="1"/>
  </r>
  <r>
    <d v="2022-07-28T00:00:00"/>
    <x v="2"/>
    <n v="74250"/>
    <n v="0"/>
    <x v="1"/>
    <x v="1"/>
  </r>
  <r>
    <d v="2022-07-29T00:00:00"/>
    <x v="2"/>
    <n v="72000"/>
    <n v="-2250"/>
    <x v="1"/>
    <x v="1"/>
  </r>
  <r>
    <d v="2022-07-30T00:00:00"/>
    <x v="2"/>
    <n v="72000"/>
    <n v="0"/>
    <x v="1"/>
    <x v="1"/>
  </r>
  <r>
    <d v="2022-07-31T00:00:00"/>
    <x v="2"/>
    <n v="72000"/>
    <n v="0"/>
    <x v="1"/>
    <x v="1"/>
  </r>
  <r>
    <d v="2022-08-01T00:00:00"/>
    <x v="2"/>
    <n v="65900"/>
    <n v="-6100"/>
    <x v="1"/>
    <x v="1"/>
  </r>
  <r>
    <d v="2022-08-02T00:00:00"/>
    <x v="2"/>
    <n v="61650"/>
    <n v="-4250"/>
    <x v="1"/>
    <x v="1"/>
  </r>
  <r>
    <d v="2022-08-03T00:00:00"/>
    <x v="2"/>
    <n v="59250"/>
    <n v="-2400"/>
    <x v="1"/>
    <x v="1"/>
  </r>
  <r>
    <d v="2022-08-04T00:00:00"/>
    <x v="2"/>
    <n v="56900"/>
    <n v="-2350"/>
    <x v="1"/>
    <x v="1"/>
  </r>
  <r>
    <d v="2022-08-05T00:00:00"/>
    <x v="2"/>
    <n v="56250"/>
    <n v="-650"/>
    <x v="1"/>
    <x v="1"/>
  </r>
  <r>
    <d v="2022-08-06T00:00:00"/>
    <x v="2"/>
    <n v="56250"/>
    <n v="0"/>
    <x v="1"/>
    <x v="1"/>
  </r>
  <r>
    <d v="2022-08-07T00:00:00"/>
    <x v="2"/>
    <n v="56250"/>
    <n v="0"/>
    <x v="1"/>
    <x v="1"/>
  </r>
  <r>
    <d v="2022-08-08T00:00:00"/>
    <x v="2"/>
    <n v="54750"/>
    <n v="-1500"/>
    <x v="1"/>
    <x v="1"/>
  </r>
  <r>
    <d v="2022-08-09T00:00:00"/>
    <x v="2"/>
    <n v="53250"/>
    <n v="-1500"/>
    <x v="1"/>
    <x v="1"/>
  </r>
  <r>
    <d v="2022-08-10T00:00:00"/>
    <x v="2"/>
    <n v="54750"/>
    <n v="1500"/>
    <x v="1"/>
    <x v="1"/>
  </r>
  <r>
    <d v="2022-08-11T00:00:00"/>
    <x v="2"/>
    <n v="55500"/>
    <n v="750"/>
    <x v="1"/>
    <x v="1"/>
  </r>
  <r>
    <d v="2022-08-12T00:00:00"/>
    <x v="2"/>
    <n v="53900"/>
    <n v="-1600"/>
    <x v="1"/>
    <x v="1"/>
  </r>
  <r>
    <d v="2022-08-13T00:00:00"/>
    <x v="2"/>
    <n v="53900"/>
    <n v="0"/>
    <x v="1"/>
    <x v="1"/>
  </r>
  <r>
    <d v="2022-08-14T00:00:00"/>
    <x v="2"/>
    <n v="53900"/>
    <n v="0"/>
    <x v="1"/>
    <x v="1"/>
  </r>
  <r>
    <d v="2022-08-15T00:00:00"/>
    <x v="2"/>
    <n v="53150"/>
    <n v="-750"/>
    <x v="1"/>
    <x v="0"/>
  </r>
  <r>
    <d v="2022-08-16T00:00:00"/>
    <x v="2"/>
    <n v="52650"/>
    <n v="-500"/>
    <x v="1"/>
    <x v="1"/>
  </r>
  <r>
    <d v="2022-08-18T00:00:00"/>
    <x v="2"/>
    <n v="51250"/>
    <m/>
    <x v="1"/>
    <x v="0"/>
  </r>
  <r>
    <d v="2022-08-19T00:00:00"/>
    <x v="2"/>
    <n v="51250"/>
    <n v="0"/>
    <x v="1"/>
    <x v="1"/>
  </r>
  <r>
    <d v="2022-08-22T00:00:00"/>
    <x v="2"/>
    <n v="48000"/>
    <m/>
    <x v="1"/>
    <x v="1"/>
  </r>
  <r>
    <d v="2022-08-23T00:00:00"/>
    <x v="2"/>
    <n v="46900"/>
    <n v="-1100"/>
    <x v="1"/>
    <x v="1"/>
  </r>
  <r>
    <d v="2022-08-24T00:00:00"/>
    <x v="2"/>
    <n v="46900"/>
    <n v="0"/>
    <x v="1"/>
    <x v="1"/>
  </r>
  <r>
    <d v="2022-08-25T00:00:00"/>
    <x v="2"/>
    <n v="46900"/>
    <n v="0"/>
    <x v="1"/>
    <x v="1"/>
  </r>
  <r>
    <d v="2022-08-26T00:00:00"/>
    <x v="2"/>
    <n v="46400"/>
    <n v="-500"/>
    <x v="1"/>
    <x v="1"/>
  </r>
  <r>
    <d v="2022-08-27T00:00:00"/>
    <x v="2"/>
    <n v="46400"/>
    <n v="0"/>
    <x v="1"/>
    <x v="1"/>
  </r>
  <r>
    <d v="2022-08-28T00:00:00"/>
    <x v="2"/>
    <n v="46400"/>
    <n v="0"/>
    <x v="1"/>
    <x v="1"/>
  </r>
  <r>
    <d v="2022-08-29T00:00:00"/>
    <x v="2"/>
    <n v="44750"/>
    <n v="-1650"/>
    <x v="1"/>
    <x v="1"/>
  </r>
  <r>
    <d v="2022-08-30T00:00:00"/>
    <x v="2"/>
    <n v="44750"/>
    <n v="0"/>
    <x v="1"/>
    <x v="1"/>
  </r>
  <r>
    <d v="2022-08-31T00:00:00"/>
    <x v="2"/>
    <n v="44750"/>
    <n v="0"/>
    <x v="1"/>
    <x v="1"/>
  </r>
  <r>
    <d v="2022-09-01T00:00:00"/>
    <x v="2"/>
    <n v="42250"/>
    <n v="-2500"/>
    <x v="1"/>
    <x v="0"/>
  </r>
  <r>
    <d v="2022-09-02T00:00:00"/>
    <x v="2"/>
    <n v="41000"/>
    <n v="-1250"/>
    <x v="1"/>
    <x v="1"/>
  </r>
  <r>
    <d v="2022-09-03T00:00:00"/>
    <x v="2"/>
    <n v="41000"/>
    <n v="0"/>
    <x v="1"/>
    <x v="1"/>
  </r>
  <r>
    <d v="2022-09-04T00:00:00"/>
    <x v="2"/>
    <n v="41000"/>
    <n v="0"/>
    <x v="1"/>
    <x v="1"/>
  </r>
  <r>
    <d v="2022-09-05T00:00:00"/>
    <x v="2"/>
    <n v="39650"/>
    <n v="-1350"/>
    <x v="1"/>
    <x v="1"/>
  </r>
  <r>
    <d v="2022-09-06T00:00:00"/>
    <x v="2"/>
    <n v="39650"/>
    <n v="0"/>
    <x v="1"/>
    <x v="1"/>
  </r>
  <r>
    <d v="2022-09-07T00:00:00"/>
    <x v="2"/>
    <n v="39000"/>
    <n v="-650"/>
    <x v="1"/>
    <x v="0"/>
  </r>
  <r>
    <d v="2022-09-08T00:00:00"/>
    <x v="2"/>
    <n v="39150"/>
    <n v="150"/>
    <x v="1"/>
    <x v="1"/>
  </r>
  <r>
    <d v="2022-09-09T00:00:00"/>
    <x v="2"/>
    <n v="38500"/>
    <n v="-650"/>
    <x v="1"/>
    <x v="1"/>
  </r>
  <r>
    <d v="2022-09-10T00:00:00"/>
    <x v="2"/>
    <n v="38500"/>
    <n v="0"/>
    <x v="1"/>
    <x v="1"/>
  </r>
  <r>
    <d v="2022-09-11T00:00:00"/>
    <x v="2"/>
    <n v="38500"/>
    <n v="0"/>
    <x v="1"/>
    <x v="0"/>
  </r>
  <r>
    <d v="2022-09-12T00:00:00"/>
    <x v="2"/>
    <n v="42750"/>
    <n v="4250"/>
    <x v="1"/>
    <x v="1"/>
  </r>
  <r>
    <d v="2022-09-13T00:00:00"/>
    <x v="2"/>
    <n v="42500"/>
    <n v="-250"/>
    <x v="1"/>
    <x v="1"/>
  </r>
  <r>
    <d v="2022-09-14T00:00:00"/>
    <x v="2"/>
    <n v="41750"/>
    <n v="-750"/>
    <x v="1"/>
    <x v="1"/>
  </r>
  <r>
    <d v="2022-09-15T00:00:00"/>
    <x v="2"/>
    <n v="41750"/>
    <n v="0"/>
    <x v="1"/>
    <x v="1"/>
  </r>
  <r>
    <d v="2022-09-16T00:00:00"/>
    <x v="2"/>
    <n v="41750"/>
    <n v="0"/>
    <x v="1"/>
    <x v="0"/>
  </r>
  <r>
    <d v="2022-09-19T00:00:00"/>
    <x v="2"/>
    <n v="38250"/>
    <m/>
    <x v="1"/>
    <x v="1"/>
  </r>
  <r>
    <d v="2022-09-20T00:00:00"/>
    <x v="2"/>
    <n v="38750"/>
    <n v="500"/>
    <x v="1"/>
    <x v="1"/>
  </r>
  <r>
    <d v="2022-09-21T00:00:00"/>
    <x v="2"/>
    <n v="38750"/>
    <n v="0"/>
    <x v="1"/>
    <x v="1"/>
  </r>
  <r>
    <d v="2022-09-22T00:00:00"/>
    <x v="2"/>
    <n v="37250"/>
    <n v="-1500"/>
    <x v="1"/>
    <x v="1"/>
  </r>
  <r>
    <d v="2022-09-23T00:00:00"/>
    <x v="2"/>
    <n v="36750"/>
    <n v="-500"/>
    <x v="1"/>
    <x v="1"/>
  </r>
  <r>
    <d v="2022-09-26T00:00:00"/>
    <x v="2"/>
    <n v="36750"/>
    <m/>
    <x v="1"/>
    <x v="1"/>
  </r>
  <r>
    <d v="2022-09-27T00:00:00"/>
    <x v="2"/>
    <n v="36750"/>
    <n v="0"/>
    <x v="1"/>
    <x v="1"/>
  </r>
  <r>
    <d v="2022-09-28T00:00:00"/>
    <x v="2"/>
    <n v="36750"/>
    <n v="0"/>
    <x v="1"/>
    <x v="1"/>
  </r>
  <r>
    <d v="2022-09-29T00:00:00"/>
    <x v="2"/>
    <n v="36500"/>
    <n v="-250"/>
    <x v="1"/>
    <x v="1"/>
  </r>
  <r>
    <d v="2022-09-30T00:00:00"/>
    <x v="2"/>
    <n v="35900"/>
    <n v="-600"/>
    <x v="1"/>
    <x v="1"/>
  </r>
  <r>
    <d v="2022-10-01T00:00:00"/>
    <x v="2"/>
    <n v="35900"/>
    <n v="0"/>
    <x v="0"/>
    <x v="1"/>
  </r>
  <r>
    <d v="2022-10-02T00:00:00"/>
    <x v="2"/>
    <n v="35900"/>
    <n v="0"/>
    <x v="0"/>
    <x v="1"/>
  </r>
  <r>
    <d v="2022-10-03T00:00:00"/>
    <x v="2"/>
    <n v="34400"/>
    <n v="-1500"/>
    <x v="0"/>
    <x v="1"/>
  </r>
  <r>
    <d v="2022-10-04T00:00:00"/>
    <x v="2"/>
    <n v="34400"/>
    <n v="0"/>
    <x v="0"/>
    <x v="1"/>
  </r>
  <r>
    <d v="2022-10-05T00:00:00"/>
    <x v="2"/>
    <n v="34900"/>
    <n v="500"/>
    <x v="0"/>
    <x v="1"/>
  </r>
  <r>
    <d v="2022-10-06T00:00:00"/>
    <x v="2"/>
    <n v="35400"/>
    <n v="500"/>
    <x v="0"/>
    <x v="1"/>
  </r>
  <r>
    <d v="2022-10-07T00:00:00"/>
    <x v="2"/>
    <n v="36150"/>
    <n v="750"/>
    <x v="0"/>
    <x v="1"/>
  </r>
  <r>
    <d v="2022-10-08T00:00:00"/>
    <x v="2"/>
    <n v="36150"/>
    <n v="0"/>
    <x v="0"/>
    <x v="1"/>
  </r>
  <r>
    <d v="2022-10-09T00:00:00"/>
    <x v="2"/>
    <n v="36150"/>
    <n v="0"/>
    <x v="0"/>
    <x v="1"/>
  </r>
  <r>
    <d v="2022-10-10T00:00:00"/>
    <x v="2"/>
    <n v="39000"/>
    <n v="2850"/>
    <x v="0"/>
    <x v="0"/>
  </r>
  <r>
    <d v="2022-10-11T00:00:00"/>
    <x v="2"/>
    <n v="39000"/>
    <n v="0"/>
    <x v="0"/>
    <x v="0"/>
  </r>
  <r>
    <d v="2022-10-12T00:00:00"/>
    <x v="2"/>
    <n v="39650"/>
    <n v="650"/>
    <x v="0"/>
    <x v="1"/>
  </r>
  <r>
    <d v="2022-10-13T00:00:00"/>
    <x v="2"/>
    <n v="40250"/>
    <n v="600"/>
    <x v="0"/>
    <x v="1"/>
  </r>
  <r>
    <d v="2022-10-14T00:00:00"/>
    <x v="2"/>
    <n v="40400"/>
    <n v="150"/>
    <x v="0"/>
    <x v="1"/>
  </r>
  <r>
    <d v="2022-10-15T00:00:00"/>
    <x v="2"/>
    <n v="40400"/>
    <n v="0"/>
    <x v="0"/>
    <x v="1"/>
  </r>
  <r>
    <d v="2022-10-17T00:00:00"/>
    <x v="2"/>
    <n v="44150"/>
    <m/>
    <x v="0"/>
    <x v="1"/>
  </r>
  <r>
    <d v="2022-10-18T00:00:00"/>
    <x v="2"/>
    <n v="42250"/>
    <n v="-1900"/>
    <x v="0"/>
    <x v="1"/>
  </r>
  <r>
    <d v="2022-10-19T00:00:00"/>
    <x v="2"/>
    <n v="42250"/>
    <n v="0"/>
    <x v="0"/>
    <x v="1"/>
  </r>
  <r>
    <d v="2022-10-20T00:00:00"/>
    <x v="2"/>
    <n v="41750"/>
    <n v="-500"/>
    <x v="0"/>
    <x v="1"/>
  </r>
  <r>
    <d v="2022-10-21T00:00:00"/>
    <x v="2"/>
    <n v="42400"/>
    <n v="650"/>
    <x v="0"/>
    <x v="1"/>
  </r>
  <r>
    <d v="2022-10-22T00:00:00"/>
    <x v="2"/>
    <n v="42400"/>
    <n v="0"/>
    <x v="0"/>
    <x v="0"/>
  </r>
  <r>
    <d v="2022-10-24T00:00:00"/>
    <x v="2"/>
    <n v="39150"/>
    <m/>
    <x v="0"/>
    <x v="1"/>
  </r>
  <r>
    <d v="2022-10-25T00:00:00"/>
    <x v="2"/>
    <n v="38750"/>
    <n v="-400"/>
    <x v="0"/>
    <x v="1"/>
  </r>
  <r>
    <d v="2022-10-26T00:00:00"/>
    <x v="2"/>
    <n v="38750"/>
    <n v="0"/>
    <x v="0"/>
    <x v="0"/>
  </r>
  <r>
    <d v="2022-10-27T00:00:00"/>
    <x v="2"/>
    <n v="38750"/>
    <n v="0"/>
    <x v="0"/>
    <x v="0"/>
  </r>
  <r>
    <d v="2022-10-28T00:00:00"/>
    <x v="2"/>
    <n v="38250"/>
    <n v="-500"/>
    <x v="0"/>
    <x v="1"/>
  </r>
  <r>
    <d v="2022-10-29T00:00:00"/>
    <x v="2"/>
    <n v="38250"/>
    <n v="0"/>
    <x v="0"/>
    <x v="1"/>
  </r>
  <r>
    <d v="2022-10-30T00:00:00"/>
    <x v="2"/>
    <n v="38250"/>
    <n v="0"/>
    <x v="0"/>
    <x v="1"/>
  </r>
  <r>
    <d v="2022-10-31T00:00:00"/>
    <x v="2"/>
    <n v="38750"/>
    <n v="500"/>
    <x v="0"/>
    <x v="1"/>
  </r>
  <r>
    <d v="2022-11-01T00:00:00"/>
    <x v="2"/>
    <n v="38750"/>
    <n v="0"/>
    <x v="0"/>
    <x v="1"/>
  </r>
  <r>
    <d v="2022-11-02T00:00:00"/>
    <x v="2"/>
    <n v="38750"/>
    <n v="0"/>
    <x v="0"/>
    <x v="1"/>
  </r>
  <r>
    <d v="2022-11-03T00:00:00"/>
    <x v="2"/>
    <n v="38750"/>
    <n v="0"/>
    <x v="0"/>
    <x v="1"/>
  </r>
  <r>
    <d v="2022-11-04T00:00:00"/>
    <x v="2"/>
    <n v="39400"/>
    <n v="650"/>
    <x v="0"/>
    <x v="1"/>
  </r>
  <r>
    <d v="2022-11-05T00:00:00"/>
    <x v="2"/>
    <n v="39400"/>
    <n v="0"/>
    <x v="0"/>
    <x v="1"/>
  </r>
  <r>
    <d v="2022-11-06T00:00:00"/>
    <x v="2"/>
    <n v="39400"/>
    <n v="0"/>
    <x v="0"/>
    <x v="0"/>
  </r>
  <r>
    <d v="2022-11-07T00:00:00"/>
    <x v="2"/>
    <n v="40400"/>
    <n v="1000"/>
    <x v="0"/>
    <x v="1"/>
  </r>
  <r>
    <d v="2022-11-08T00:00:00"/>
    <x v="2"/>
    <n v="40900"/>
    <n v="500"/>
    <x v="0"/>
    <x v="0"/>
  </r>
  <r>
    <d v="2022-11-09T00:00:00"/>
    <x v="2"/>
    <n v="42250"/>
    <n v="1350"/>
    <x v="0"/>
    <x v="1"/>
  </r>
  <r>
    <d v="2022-11-10T00:00:00"/>
    <x v="2"/>
    <n v="43500"/>
    <n v="1250"/>
    <x v="0"/>
    <x v="1"/>
  </r>
  <r>
    <d v="2022-11-11T00:00:00"/>
    <x v="2"/>
    <n v="44150"/>
    <n v="650"/>
    <x v="0"/>
    <x v="1"/>
  </r>
  <r>
    <d v="2022-11-12T00:00:00"/>
    <x v="2"/>
    <n v="44150"/>
    <n v="0"/>
    <x v="0"/>
    <x v="0"/>
  </r>
  <r>
    <d v="2022-11-13T00:00:00"/>
    <x v="2"/>
    <n v="44150"/>
    <n v="0"/>
    <x v="0"/>
    <x v="1"/>
  </r>
  <r>
    <d v="2022-11-14T00:00:00"/>
    <x v="2"/>
    <n v="45400"/>
    <n v="1250"/>
    <x v="0"/>
    <x v="1"/>
  </r>
  <r>
    <d v="2022-11-15T00:00:00"/>
    <x v="2"/>
    <n v="45150"/>
    <n v="-250"/>
    <x v="0"/>
    <x v="0"/>
  </r>
  <r>
    <d v="2022-11-16T00:00:00"/>
    <x v="2"/>
    <n v="45750"/>
    <n v="600"/>
    <x v="0"/>
    <x v="0"/>
  </r>
  <r>
    <d v="2022-11-17T00:00:00"/>
    <x v="2"/>
    <n v="45750"/>
    <n v="0"/>
    <x v="0"/>
    <x v="0"/>
  </r>
  <r>
    <d v="2022-11-18T00:00:00"/>
    <x v="2"/>
    <n v="44900"/>
    <n v="-850"/>
    <x v="0"/>
    <x v="0"/>
  </r>
  <r>
    <d v="2022-11-19T00:00:00"/>
    <x v="2"/>
    <n v="44900"/>
    <n v="0"/>
    <x v="0"/>
    <x v="0"/>
  </r>
  <r>
    <d v="2022-11-20T00:00:00"/>
    <x v="2"/>
    <n v="44900"/>
    <n v="0"/>
    <x v="0"/>
    <x v="0"/>
  </r>
  <r>
    <d v="2022-11-21T00:00:00"/>
    <x v="2"/>
    <n v="45400"/>
    <n v="500"/>
    <x v="0"/>
    <x v="1"/>
  </r>
  <r>
    <d v="2022-11-22T00:00:00"/>
    <x v="2"/>
    <n v="45400"/>
    <n v="0"/>
    <x v="0"/>
    <x v="1"/>
  </r>
  <r>
    <d v="2022-11-23T00:00:00"/>
    <x v="2"/>
    <n v="44500"/>
    <n v="-900"/>
    <x v="0"/>
    <x v="0"/>
  </r>
  <r>
    <d v="2022-11-24T00:00:00"/>
    <x v="2"/>
    <n v="44500"/>
    <n v="0"/>
    <x v="0"/>
    <x v="1"/>
  </r>
  <r>
    <d v="2022-11-25T00:00:00"/>
    <x v="2"/>
    <n v="44500"/>
    <n v="0"/>
    <x v="0"/>
    <x v="0"/>
  </r>
  <r>
    <d v="2022-11-26T00:00:00"/>
    <x v="2"/>
    <n v="44500"/>
    <n v="0"/>
    <x v="0"/>
    <x v="1"/>
  </r>
  <r>
    <d v="2022-11-27T00:00:00"/>
    <x v="2"/>
    <n v="44500"/>
    <n v="0"/>
    <x v="0"/>
    <x v="1"/>
  </r>
  <r>
    <d v="2022-11-28T00:00:00"/>
    <x v="2"/>
    <n v="43900"/>
    <n v="-600"/>
    <x v="0"/>
    <x v="1"/>
  </r>
  <r>
    <d v="2022-11-29T00:00:00"/>
    <x v="2"/>
    <n v="44500"/>
    <n v="600"/>
    <x v="0"/>
    <x v="1"/>
  </r>
  <r>
    <d v="2022-11-30T00:00:00"/>
    <x v="2"/>
    <n v="43500"/>
    <n v="-1000"/>
    <x v="0"/>
    <x v="1"/>
  </r>
  <r>
    <d v="2022-12-01T00:00:00"/>
    <x v="2"/>
    <n v="43150"/>
    <n v="-350"/>
    <x v="0"/>
    <x v="1"/>
  </r>
  <r>
    <d v="2022-12-02T00:00:00"/>
    <x v="2"/>
    <n v="43150"/>
    <n v="0"/>
    <x v="0"/>
    <x v="1"/>
  </r>
  <r>
    <d v="2022-12-03T00:00:00"/>
    <x v="2"/>
    <n v="43150"/>
    <n v="0"/>
    <x v="0"/>
    <x v="1"/>
  </r>
  <r>
    <d v="2022-12-04T00:00:00"/>
    <x v="2"/>
    <n v="43150"/>
    <n v="0"/>
    <x v="0"/>
    <x v="1"/>
  </r>
  <r>
    <d v="2022-12-05T00:00:00"/>
    <x v="2"/>
    <n v="44400"/>
    <n v="1250"/>
    <x v="0"/>
    <x v="1"/>
  </r>
  <r>
    <d v="2022-12-06T00:00:00"/>
    <x v="2"/>
    <n v="43650"/>
    <n v="-750"/>
    <x v="0"/>
    <x v="1"/>
  </r>
  <r>
    <d v="2022-12-07T00:00:00"/>
    <x v="2"/>
    <n v="45500"/>
    <n v="1850"/>
    <x v="0"/>
    <x v="1"/>
  </r>
  <r>
    <d v="2022-12-08T00:00:00"/>
    <x v="2"/>
    <n v="45900"/>
    <n v="400"/>
    <x v="0"/>
    <x v="1"/>
  </r>
  <r>
    <d v="2022-12-09T00:00:00"/>
    <x v="2"/>
    <n v="45250"/>
    <n v="-650"/>
    <x v="0"/>
    <x v="1"/>
  </r>
  <r>
    <d v="2022-12-10T00:00:00"/>
    <x v="2"/>
    <n v="45250"/>
    <n v="0"/>
    <x v="0"/>
    <x v="1"/>
  </r>
  <r>
    <d v="2022-12-11T00:00:00"/>
    <x v="2"/>
    <n v="45250"/>
    <n v="0"/>
    <x v="0"/>
    <x v="1"/>
  </r>
  <r>
    <d v="2022-12-12T00:00:00"/>
    <x v="2"/>
    <n v="45250"/>
    <n v="0"/>
    <x v="0"/>
    <x v="1"/>
  </r>
  <r>
    <d v="2022-12-13T00:00:00"/>
    <x v="2"/>
    <n v="45250"/>
    <n v="0"/>
    <x v="0"/>
    <x v="0"/>
  </r>
  <r>
    <d v="2022-12-14T00:00:00"/>
    <x v="2"/>
    <n v="45900"/>
    <n v="650"/>
    <x v="0"/>
    <x v="1"/>
  </r>
  <r>
    <d v="2022-12-15T00:00:00"/>
    <x v="2"/>
    <n v="45650"/>
    <n v="-250"/>
    <x v="0"/>
    <x v="0"/>
  </r>
  <r>
    <d v="2022-12-16T00:00:00"/>
    <x v="2"/>
    <n v="45250"/>
    <n v="-400"/>
    <x v="0"/>
    <x v="1"/>
  </r>
  <r>
    <d v="2022-12-17T00:00:00"/>
    <x v="2"/>
    <n v="45250"/>
    <n v="0"/>
    <x v="0"/>
    <x v="0"/>
  </r>
  <r>
    <d v="2022-12-18T00:00:00"/>
    <x v="2"/>
    <n v="45250"/>
    <n v="0"/>
    <x v="0"/>
    <x v="0"/>
  </r>
  <r>
    <d v="2022-12-19T00:00:00"/>
    <x v="2"/>
    <n v="45250"/>
    <n v="0"/>
    <x v="0"/>
    <x v="1"/>
  </r>
  <r>
    <d v="2022-12-20T00:00:00"/>
    <x v="2"/>
    <n v="45250"/>
    <n v="0"/>
    <x v="0"/>
    <x v="1"/>
  </r>
  <r>
    <d v="2022-12-21T00:00:00"/>
    <x v="2"/>
    <n v="44900"/>
    <n v="-350"/>
    <x v="0"/>
    <x v="1"/>
  </r>
  <r>
    <d v="2022-12-22T00:00:00"/>
    <x v="2"/>
    <n v="44900"/>
    <n v="0"/>
    <x v="0"/>
    <x v="1"/>
  </r>
  <r>
    <d v="2022-12-23T00:00:00"/>
    <x v="2"/>
    <n v="44900"/>
    <n v="0"/>
    <x v="0"/>
    <x v="1"/>
  </r>
  <r>
    <d v="2022-12-26T00:00:00"/>
    <x v="2"/>
    <n v="43900"/>
    <m/>
    <x v="0"/>
    <x v="1"/>
  </r>
  <r>
    <d v="2022-12-27T00:00:00"/>
    <x v="2"/>
    <n v="43650"/>
    <n v="-250"/>
    <x v="0"/>
    <x v="1"/>
  </r>
  <r>
    <d v="2022-12-28T00:00:00"/>
    <x v="2"/>
    <n v="43650"/>
    <n v="0"/>
    <x v="0"/>
    <x v="1"/>
  </r>
  <r>
    <d v="2022-12-29T00:00:00"/>
    <x v="2"/>
    <n v="43650"/>
    <n v="0"/>
    <x v="0"/>
    <x v="1"/>
  </r>
  <r>
    <d v="2022-12-30T00:00:00"/>
    <x v="2"/>
    <n v="42400"/>
    <n v="-1250"/>
    <x v="0"/>
    <x v="1"/>
  </r>
  <r>
    <d v="2022-12-31T00:00:00"/>
    <x v="2"/>
    <n v="42400"/>
    <n v="0"/>
    <x v="0"/>
    <x v="1"/>
  </r>
  <r>
    <d v="2023-01-01T00:00:00"/>
    <x v="3"/>
    <n v="42400"/>
    <n v="0"/>
    <x v="0"/>
    <x v="1"/>
  </r>
  <r>
    <d v="2023-01-02T00:00:00"/>
    <x v="3"/>
    <n v="42650"/>
    <n v="250"/>
    <x v="0"/>
    <x v="1"/>
  </r>
  <r>
    <d v="2023-01-03T00:00:00"/>
    <x v="3"/>
    <n v="42650"/>
    <n v="0"/>
    <x v="0"/>
    <x v="1"/>
  </r>
  <r>
    <d v="2023-01-04T00:00:00"/>
    <x v="3"/>
    <n v="42650"/>
    <n v="0"/>
    <x v="0"/>
    <x v="1"/>
  </r>
  <r>
    <d v="2023-01-05T00:00:00"/>
    <x v="3"/>
    <n v="42650"/>
    <n v="0"/>
    <x v="0"/>
    <x v="1"/>
  </r>
  <r>
    <d v="2023-01-06T00:00:00"/>
    <x v="3"/>
    <n v="43150"/>
    <n v="500"/>
    <x v="0"/>
    <x v="0"/>
  </r>
  <r>
    <d v="2023-01-07T00:00:00"/>
    <x v="3"/>
    <n v="43150"/>
    <n v="0"/>
    <x v="0"/>
    <x v="1"/>
  </r>
  <r>
    <d v="2023-01-08T00:00:00"/>
    <x v="3"/>
    <n v="43150"/>
    <n v="0"/>
    <x v="0"/>
    <x v="1"/>
  </r>
  <r>
    <d v="2023-01-09T00:00:00"/>
    <x v="3"/>
    <n v="42900"/>
    <n v="-250"/>
    <x v="0"/>
    <x v="0"/>
  </r>
  <r>
    <d v="2023-01-10T00:00:00"/>
    <x v="3"/>
    <n v="42900"/>
    <n v="0"/>
    <x v="0"/>
    <x v="0"/>
  </r>
  <r>
    <d v="2023-01-11T00:00:00"/>
    <x v="3"/>
    <n v="42900"/>
    <n v="0"/>
    <x v="0"/>
    <x v="1"/>
  </r>
  <r>
    <d v="2023-01-12T00:00:00"/>
    <x v="3"/>
    <n v="42900"/>
    <n v="0"/>
    <x v="0"/>
    <x v="1"/>
  </r>
  <r>
    <d v="2023-01-13T00:00:00"/>
    <x v="3"/>
    <n v="43150"/>
    <n v="250"/>
    <x v="0"/>
    <x v="1"/>
  </r>
  <r>
    <d v="2023-01-14T00:00:00"/>
    <x v="3"/>
    <n v="43150"/>
    <n v="0"/>
    <x v="0"/>
    <x v="1"/>
  </r>
  <r>
    <d v="2023-01-15T00:00:00"/>
    <x v="3"/>
    <n v="43150"/>
    <n v="0"/>
    <x v="0"/>
    <x v="1"/>
  </r>
  <r>
    <d v="2023-01-16T00:00:00"/>
    <x v="3"/>
    <n v="43150"/>
    <n v="0"/>
    <x v="0"/>
    <x v="1"/>
  </r>
  <r>
    <d v="2023-01-17T00:00:00"/>
    <x v="3"/>
    <n v="43150"/>
    <n v="0"/>
    <x v="0"/>
    <x v="1"/>
  </r>
  <r>
    <d v="2023-01-18T00:00:00"/>
    <x v="3"/>
    <n v="43150"/>
    <n v="0"/>
    <x v="0"/>
    <x v="1"/>
  </r>
  <r>
    <d v="2023-01-19T00:00:00"/>
    <x v="3"/>
    <n v="43150"/>
    <n v="0"/>
    <x v="0"/>
    <x v="1"/>
  </r>
  <r>
    <d v="2023-01-20T00:00:00"/>
    <x v="3"/>
    <n v="43150"/>
    <n v="0"/>
    <x v="0"/>
    <x v="0"/>
  </r>
  <r>
    <d v="2023-01-21T00:00:00"/>
    <x v="3"/>
    <n v="43150"/>
    <n v="0"/>
    <x v="0"/>
    <x v="0"/>
  </r>
  <r>
    <d v="2023-01-22T00:00:00"/>
    <x v="3"/>
    <n v="43150"/>
    <n v="0"/>
    <x v="0"/>
    <x v="0"/>
  </r>
  <r>
    <d v="2023-01-23T00:00:00"/>
    <x v="3"/>
    <n v="43150"/>
    <n v="0"/>
    <x v="0"/>
    <x v="0"/>
  </r>
  <r>
    <d v="2023-01-24T00:00:00"/>
    <x v="3"/>
    <n v="42150"/>
    <n v="-1000"/>
    <x v="0"/>
    <x v="1"/>
  </r>
  <r>
    <d v="2023-01-25T00:00:00"/>
    <x v="3"/>
    <n v="41900"/>
    <n v="-250"/>
    <x v="0"/>
    <x v="0"/>
  </r>
  <r>
    <d v="2023-01-26T00:00:00"/>
    <x v="3"/>
    <n v="41250"/>
    <n v="-650"/>
    <x v="0"/>
    <x v="0"/>
  </r>
  <r>
    <d v="2023-01-27T00:00:00"/>
    <x v="3"/>
    <n v="41250"/>
    <n v="0"/>
    <x v="0"/>
    <x v="0"/>
  </r>
  <r>
    <d v="2023-01-28T00:00:00"/>
    <x v="3"/>
    <n v="41250"/>
    <n v="0"/>
    <x v="0"/>
    <x v="0"/>
  </r>
  <r>
    <d v="2023-01-29T00:00:00"/>
    <x v="3"/>
    <n v="41250"/>
    <n v="0"/>
    <x v="0"/>
    <x v="1"/>
  </r>
  <r>
    <d v="2023-01-30T00:00:00"/>
    <x v="3"/>
    <n v="41250"/>
    <n v="0"/>
    <x v="0"/>
    <x v="1"/>
  </r>
  <r>
    <d v="2023-01-31T00:00:00"/>
    <x v="3"/>
    <n v="40500"/>
    <n v="-750"/>
    <x v="0"/>
    <x v="1"/>
  </r>
  <r>
    <d v="2023-02-01T00:00:00"/>
    <x v="3"/>
    <n v="41000"/>
    <n v="500"/>
    <x v="0"/>
    <x v="0"/>
  </r>
  <r>
    <d v="2023-02-02T00:00:00"/>
    <x v="3"/>
    <n v="41000"/>
    <n v="0"/>
    <x v="0"/>
    <x v="1"/>
  </r>
  <r>
    <d v="2023-02-03T00:00:00"/>
    <x v="3"/>
    <n v="42000"/>
    <n v="1000"/>
    <x v="0"/>
    <x v="1"/>
  </r>
  <r>
    <d v="2023-02-04T00:00:00"/>
    <x v="3"/>
    <n v="42000"/>
    <n v="0"/>
    <x v="0"/>
    <x v="0"/>
  </r>
  <r>
    <d v="2023-02-05T00:00:00"/>
    <x v="3"/>
    <n v="42000"/>
    <n v="0"/>
    <x v="0"/>
    <x v="1"/>
  </r>
  <r>
    <d v="2023-02-06T00:00:00"/>
    <x v="3"/>
    <n v="43250"/>
    <n v="1250"/>
    <x v="0"/>
    <x v="1"/>
  </r>
  <r>
    <d v="2023-02-07T00:00:00"/>
    <x v="3"/>
    <n v="43750"/>
    <n v="500"/>
    <x v="0"/>
    <x v="0"/>
  </r>
  <r>
    <d v="2023-02-08T00:00:00"/>
    <x v="3"/>
    <n v="43750"/>
    <n v="0"/>
    <x v="0"/>
    <x v="0"/>
  </r>
  <r>
    <d v="2023-02-09T00:00:00"/>
    <x v="3"/>
    <n v="45500"/>
    <n v="1750"/>
    <x v="0"/>
    <x v="1"/>
  </r>
  <r>
    <d v="2023-02-10T00:00:00"/>
    <x v="3"/>
    <n v="45500"/>
    <n v="0"/>
    <x v="0"/>
    <x v="1"/>
  </r>
  <r>
    <d v="2023-02-11T00:00:00"/>
    <x v="3"/>
    <n v="45500"/>
    <n v="0"/>
    <x v="0"/>
    <x v="1"/>
  </r>
  <r>
    <d v="2023-02-12T00:00:00"/>
    <x v="3"/>
    <n v="45500"/>
    <n v="0"/>
    <x v="0"/>
    <x v="1"/>
  </r>
  <r>
    <d v="2023-02-13T00:00:00"/>
    <x v="3"/>
    <n v="45250"/>
    <n v="-250"/>
    <x v="0"/>
    <x v="1"/>
  </r>
  <r>
    <d v="2023-02-14T00:00:00"/>
    <x v="3"/>
    <n v="44750"/>
    <n v="-500"/>
    <x v="0"/>
    <x v="1"/>
  </r>
  <r>
    <d v="2023-02-15T00:00:00"/>
    <x v="3"/>
    <n v="44500"/>
    <n v="-250"/>
    <x v="0"/>
    <x v="1"/>
  </r>
  <r>
    <d v="2023-02-16T00:00:00"/>
    <x v="3"/>
    <n v="44250"/>
    <n v="-250"/>
    <x v="0"/>
    <x v="1"/>
  </r>
  <r>
    <d v="2023-02-17T00:00:00"/>
    <x v="3"/>
    <n v="43000"/>
    <n v="-1250"/>
    <x v="0"/>
    <x v="1"/>
  </r>
  <r>
    <d v="2023-02-20T00:00:00"/>
    <x v="3"/>
    <n v="41000"/>
    <m/>
    <x v="0"/>
    <x v="1"/>
  </r>
  <r>
    <d v="2023-02-21T00:00:00"/>
    <x v="3"/>
    <n v="40400"/>
    <n v="-600"/>
    <x v="0"/>
    <x v="1"/>
  </r>
  <r>
    <d v="2023-02-22T00:00:00"/>
    <x v="3"/>
    <n v="39650"/>
    <n v="-750"/>
    <x v="0"/>
    <x v="1"/>
  </r>
  <r>
    <d v="2023-02-23T00:00:00"/>
    <x v="3"/>
    <n v="39900"/>
    <n v="250"/>
    <x v="0"/>
    <x v="1"/>
  </r>
  <r>
    <d v="2023-02-24T00:00:00"/>
    <x v="3"/>
    <n v="39900"/>
    <n v="0"/>
    <x v="0"/>
    <x v="1"/>
  </r>
  <r>
    <d v="2023-02-27T00:00:00"/>
    <x v="3"/>
    <n v="39900"/>
    <m/>
    <x v="0"/>
    <x v="1"/>
  </r>
  <r>
    <d v="2023-02-28T00:00:00"/>
    <x v="3"/>
    <n v="39900"/>
    <n v="0"/>
    <x v="0"/>
    <x v="1"/>
  </r>
  <r>
    <d v="2023-03-01T00:00:00"/>
    <x v="3"/>
    <n v="39650"/>
    <n v="-250"/>
    <x v="0"/>
    <x v="1"/>
  </r>
  <r>
    <d v="2023-03-02T00:00:00"/>
    <x v="3"/>
    <n v="38900"/>
    <n v="-750"/>
    <x v="0"/>
    <x v="1"/>
  </r>
  <r>
    <d v="2023-03-03T00:00:00"/>
    <x v="3"/>
    <n v="38650"/>
    <n v="-250"/>
    <x v="0"/>
    <x v="0"/>
  </r>
  <r>
    <d v="2023-03-04T00:00:00"/>
    <x v="3"/>
    <n v="38650"/>
    <n v="0"/>
    <x v="0"/>
    <x v="0"/>
  </r>
  <r>
    <d v="2023-03-05T00:00:00"/>
    <x v="3"/>
    <n v="38650"/>
    <n v="0"/>
    <x v="0"/>
    <x v="0"/>
  </r>
  <r>
    <d v="2023-03-06T00:00:00"/>
    <x v="3"/>
    <n v="39150"/>
    <n v="500"/>
    <x v="0"/>
    <x v="1"/>
  </r>
  <r>
    <d v="2023-03-07T00:00:00"/>
    <x v="3"/>
    <n v="39150"/>
    <n v="0"/>
    <x v="0"/>
    <x v="1"/>
  </r>
  <r>
    <d v="2023-03-08T00:00:00"/>
    <x v="3"/>
    <n v="40650"/>
    <n v="1500"/>
    <x v="0"/>
    <x v="1"/>
  </r>
  <r>
    <d v="2023-03-09T00:00:00"/>
    <x v="3"/>
    <n v="40500"/>
    <n v="-150"/>
    <x v="0"/>
    <x v="1"/>
  </r>
  <r>
    <d v="2023-03-10T00:00:00"/>
    <x v="3"/>
    <n v="40000"/>
    <n v="-500"/>
    <x v="0"/>
    <x v="1"/>
  </r>
  <r>
    <d v="2023-03-11T00:00:00"/>
    <x v="3"/>
    <n v="40000"/>
    <n v="0"/>
    <x v="0"/>
    <x v="1"/>
  </r>
  <r>
    <d v="2023-03-12T00:00:00"/>
    <x v="3"/>
    <n v="40000"/>
    <n v="0"/>
    <x v="0"/>
    <x v="1"/>
  </r>
  <r>
    <d v="2023-03-13T00:00:00"/>
    <x v="3"/>
    <n v="41250"/>
    <n v="1250"/>
    <x v="0"/>
    <x v="1"/>
  </r>
  <r>
    <d v="2023-03-14T00:00:00"/>
    <x v="3"/>
    <n v="40500"/>
    <n v="-750"/>
    <x v="0"/>
    <x v="0"/>
  </r>
  <r>
    <d v="2023-03-15T00:00:00"/>
    <x v="3"/>
    <n v="40250"/>
    <n v="-250"/>
    <x v="0"/>
    <x v="1"/>
  </r>
  <r>
    <d v="2023-03-16T00:00:00"/>
    <x v="3"/>
    <n v="40250"/>
    <n v="0"/>
    <x v="0"/>
    <x v="1"/>
  </r>
  <r>
    <d v="2023-03-17T00:00:00"/>
    <x v="3"/>
    <n v="40250"/>
    <n v="0"/>
    <x v="0"/>
    <x v="1"/>
  </r>
  <r>
    <d v="2023-03-18T00:00:00"/>
    <x v="3"/>
    <n v="40250"/>
    <n v="0"/>
    <x v="0"/>
    <x v="1"/>
  </r>
  <r>
    <d v="2023-03-20T00:00:00"/>
    <x v="3"/>
    <n v="38750"/>
    <m/>
    <x v="0"/>
    <x v="1"/>
  </r>
  <r>
    <d v="2023-03-21T00:00:00"/>
    <x v="3"/>
    <n v="39500"/>
    <n v="750"/>
    <x v="0"/>
    <x v="0"/>
  </r>
  <r>
    <d v="2023-03-22T00:00:00"/>
    <x v="3"/>
    <n v="39500"/>
    <n v="0"/>
    <x v="0"/>
    <x v="0"/>
  </r>
  <r>
    <d v="2023-03-23T00:00:00"/>
    <x v="3"/>
    <n v="39500"/>
    <n v="0"/>
    <x v="0"/>
    <x v="1"/>
  </r>
  <r>
    <d v="2023-03-24T00:00:00"/>
    <x v="3"/>
    <n v="40150"/>
    <n v="650"/>
    <x v="0"/>
    <x v="1"/>
  </r>
  <r>
    <d v="2023-03-27T00:00:00"/>
    <x v="3"/>
    <n v="39650"/>
    <m/>
    <x v="0"/>
    <x v="1"/>
  </r>
  <r>
    <d v="2023-03-28T00:00:00"/>
    <x v="3"/>
    <n v="39650"/>
    <n v="0"/>
    <x v="0"/>
    <x v="1"/>
  </r>
  <r>
    <d v="2023-03-29T00:00:00"/>
    <x v="3"/>
    <n v="39650"/>
    <n v="0"/>
    <x v="0"/>
    <x v="0"/>
  </r>
  <r>
    <d v="2023-03-30T00:00:00"/>
    <x v="3"/>
    <n v="39650"/>
    <n v="0"/>
    <x v="0"/>
    <x v="1"/>
  </r>
  <r>
    <d v="2023-03-31T00:00:00"/>
    <x v="3"/>
    <n v="39400"/>
    <n v="-250"/>
    <x v="0"/>
    <x v="0"/>
  </r>
  <r>
    <d v="2023-04-01T00:00:00"/>
    <x v="3"/>
    <n v="39400"/>
    <n v="0"/>
    <x v="1"/>
    <x v="0"/>
  </r>
  <r>
    <d v="2023-04-02T00:00:00"/>
    <x v="3"/>
    <n v="39400"/>
    <n v="0"/>
    <x v="1"/>
    <x v="0"/>
  </r>
  <r>
    <d v="2023-04-03T00:00:00"/>
    <x v="3"/>
    <n v="39150"/>
    <n v="-250"/>
    <x v="1"/>
    <x v="1"/>
  </r>
  <r>
    <d v="2023-04-04T00:00:00"/>
    <x v="3"/>
    <n v="39150"/>
    <n v="0"/>
    <x v="1"/>
    <x v="0"/>
  </r>
  <r>
    <d v="2023-04-05T00:00:00"/>
    <x v="3"/>
    <n v="38650"/>
    <n v="-500"/>
    <x v="1"/>
    <x v="0"/>
  </r>
  <r>
    <d v="2023-04-06T00:00:00"/>
    <x v="3"/>
    <n v="38650"/>
    <n v="0"/>
    <x v="1"/>
    <x v="1"/>
  </r>
  <r>
    <d v="2023-04-10T00:00:00"/>
    <x v="3"/>
    <n v="38650"/>
    <m/>
    <x v="1"/>
    <x v="1"/>
  </r>
  <r>
    <d v="2023-04-11T00:00:00"/>
    <x v="3"/>
    <n v="38000"/>
    <n v="-650"/>
    <x v="1"/>
    <x v="1"/>
  </r>
  <r>
    <d v="2023-04-12T00:00:00"/>
    <x v="3"/>
    <n v="38000"/>
    <n v="0"/>
    <x v="1"/>
    <x v="1"/>
  </r>
  <r>
    <d v="2023-04-13T00:00:00"/>
    <x v="3"/>
    <n v="37400"/>
    <n v="-600"/>
    <x v="1"/>
    <x v="1"/>
  </r>
  <r>
    <d v="2023-04-14T00:00:00"/>
    <x v="3"/>
    <n v="37400"/>
    <n v="0"/>
    <x v="1"/>
    <x v="1"/>
  </r>
  <r>
    <d v="2023-04-15T00:00:00"/>
    <x v="3"/>
    <n v="37400"/>
    <n v="0"/>
    <x v="1"/>
    <x v="1"/>
  </r>
  <r>
    <d v="2023-04-17T00:00:00"/>
    <x v="3"/>
    <n v="40250"/>
    <m/>
    <x v="1"/>
    <x v="1"/>
  </r>
  <r>
    <d v="2023-04-18T00:00:00"/>
    <x v="3"/>
    <n v="40250"/>
    <n v="0"/>
    <x v="1"/>
    <x v="1"/>
  </r>
  <r>
    <d v="2023-04-19T00:00:00"/>
    <x v="3"/>
    <n v="40250"/>
    <n v="0"/>
    <x v="1"/>
    <x v="1"/>
  </r>
  <r>
    <d v="2023-04-20T00:00:00"/>
    <x v="3"/>
    <n v="40250"/>
    <n v="0"/>
    <x v="1"/>
    <x v="1"/>
  </r>
  <r>
    <d v="2023-04-21T00:00:00"/>
    <x v="3"/>
    <n v="40250"/>
    <n v="0"/>
    <x v="1"/>
    <x v="1"/>
  </r>
  <r>
    <d v="2023-04-24T00:00:00"/>
    <x v="3"/>
    <n v="40250"/>
    <m/>
    <x v="1"/>
    <x v="1"/>
  </r>
  <r>
    <d v="2023-04-25T00:00:00"/>
    <x v="3"/>
    <n v="40250"/>
    <n v="0"/>
    <x v="1"/>
    <x v="1"/>
  </r>
  <r>
    <d v="2023-04-26T00:00:00"/>
    <x v="3"/>
    <n v="44400"/>
    <n v="4150"/>
    <x v="1"/>
    <x v="1"/>
  </r>
  <r>
    <d v="2023-04-27T00:00:00"/>
    <x v="3"/>
    <n v="44400"/>
    <n v="0"/>
    <x v="1"/>
    <x v="1"/>
  </r>
  <r>
    <d v="2023-04-28T00:00:00"/>
    <x v="3"/>
    <n v="46400"/>
    <n v="2000"/>
    <x v="1"/>
    <x v="1"/>
  </r>
  <r>
    <d v="2023-04-29T00:00:00"/>
    <x v="3"/>
    <n v="46400"/>
    <n v="0"/>
    <x v="1"/>
    <x v="1"/>
  </r>
  <r>
    <d v="2023-04-30T00:00:00"/>
    <x v="3"/>
    <n v="46400"/>
    <n v="0"/>
    <x v="1"/>
    <x v="0"/>
  </r>
  <r>
    <d v="2023-05-01T00:00:00"/>
    <x v="3"/>
    <n v="46400"/>
    <n v="0"/>
    <x v="1"/>
    <x v="1"/>
  </r>
  <r>
    <d v="2023-05-02T00:00:00"/>
    <x v="3"/>
    <n v="43400"/>
    <n v="-3000"/>
    <x v="1"/>
    <x v="1"/>
  </r>
  <r>
    <d v="2023-05-03T00:00:00"/>
    <x v="3"/>
    <n v="46400"/>
    <n v="3000"/>
    <x v="1"/>
    <x v="1"/>
  </r>
  <r>
    <d v="2023-05-04T00:00:00"/>
    <x v="3"/>
    <n v="43650"/>
    <n v="-2750"/>
    <x v="1"/>
    <x v="1"/>
  </r>
  <r>
    <d v="2023-05-05T00:00:00"/>
    <x v="3"/>
    <n v="43000"/>
    <n v="-650"/>
    <x v="1"/>
    <x v="1"/>
  </r>
  <r>
    <d v="2023-05-06T00:00:00"/>
    <x v="3"/>
    <n v="43000"/>
    <n v="0"/>
    <x v="1"/>
    <x v="0"/>
  </r>
  <r>
    <d v="2023-05-07T00:00:00"/>
    <x v="3"/>
    <n v="43000"/>
    <n v="0"/>
    <x v="1"/>
    <x v="1"/>
  </r>
  <r>
    <d v="2023-05-08T00:00:00"/>
    <x v="3"/>
    <n v="46400"/>
    <n v="3400"/>
    <x v="1"/>
    <x v="1"/>
  </r>
  <r>
    <d v="2023-05-09T00:00:00"/>
    <x v="3"/>
    <n v="47150"/>
    <n v="750"/>
    <x v="1"/>
    <x v="1"/>
  </r>
  <r>
    <d v="2023-05-10T00:00:00"/>
    <x v="3"/>
    <n v="47750"/>
    <n v="600"/>
    <x v="1"/>
    <x v="1"/>
  </r>
  <r>
    <d v="2023-05-11T00:00:00"/>
    <x v="3"/>
    <n v="45900"/>
    <n v="-1850"/>
    <x v="1"/>
    <x v="1"/>
  </r>
  <r>
    <d v="2023-05-12T00:00:00"/>
    <x v="3"/>
    <n v="45900"/>
    <n v="0"/>
    <x v="1"/>
    <x v="1"/>
  </r>
  <r>
    <d v="2023-05-13T00:00:00"/>
    <x v="3"/>
    <n v="45900"/>
    <n v="0"/>
    <x v="1"/>
    <x v="1"/>
  </r>
  <r>
    <d v="2023-05-14T00:00:00"/>
    <x v="3"/>
    <n v="45900"/>
    <n v="0"/>
    <x v="1"/>
    <x v="1"/>
  </r>
  <r>
    <d v="2023-05-15T00:00:00"/>
    <x v="3"/>
    <n v="47150"/>
    <n v="1250"/>
    <x v="1"/>
    <x v="1"/>
  </r>
  <r>
    <d v="2023-05-16T00:00:00"/>
    <x v="3"/>
    <n v="47150"/>
    <n v="0"/>
    <x v="1"/>
    <x v="0"/>
  </r>
  <r>
    <d v="2023-05-17T00:00:00"/>
    <x v="3"/>
    <n v="47150"/>
    <n v="0"/>
    <x v="1"/>
    <x v="1"/>
  </r>
  <r>
    <d v="2023-05-18T00:00:00"/>
    <x v="3"/>
    <n v="47150"/>
    <n v="0"/>
    <x v="1"/>
    <x v="1"/>
  </r>
  <r>
    <d v="2023-05-19T00:00:00"/>
    <x v="3"/>
    <n v="46650"/>
    <n v="-500"/>
    <x v="1"/>
    <x v="1"/>
  </r>
  <r>
    <d v="2023-05-22T00:00:00"/>
    <x v="3"/>
    <n v="46150"/>
    <m/>
    <x v="1"/>
    <x v="1"/>
  </r>
  <r>
    <d v="2023-05-23T00:00:00"/>
    <x v="3"/>
    <n v="46250"/>
    <n v="100"/>
    <x v="1"/>
    <x v="1"/>
  </r>
  <r>
    <d v="2023-05-24T00:00:00"/>
    <x v="3"/>
    <n v="46400"/>
    <n v="150"/>
    <x v="1"/>
    <x v="1"/>
  </r>
  <r>
    <d v="2023-05-25T00:00:00"/>
    <x v="3"/>
    <n v="44750"/>
    <n v="-1650"/>
    <x v="1"/>
    <x v="0"/>
  </r>
  <r>
    <d v="2023-05-26T00:00:00"/>
    <x v="3"/>
    <n v="44250"/>
    <n v="-500"/>
    <x v="1"/>
    <x v="0"/>
  </r>
  <r>
    <d v="2023-05-27T00:00:00"/>
    <x v="3"/>
    <n v="44250"/>
    <n v="0"/>
    <x v="1"/>
    <x v="1"/>
  </r>
  <r>
    <d v="2023-05-28T00:00:00"/>
    <x v="3"/>
    <n v="44250"/>
    <n v="0"/>
    <x v="1"/>
    <x v="1"/>
  </r>
  <r>
    <d v="2023-05-29T00:00:00"/>
    <x v="3"/>
    <n v="43400"/>
    <n v="-850"/>
    <x v="1"/>
    <x v="1"/>
  </r>
  <r>
    <d v="2023-05-30T00:00:00"/>
    <x v="3"/>
    <n v="43650"/>
    <n v="250"/>
    <x v="1"/>
    <x v="1"/>
  </r>
  <r>
    <d v="2023-05-31T00:00:00"/>
    <x v="3"/>
    <n v="42750"/>
    <n v="-900"/>
    <x v="1"/>
    <x v="1"/>
  </r>
  <r>
    <d v="2023-06-01T00:00:00"/>
    <x v="3"/>
    <n v="42750"/>
    <n v="0"/>
    <x v="1"/>
    <x v="1"/>
  </r>
  <r>
    <d v="2023-06-02T00:00:00"/>
    <x v="3"/>
    <n v="42750"/>
    <n v="0"/>
    <x v="1"/>
    <x v="1"/>
  </r>
  <r>
    <d v="2023-06-03T00:00:00"/>
    <x v="3"/>
    <n v="42750"/>
    <n v="0"/>
    <x v="1"/>
    <x v="1"/>
  </r>
  <r>
    <d v="2023-06-04T00:00:00"/>
    <x v="3"/>
    <n v="42750"/>
    <n v="0"/>
    <x v="1"/>
    <x v="1"/>
  </r>
  <r>
    <d v="2023-06-05T00:00:00"/>
    <x v="3"/>
    <n v="42900"/>
    <n v="150"/>
    <x v="1"/>
    <x v="1"/>
  </r>
  <r>
    <d v="2023-06-06T00:00:00"/>
    <x v="3"/>
    <n v="42900"/>
    <n v="0"/>
    <x v="1"/>
    <x v="1"/>
  </r>
  <r>
    <d v="2023-06-07T00:00:00"/>
    <x v="3"/>
    <n v="42900"/>
    <n v="0"/>
    <x v="1"/>
    <x v="1"/>
  </r>
  <r>
    <d v="2023-06-08T00:00:00"/>
    <x v="3"/>
    <n v="42900"/>
    <n v="0"/>
    <x v="1"/>
    <x v="1"/>
  </r>
  <r>
    <d v="2023-06-09T00:00:00"/>
    <x v="3"/>
    <n v="43650"/>
    <n v="750"/>
    <x v="1"/>
    <x v="1"/>
  </r>
  <r>
    <d v="2023-06-12T00:00:00"/>
    <x v="3"/>
    <n v="43400"/>
    <m/>
    <x v="1"/>
    <x v="1"/>
  </r>
  <r>
    <d v="2023-06-13T00:00:00"/>
    <x v="3"/>
    <n v="43400"/>
    <n v="0"/>
    <x v="1"/>
    <x v="1"/>
  </r>
  <r>
    <d v="2023-06-14T00:00:00"/>
    <x v="3"/>
    <n v="43900"/>
    <n v="500"/>
    <x v="1"/>
    <x v="0"/>
  </r>
  <r>
    <d v="2023-06-15T00:00:00"/>
    <x v="3"/>
    <n v="43650"/>
    <n v="-250"/>
    <x v="1"/>
    <x v="1"/>
  </r>
  <r>
    <d v="2023-06-16T00:00:00"/>
    <x v="3"/>
    <n v="43650"/>
    <n v="0"/>
    <x v="1"/>
    <x v="0"/>
  </r>
  <r>
    <d v="2023-06-17T00:00:00"/>
    <x v="3"/>
    <n v="43650"/>
    <n v="0"/>
    <x v="1"/>
    <x v="1"/>
  </r>
  <r>
    <d v="2023-06-19T00:00:00"/>
    <x v="3"/>
    <n v="43650"/>
    <m/>
    <x v="1"/>
    <x v="0"/>
  </r>
  <r>
    <d v="2023-06-20T00:00:00"/>
    <x v="3"/>
    <n v="43650"/>
    <n v="0"/>
    <x v="1"/>
    <x v="0"/>
  </r>
  <r>
    <d v="2023-06-21T00:00:00"/>
    <x v="3"/>
    <n v="43650"/>
    <n v="0"/>
    <x v="1"/>
    <x v="1"/>
  </r>
  <r>
    <d v="2023-06-22T00:00:00"/>
    <x v="3"/>
    <n v="43650"/>
    <n v="0"/>
    <x v="1"/>
    <x v="1"/>
  </r>
  <r>
    <d v="2023-06-23T00:00:00"/>
    <x v="3"/>
    <n v="44150"/>
    <n v="500"/>
    <x v="1"/>
    <x v="0"/>
  </r>
  <r>
    <d v="2023-06-26T00:00:00"/>
    <x v="3"/>
    <n v="44900"/>
    <m/>
    <x v="1"/>
    <x v="1"/>
  </r>
  <r>
    <d v="2023-06-27T00:00:00"/>
    <x v="3"/>
    <n v="44900"/>
    <n v="0"/>
    <x v="1"/>
    <x v="1"/>
  </r>
  <r>
    <d v="2023-06-28T00:00:00"/>
    <x v="3"/>
    <n v="44900"/>
    <n v="0"/>
    <x v="1"/>
    <x v="1"/>
  </r>
  <r>
    <d v="2023-06-29T00:00:00"/>
    <x v="3"/>
    <n v="44900"/>
    <n v="0"/>
    <x v="1"/>
    <x v="1"/>
  </r>
  <r>
    <d v="2023-06-30T00:00:00"/>
    <x v="3"/>
    <n v="44900"/>
    <n v="0"/>
    <x v="1"/>
    <x v="1"/>
  </r>
  <r>
    <d v="2023-07-01T00:00:00"/>
    <x v="3"/>
    <n v="44900"/>
    <n v="0"/>
    <x v="1"/>
    <x v="1"/>
  </r>
  <r>
    <d v="2023-07-02T00:00:00"/>
    <x v="3"/>
    <n v="44900"/>
    <n v="0"/>
    <x v="1"/>
    <x v="1"/>
  </r>
  <r>
    <d v="2023-07-03T00:00:00"/>
    <x v="3"/>
    <n v="47400"/>
    <n v="2500"/>
    <x v="1"/>
    <x v="1"/>
  </r>
  <r>
    <d v="2023-07-04T00:00:00"/>
    <x v="3"/>
    <n v="47400"/>
    <n v="0"/>
    <x v="1"/>
    <x v="1"/>
  </r>
  <r>
    <d v="2023-07-05T00:00:00"/>
    <x v="3"/>
    <n v="47650"/>
    <n v="250"/>
    <x v="1"/>
    <x v="0"/>
  </r>
  <r>
    <d v="2023-07-06T00:00:00"/>
    <x v="3"/>
    <n v="47650"/>
    <n v="0"/>
    <x v="1"/>
    <x v="1"/>
  </r>
  <r>
    <d v="2023-07-07T00:00:00"/>
    <x v="3"/>
    <n v="49500"/>
    <n v="1850"/>
    <x v="1"/>
    <x v="1"/>
  </r>
  <r>
    <d v="2023-07-08T00:00:00"/>
    <x v="3"/>
    <n v="49500"/>
    <n v="0"/>
    <x v="1"/>
    <x v="1"/>
  </r>
  <r>
    <d v="2023-07-09T00:00:00"/>
    <x v="3"/>
    <n v="49500"/>
    <n v="0"/>
    <x v="1"/>
    <x v="1"/>
  </r>
  <r>
    <d v="2023-07-10T00:00:00"/>
    <x v="3"/>
    <n v="49500"/>
    <n v="0"/>
    <x v="1"/>
    <x v="0"/>
  </r>
  <r>
    <d v="2023-07-11T00:00:00"/>
    <x v="3"/>
    <n v="49250"/>
    <n v="-250"/>
    <x v="1"/>
    <x v="0"/>
  </r>
  <r>
    <d v="2023-07-12T00:00:00"/>
    <x v="3"/>
    <n v="48500"/>
    <n v="-750"/>
    <x v="1"/>
    <x v="1"/>
  </r>
  <r>
    <d v="2023-07-13T00:00:00"/>
    <x v="3"/>
    <n v="47900"/>
    <n v="-600"/>
    <x v="1"/>
    <x v="1"/>
  </r>
  <r>
    <d v="2023-07-14T00:00:00"/>
    <x v="3"/>
    <n v="47650"/>
    <n v="-250"/>
    <x v="1"/>
    <x v="1"/>
  </r>
  <r>
    <d v="2023-07-17T00:00:00"/>
    <x v="3"/>
    <n v="46000"/>
    <m/>
    <x v="1"/>
    <x v="1"/>
  </r>
  <r>
    <d v="2023-07-18T00:00:00"/>
    <x v="3"/>
    <n v="45500"/>
    <n v="-500"/>
    <x v="1"/>
    <x v="1"/>
  </r>
  <r>
    <d v="2023-07-19T00:00:00"/>
    <x v="3"/>
    <n v="45500"/>
    <n v="0"/>
    <x v="1"/>
    <x v="1"/>
  </r>
  <r>
    <d v="2023-07-20T00:00:00"/>
    <x v="3"/>
    <n v="43250"/>
    <n v="-2250"/>
    <x v="1"/>
    <x v="1"/>
  </r>
  <r>
    <d v="2023-07-21T00:00:00"/>
    <x v="3"/>
    <n v="43250"/>
    <n v="0"/>
    <x v="1"/>
    <x v="1"/>
  </r>
  <r>
    <d v="2023-07-22T00:00:00"/>
    <x v="3"/>
    <n v="43250"/>
    <n v="0"/>
    <x v="1"/>
    <x v="1"/>
  </r>
  <r>
    <d v="2023-07-23T00:00:00"/>
    <x v="3"/>
    <n v="43250"/>
    <n v="0"/>
    <x v="1"/>
    <x v="1"/>
  </r>
  <r>
    <d v="2023-07-24T00:00:00"/>
    <x v="3"/>
    <n v="41500"/>
    <n v="-1750"/>
    <x v="1"/>
    <x v="1"/>
  </r>
  <r>
    <d v="2023-07-25T00:00:00"/>
    <x v="3"/>
    <n v="40900"/>
    <n v="-600"/>
    <x v="1"/>
    <x v="1"/>
  </r>
  <r>
    <d v="2023-07-26T00:00:00"/>
    <x v="3"/>
    <n v="41400"/>
    <n v="500"/>
    <x v="1"/>
    <x v="1"/>
  </r>
  <r>
    <d v="2023-07-27T00:00:00"/>
    <x v="3"/>
    <n v="41650"/>
    <n v="250"/>
    <x v="1"/>
    <x v="1"/>
  </r>
  <r>
    <d v="2023-07-28T00:00:00"/>
    <x v="3"/>
    <n v="41400"/>
    <n v="-250"/>
    <x v="1"/>
    <x v="1"/>
  </r>
  <r>
    <d v="2023-07-29T00:00:00"/>
    <x v="3"/>
    <n v="41400"/>
    <n v="0"/>
    <x v="1"/>
    <x v="1"/>
  </r>
  <r>
    <d v="2023-07-30T00:00:00"/>
    <x v="3"/>
    <n v="41400"/>
    <n v="0"/>
    <x v="1"/>
    <x v="1"/>
  </r>
  <r>
    <d v="2023-07-31T00:00:00"/>
    <x v="3"/>
    <n v="40900"/>
    <n v="-500"/>
    <x v="1"/>
    <x v="1"/>
  </r>
  <r>
    <d v="2023-08-01T00:00:00"/>
    <x v="3"/>
    <n v="40650"/>
    <n v="-250"/>
    <x v="1"/>
    <x v="1"/>
  </r>
  <r>
    <d v="2023-08-02T00:00:00"/>
    <x v="3"/>
    <n v="41250"/>
    <n v="600"/>
    <x v="1"/>
    <x v="1"/>
  </r>
  <r>
    <d v="2023-08-03T00:00:00"/>
    <x v="3"/>
    <n v="40750"/>
    <n v="-500"/>
    <x v="1"/>
    <x v="1"/>
  </r>
  <r>
    <d v="2023-08-04T00:00:00"/>
    <x v="3"/>
    <n v="40750"/>
    <n v="0"/>
    <x v="1"/>
    <x v="1"/>
  </r>
  <r>
    <d v="2023-08-07T00:00:00"/>
    <x v="3"/>
    <n v="40000"/>
    <m/>
    <x v="1"/>
    <x v="1"/>
  </r>
  <r>
    <d v="2023-08-08T00:00:00"/>
    <x v="3"/>
    <n v="36250"/>
    <n v="-3750"/>
    <x v="1"/>
    <x v="1"/>
  </r>
  <r>
    <d v="2023-08-09T00:00:00"/>
    <x v="3"/>
    <n v="36250"/>
    <n v="0"/>
    <x v="1"/>
    <x v="1"/>
  </r>
  <r>
    <d v="2023-08-10T00:00:00"/>
    <x v="3"/>
    <n v="36250"/>
    <n v="0"/>
    <x v="1"/>
    <x v="1"/>
  </r>
  <r>
    <d v="2023-08-11T00:00:00"/>
    <x v="3"/>
    <n v="35750"/>
    <n v="-500"/>
    <x v="1"/>
    <x v="1"/>
  </r>
  <r>
    <d v="2023-08-12T00:00:00"/>
    <x v="3"/>
    <n v="35750"/>
    <n v="0"/>
    <x v="1"/>
    <x v="1"/>
  </r>
  <r>
    <d v="2023-08-13T00:00:00"/>
    <x v="3"/>
    <n v="35750"/>
    <n v="0"/>
    <x v="1"/>
    <x v="1"/>
  </r>
  <r>
    <d v="2023-08-14T00:00:00"/>
    <x v="3"/>
    <n v="35900"/>
    <n v="150"/>
    <x v="1"/>
    <x v="1"/>
  </r>
  <r>
    <d v="2023-08-15T00:00:00"/>
    <x v="3"/>
    <n v="34650"/>
    <n v="-1250"/>
    <x v="1"/>
    <x v="1"/>
  </r>
  <r>
    <d v="2023-08-16T00:00:00"/>
    <x v="3"/>
    <n v="34650"/>
    <n v="0"/>
    <x v="1"/>
    <x v="1"/>
  </r>
  <r>
    <d v="2023-08-17T00:00:00"/>
    <x v="3"/>
    <n v="34650"/>
    <n v="0"/>
    <x v="1"/>
    <x v="1"/>
  </r>
  <r>
    <d v="2023-08-18T00:00:00"/>
    <x v="3"/>
    <n v="35150"/>
    <n v="500"/>
    <x v="1"/>
    <x v="1"/>
  </r>
  <r>
    <d v="2023-08-21T00:00:00"/>
    <x v="3"/>
    <n v="35150"/>
    <m/>
    <x v="1"/>
    <x v="1"/>
  </r>
  <r>
    <d v="2023-08-22T00:00:00"/>
    <x v="3"/>
    <n v="34650"/>
    <n v="-500"/>
    <x v="1"/>
    <x v="1"/>
  </r>
  <r>
    <d v="2023-08-23T00:00:00"/>
    <x v="3"/>
    <n v="34000"/>
    <n v="-650"/>
    <x v="1"/>
    <x v="1"/>
  </r>
  <r>
    <d v="2023-08-24T00:00:00"/>
    <x v="3"/>
    <n v="33150"/>
    <n v="-850"/>
    <x v="1"/>
    <x v="1"/>
  </r>
  <r>
    <d v="2023-08-25T00:00:00"/>
    <x v="3"/>
    <n v="33500"/>
    <n v="350"/>
    <x v="1"/>
    <x v="1"/>
  </r>
  <r>
    <d v="2023-08-26T00:00:00"/>
    <x v="3"/>
    <n v="33500"/>
    <n v="0"/>
    <x v="1"/>
    <x v="1"/>
  </r>
  <r>
    <d v="2023-08-27T00:00:00"/>
    <x v="3"/>
    <n v="33500"/>
    <n v="0"/>
    <x v="1"/>
    <x v="1"/>
  </r>
  <r>
    <d v="2023-08-28T00:00:00"/>
    <x v="3"/>
    <n v="32500"/>
    <n v="-1000"/>
    <x v="1"/>
    <x v="1"/>
  </r>
  <r>
    <d v="2023-08-29T00:00:00"/>
    <x v="3"/>
    <n v="31250"/>
    <n v="-1250"/>
    <x v="1"/>
    <x v="1"/>
  </r>
  <r>
    <d v="2023-08-30T00:00:00"/>
    <x v="3"/>
    <n v="31250"/>
    <n v="0"/>
    <x v="1"/>
    <x v="1"/>
  </r>
  <r>
    <d v="2023-08-31T00:00:00"/>
    <x v="3"/>
    <n v="31000"/>
    <n v="-250"/>
    <x v="1"/>
    <x v="1"/>
  </r>
  <r>
    <d v="2023-09-01T00:00:00"/>
    <x v="3"/>
    <n v="30500"/>
    <n v="-500"/>
    <x v="1"/>
    <x v="1"/>
  </r>
  <r>
    <d v="2023-09-02T00:00:00"/>
    <x v="3"/>
    <n v="30500"/>
    <n v="0"/>
    <x v="1"/>
    <x v="1"/>
  </r>
  <r>
    <d v="2023-09-03T00:00:00"/>
    <x v="3"/>
    <n v="30500"/>
    <n v="0"/>
    <x v="1"/>
    <x v="1"/>
  </r>
  <r>
    <d v="2023-09-04T00:00:00"/>
    <x v="3"/>
    <n v="30250"/>
    <n v="-250"/>
    <x v="1"/>
    <x v="1"/>
  </r>
  <r>
    <d v="2023-09-05T00:00:00"/>
    <x v="3"/>
    <n v="30250"/>
    <n v="0"/>
    <x v="1"/>
    <x v="1"/>
  </r>
  <r>
    <d v="2023-09-06T00:00:00"/>
    <x v="3"/>
    <n v="30750"/>
    <n v="500"/>
    <x v="1"/>
    <x v="1"/>
  </r>
  <r>
    <d v="2023-09-07T00:00:00"/>
    <x v="3"/>
    <n v="30250"/>
    <n v="-500"/>
    <x v="1"/>
    <x v="1"/>
  </r>
  <r>
    <d v="2023-09-08T00:00:00"/>
    <x v="3"/>
    <n v="30750"/>
    <n v="500"/>
    <x v="1"/>
    <x v="1"/>
  </r>
  <r>
    <d v="2023-09-09T00:00:00"/>
    <x v="3"/>
    <n v="30750"/>
    <n v="0"/>
    <x v="1"/>
    <x v="1"/>
  </r>
  <r>
    <d v="2023-09-10T00:00:00"/>
    <x v="3"/>
    <n v="30750"/>
    <n v="0"/>
    <x v="1"/>
    <x v="1"/>
  </r>
  <r>
    <d v="2023-09-11T00:00:00"/>
    <x v="3"/>
    <n v="30500"/>
    <n v="-250"/>
    <x v="1"/>
    <x v="1"/>
  </r>
  <r>
    <d v="2023-09-12T00:00:00"/>
    <x v="3"/>
    <n v="30500"/>
    <n v="0"/>
    <x v="1"/>
    <x v="1"/>
  </r>
  <r>
    <d v="2023-09-13T00:00:00"/>
    <x v="3"/>
    <n v="30500"/>
    <n v="0"/>
    <x v="1"/>
    <x v="0"/>
  </r>
  <r>
    <d v="2023-09-14T00:00:00"/>
    <x v="3"/>
    <n v="30000"/>
    <n v="-500"/>
    <x v="1"/>
    <x v="1"/>
  </r>
  <r>
    <d v="2023-09-15T00:00:00"/>
    <x v="3"/>
    <n v="30000"/>
    <n v="0"/>
    <x v="1"/>
    <x v="1"/>
  </r>
  <r>
    <d v="2023-09-18T00:00:00"/>
    <x v="3"/>
    <n v="30750"/>
    <m/>
    <x v="1"/>
    <x v="1"/>
  </r>
  <r>
    <d v="2023-09-19T00:00:00"/>
    <x v="3"/>
    <n v="30750"/>
    <n v="0"/>
    <x v="1"/>
    <x v="1"/>
  </r>
  <r>
    <d v="2023-09-20T00:00:00"/>
    <x v="3"/>
    <n v="30750"/>
    <n v="0"/>
    <x v="1"/>
    <x v="1"/>
  </r>
  <r>
    <d v="2023-09-21T00:00:00"/>
    <x v="3"/>
    <n v="31000"/>
    <n v="250"/>
    <x v="1"/>
    <x v="1"/>
  </r>
  <r>
    <d v="2023-09-22T00:00:00"/>
    <x v="3"/>
    <n v="31000"/>
    <n v="0"/>
    <x v="1"/>
    <x v="1"/>
  </r>
  <r>
    <d v="2023-09-25T00:00:00"/>
    <x v="3"/>
    <n v="30250"/>
    <m/>
    <x v="1"/>
    <x v="1"/>
  </r>
  <r>
    <d v="2023-09-26T00:00:00"/>
    <x v="3"/>
    <n v="30250"/>
    <n v="0"/>
    <x v="1"/>
    <x v="1"/>
  </r>
  <r>
    <d v="2023-09-27T00:00:00"/>
    <x v="3"/>
    <n v="30250"/>
    <n v="0"/>
    <x v="1"/>
    <x v="1"/>
  </r>
  <r>
    <d v="2023-09-28T00:00:00"/>
    <x v="3"/>
    <n v="30250"/>
    <n v="0"/>
    <x v="1"/>
    <x v="1"/>
  </r>
  <r>
    <d v="2023-09-29T00:00:00"/>
    <x v="3"/>
    <n v="30250"/>
    <n v="0"/>
    <x v="1"/>
    <x v="1"/>
  </r>
  <r>
    <d v="2023-09-30T00:00:00"/>
    <x v="3"/>
    <n v="30250"/>
    <n v="0"/>
    <x v="1"/>
    <x v="1"/>
  </r>
  <r>
    <d v="2023-10-01T00:00:00"/>
    <x v="3"/>
    <n v="30250"/>
    <n v="0"/>
    <x v="0"/>
    <x v="1"/>
  </r>
  <r>
    <d v="2023-10-02T00:00:00"/>
    <x v="3"/>
    <n v="30250"/>
    <n v="0"/>
    <x v="0"/>
    <x v="1"/>
  </r>
  <r>
    <d v="2023-10-03T00:00:00"/>
    <x v="3"/>
    <n v="30250"/>
    <n v="0"/>
    <x v="0"/>
    <x v="1"/>
  </r>
  <r>
    <d v="2023-10-04T00:00:00"/>
    <x v="3"/>
    <n v="30400"/>
    <n v="150"/>
    <x v="0"/>
    <x v="1"/>
  </r>
  <r>
    <d v="2023-10-05T00:00:00"/>
    <x v="3"/>
    <n v="30400"/>
    <n v="0"/>
    <x v="0"/>
    <x v="1"/>
  </r>
  <r>
    <d v="2023-10-06T00:00:00"/>
    <x v="3"/>
    <n v="30400"/>
    <n v="0"/>
    <x v="0"/>
    <x v="1"/>
  </r>
  <r>
    <d v="2023-10-07T00:00:00"/>
    <x v="3"/>
    <n v="30400"/>
    <n v="0"/>
    <x v="0"/>
    <x v="1"/>
  </r>
  <r>
    <d v="2023-10-08T00:00:00"/>
    <x v="3"/>
    <n v="30400"/>
    <n v="0"/>
    <x v="0"/>
    <x v="1"/>
  </r>
  <r>
    <d v="2023-10-09T00:00:00"/>
    <x v="3"/>
    <n v="29750"/>
    <n v="-650"/>
    <x v="0"/>
    <x v="1"/>
  </r>
  <r>
    <d v="2023-10-10T00:00:00"/>
    <x v="3"/>
    <n v="29750"/>
    <n v="0"/>
    <x v="0"/>
    <x v="1"/>
  </r>
  <r>
    <d v="2023-10-11T00:00:00"/>
    <x v="3"/>
    <n v="29750"/>
    <n v="0"/>
    <x v="0"/>
    <x v="1"/>
  </r>
  <r>
    <d v="2023-10-12T00:00:00"/>
    <x v="3"/>
    <n v="29750"/>
    <n v="0"/>
    <x v="0"/>
    <x v="1"/>
  </r>
  <r>
    <d v="2023-10-13T00:00:00"/>
    <x v="3"/>
    <n v="29750"/>
    <n v="0"/>
    <x v="0"/>
    <x v="1"/>
  </r>
  <r>
    <d v="2023-10-14T00:00:00"/>
    <x v="3"/>
    <n v="29750"/>
    <n v="0"/>
    <x v="0"/>
    <x v="1"/>
  </r>
  <r>
    <d v="2023-10-15T00:00:00"/>
    <x v="3"/>
    <n v="29750"/>
    <n v="0"/>
    <x v="0"/>
    <x v="1"/>
  </r>
  <r>
    <d v="2023-10-16T00:00:00"/>
    <x v="3"/>
    <n v="30150"/>
    <n v="400"/>
    <x v="0"/>
    <x v="1"/>
  </r>
  <r>
    <d v="2023-10-17T00:00:00"/>
    <x v="3"/>
    <n v="30150"/>
    <n v="0"/>
    <x v="0"/>
    <x v="1"/>
  </r>
  <r>
    <d v="2023-10-18T00:00:00"/>
    <x v="3"/>
    <n v="30150"/>
    <n v="0"/>
    <x v="0"/>
    <x v="1"/>
  </r>
  <r>
    <d v="2023-10-19T00:00:00"/>
    <x v="3"/>
    <n v="30150"/>
    <n v="0"/>
    <x v="0"/>
    <x v="1"/>
  </r>
  <r>
    <d v="2023-10-20T00:00:00"/>
    <x v="3"/>
    <n v="30000"/>
    <n v="-150"/>
    <x v="0"/>
    <x v="1"/>
  </r>
  <r>
    <d v="2023-10-21T00:00:00"/>
    <x v="3"/>
    <n v="30000"/>
    <n v="0"/>
    <x v="0"/>
    <x v="1"/>
  </r>
  <r>
    <d v="2023-10-22T00:00:00"/>
    <x v="3"/>
    <n v="30000"/>
    <n v="0"/>
    <x v="0"/>
    <x v="1"/>
  </r>
  <r>
    <d v="2023-10-23T00:00:00"/>
    <x v="3"/>
    <n v="29400"/>
    <n v="-600"/>
    <x v="0"/>
    <x v="1"/>
  </r>
  <r>
    <d v="2023-10-24T00:00:00"/>
    <x v="3"/>
    <n v="29400"/>
    <n v="0"/>
    <x v="0"/>
    <x v="1"/>
  </r>
  <r>
    <d v="2023-10-25T00:00:00"/>
    <x v="3"/>
    <n v="29400"/>
    <n v="0"/>
    <x v="0"/>
    <x v="1"/>
  </r>
  <r>
    <d v="2023-10-26T00:00:00"/>
    <x v="3"/>
    <n v="29400"/>
    <n v="0"/>
    <x v="0"/>
    <x v="1"/>
  </r>
  <r>
    <d v="2023-10-27T00:00:00"/>
    <x v="3"/>
    <n v="29750"/>
    <n v="350"/>
    <x v="0"/>
    <x v="1"/>
  </r>
  <r>
    <d v="2023-10-28T00:00:00"/>
    <x v="3"/>
    <n v="29750"/>
    <n v="0"/>
    <x v="0"/>
    <x v="1"/>
  </r>
  <r>
    <d v="2023-10-29T00:00:00"/>
    <x v="3"/>
    <n v="29750"/>
    <n v="0"/>
    <x v="0"/>
    <x v="1"/>
  </r>
  <r>
    <d v="2023-10-30T00:00:00"/>
    <x v="3"/>
    <n v="29750"/>
    <n v="0"/>
    <x v="0"/>
    <x v="1"/>
  </r>
  <r>
    <d v="2023-10-31T00:00:00"/>
    <x v="3"/>
    <n v="30000"/>
    <n v="250"/>
    <x v="0"/>
    <x v="1"/>
  </r>
  <r>
    <d v="2023-11-01T00:00:00"/>
    <x v="3"/>
    <n v="31500"/>
    <n v="1500"/>
    <x v="0"/>
    <x v="1"/>
  </r>
  <r>
    <d v="2023-11-02T00:00:00"/>
    <x v="3"/>
    <n v="32000"/>
    <n v="500"/>
    <x v="0"/>
    <x v="1"/>
  </r>
  <r>
    <d v="2023-11-03T00:00:00"/>
    <x v="3"/>
    <n v="31750"/>
    <n v="-250"/>
    <x v="0"/>
    <x v="1"/>
  </r>
  <r>
    <d v="2023-11-06T00:00:00"/>
    <x v="3"/>
    <n v="32500"/>
    <m/>
    <x v="0"/>
    <x v="1"/>
  </r>
  <r>
    <d v="2023-11-07T00:00:00"/>
    <x v="3"/>
    <n v="33000"/>
    <n v="500"/>
    <x v="0"/>
    <x v="0"/>
  </r>
  <r>
    <d v="2023-11-08T00:00:00"/>
    <x v="3"/>
    <n v="33400"/>
    <n v="400"/>
    <x v="0"/>
    <x v="1"/>
  </r>
  <r>
    <d v="2023-11-09T00:00:00"/>
    <x v="3"/>
    <n v="33400"/>
    <n v="0"/>
    <x v="0"/>
    <x v="1"/>
  </r>
  <r>
    <d v="2023-11-10T00:00:00"/>
    <x v="3"/>
    <n v="32900"/>
    <n v="-500"/>
    <x v="0"/>
    <x v="1"/>
  </r>
  <r>
    <d v="2023-11-11T00:00:00"/>
    <x v="3"/>
    <n v="32900"/>
    <n v="0"/>
    <x v="0"/>
    <x v="1"/>
  </r>
  <r>
    <d v="2023-11-12T00:00:00"/>
    <x v="3"/>
    <n v="32900"/>
    <n v="0"/>
    <x v="0"/>
    <x v="1"/>
  </r>
  <r>
    <d v="2023-11-13T00:00:00"/>
    <x v="3"/>
    <n v="34650"/>
    <n v="1750"/>
    <x v="0"/>
    <x v="1"/>
  </r>
  <r>
    <d v="2023-11-14T00:00:00"/>
    <x v="3"/>
    <n v="34750"/>
    <n v="100"/>
    <x v="0"/>
    <x v="1"/>
  </r>
  <r>
    <d v="2023-11-15T00:00:00"/>
    <x v="3"/>
    <n v="34750"/>
    <n v="0"/>
    <x v="0"/>
    <x v="1"/>
  </r>
  <r>
    <d v="2023-11-16T00:00:00"/>
    <x v="3"/>
    <n v="34750"/>
    <n v="0"/>
    <x v="0"/>
    <x v="1"/>
  </r>
  <r>
    <d v="2023-11-17T00:00:00"/>
    <x v="3"/>
    <n v="35400"/>
    <n v="650"/>
    <x v="0"/>
    <x v="1"/>
  </r>
  <r>
    <d v="2023-11-18T00:00:00"/>
    <x v="3"/>
    <n v="35400"/>
    <n v="0"/>
    <x v="0"/>
    <x v="1"/>
  </r>
  <r>
    <d v="2023-11-19T00:00:00"/>
    <x v="3"/>
    <n v="35400"/>
    <n v="0"/>
    <x v="0"/>
    <x v="1"/>
  </r>
  <r>
    <d v="2023-11-20T00:00:00"/>
    <x v="3"/>
    <n v="34000"/>
    <n v="-1400"/>
    <x v="0"/>
    <x v="1"/>
  </r>
  <r>
    <d v="2023-11-21T00:00:00"/>
    <x v="3"/>
    <n v="34000"/>
    <n v="0"/>
    <x v="0"/>
    <x v="1"/>
  </r>
  <r>
    <d v="2023-11-22T00:00:00"/>
    <x v="3"/>
    <n v="34000"/>
    <n v="0"/>
    <x v="0"/>
    <x v="1"/>
  </r>
  <r>
    <d v="2023-11-23T00:00:00"/>
    <x v="3"/>
    <n v="34000"/>
    <n v="0"/>
    <x v="0"/>
    <x v="0"/>
  </r>
  <r>
    <d v="2023-11-24T00:00:00"/>
    <x v="3"/>
    <n v="34000"/>
    <n v="0"/>
    <x v="0"/>
    <x v="0"/>
  </r>
  <r>
    <d v="2023-11-27T00:00:00"/>
    <x v="3"/>
    <n v="33750"/>
    <m/>
    <x v="0"/>
    <x v="0"/>
  </r>
  <r>
    <d v="2023-11-28T00:00:00"/>
    <x v="3"/>
    <n v="33750"/>
    <n v="0"/>
    <x v="0"/>
    <x v="1"/>
  </r>
  <r>
    <d v="2023-11-29T00:00:00"/>
    <x v="3"/>
    <n v="32500"/>
    <n v="-1250"/>
    <x v="0"/>
    <x v="1"/>
  </r>
  <r>
    <d v="2023-11-30T00:00:00"/>
    <x v="3"/>
    <n v="33000"/>
    <n v="500"/>
    <x v="0"/>
    <x v="1"/>
  </r>
  <r>
    <d v="2023-12-01T00:00:00"/>
    <x v="3"/>
    <n v="33000"/>
    <n v="0"/>
    <x v="0"/>
    <x v="1"/>
  </r>
  <r>
    <d v="2023-12-02T00:00:00"/>
    <x v="3"/>
    <n v="33000"/>
    <n v="0"/>
    <x v="0"/>
    <x v="1"/>
  </r>
  <r>
    <d v="2023-12-03T00:00:00"/>
    <x v="3"/>
    <n v="33000"/>
    <n v="0"/>
    <x v="0"/>
    <x v="0"/>
  </r>
  <r>
    <d v="2023-12-04T00:00:00"/>
    <x v="3"/>
    <n v="35400"/>
    <n v="2400"/>
    <x v="0"/>
    <x v="1"/>
  </r>
  <r>
    <d v="2023-12-05T00:00:00"/>
    <x v="3"/>
    <n v="35400"/>
    <n v="0"/>
    <x v="0"/>
    <x v="1"/>
  </r>
  <r>
    <d v="2023-12-06T00:00:00"/>
    <x v="3"/>
    <n v="35750"/>
    <n v="350"/>
    <x v="0"/>
    <x v="1"/>
  </r>
  <r>
    <d v="2023-12-07T00:00:00"/>
    <x v="3"/>
    <n v="35750"/>
    <n v="0"/>
    <x v="0"/>
    <x v="1"/>
  </r>
  <r>
    <d v="2023-12-08T00:00:00"/>
    <x v="3"/>
    <n v="35900"/>
    <n v="150"/>
    <x v="0"/>
    <x v="1"/>
  </r>
  <r>
    <d v="2023-12-09T00:00:00"/>
    <x v="3"/>
    <n v="35900"/>
    <n v="0"/>
    <x v="0"/>
    <x v="1"/>
  </r>
  <r>
    <d v="2023-12-10T00:00:00"/>
    <x v="3"/>
    <n v="35900"/>
    <n v="0"/>
    <x v="0"/>
    <x v="1"/>
  </r>
  <r>
    <d v="2023-12-11T00:00:00"/>
    <x v="3"/>
    <n v="36150"/>
    <n v="250"/>
    <x v="0"/>
    <x v="1"/>
  </r>
  <r>
    <d v="2023-12-12T00:00:00"/>
    <x v="3"/>
    <n v="36150"/>
    <n v="0"/>
    <x v="0"/>
    <x v="1"/>
  </r>
  <r>
    <d v="2023-12-13T00:00:00"/>
    <x v="3"/>
    <n v="36150"/>
    <n v="0"/>
    <x v="0"/>
    <x v="1"/>
  </r>
  <r>
    <d v="2023-12-14T00:00:00"/>
    <x v="3"/>
    <n v="36250"/>
    <n v="100"/>
    <x v="0"/>
    <x v="1"/>
  </r>
  <r>
    <d v="2023-12-15T00:00:00"/>
    <x v="3"/>
    <n v="36900"/>
    <n v="650"/>
    <x v="0"/>
    <x v="1"/>
  </r>
  <r>
    <d v="2023-12-16T00:00:00"/>
    <x v="3"/>
    <n v="36900"/>
    <n v="0"/>
    <x v="0"/>
    <x v="1"/>
  </r>
  <r>
    <d v="2023-12-17T00:00:00"/>
    <x v="3"/>
    <n v="36900"/>
    <n v="0"/>
    <x v="0"/>
    <x v="1"/>
  </r>
  <r>
    <d v="2023-12-18T00:00:00"/>
    <x v="3"/>
    <n v="38900"/>
    <n v="2000"/>
    <x v="0"/>
    <x v="1"/>
  </r>
  <r>
    <d v="2023-12-19T00:00:00"/>
    <x v="3"/>
    <n v="39400"/>
    <n v="500"/>
    <x v="0"/>
    <x v="1"/>
  </r>
  <r>
    <d v="2023-12-20T00:00:00"/>
    <x v="3"/>
    <n v="39900"/>
    <n v="500"/>
    <x v="0"/>
    <x v="1"/>
  </r>
  <r>
    <d v="2023-12-21T00:00:00"/>
    <x v="3"/>
    <n v="40650"/>
    <n v="750"/>
    <x v="0"/>
    <x v="1"/>
  </r>
  <r>
    <d v="2023-12-22T00:00:00"/>
    <x v="3"/>
    <n v="42150"/>
    <n v="1500"/>
    <x v="0"/>
    <x v="1"/>
  </r>
  <r>
    <d v="2023-12-23T00:00:00"/>
    <x v="3"/>
    <n v="42150"/>
    <n v="0"/>
    <x v="0"/>
    <x v="0"/>
  </r>
  <r>
    <d v="2023-12-24T00:00:00"/>
    <x v="3"/>
    <n v="42150"/>
    <n v="0"/>
    <x v="0"/>
    <x v="1"/>
  </r>
  <r>
    <d v="2023-12-27T00:00:00"/>
    <x v="3"/>
    <n v="45900"/>
    <m/>
    <x v="0"/>
    <x v="1"/>
  </r>
  <r>
    <d v="2023-12-28T00:00:00"/>
    <x v="3"/>
    <n v="45900"/>
    <n v="0"/>
    <x v="0"/>
    <x v="1"/>
  </r>
  <r>
    <d v="2023-12-29T00:00:00"/>
    <x v="3"/>
    <n v="46150"/>
    <n v="250"/>
    <x v="0"/>
    <x v="1"/>
  </r>
  <r>
    <d v="2023-12-30T00:00:00"/>
    <x v="3"/>
    <n v="46150"/>
    <n v="0"/>
    <x v="0"/>
    <x v="1"/>
  </r>
  <r>
    <d v="2023-12-31T00:00:00"/>
    <x v="3"/>
    <n v="46150"/>
    <n v="0"/>
    <x v="0"/>
    <x v="1"/>
  </r>
  <r>
    <d v="2024-01-01T00:00:00"/>
    <x v="4"/>
    <n v="46150"/>
    <n v="0"/>
    <x v="0"/>
    <x v="1"/>
  </r>
  <r>
    <d v="2024-01-02T00:00:00"/>
    <x v="4"/>
    <n v="46650"/>
    <n v="500"/>
    <x v="0"/>
    <x v="1"/>
  </r>
  <r>
    <d v="2024-01-03T00:00:00"/>
    <x v="4"/>
    <n v="46400"/>
    <n v="-250"/>
    <x v="0"/>
    <x v="1"/>
  </r>
  <r>
    <d v="2024-01-04T00:00:00"/>
    <x v="4"/>
    <n v="46900"/>
    <n v="500"/>
    <x v="0"/>
    <x v="1"/>
  </r>
  <r>
    <d v="2024-01-05T00:00:00"/>
    <x v="4"/>
    <n v="46650"/>
    <n v="-250"/>
    <x v="0"/>
    <x v="1"/>
  </r>
  <r>
    <d v="2024-01-06T00:00:00"/>
    <x v="4"/>
    <n v="46650"/>
    <n v="0"/>
    <x v="0"/>
    <x v="0"/>
  </r>
  <r>
    <d v="2024-01-07T00:00:00"/>
    <x v="4"/>
    <n v="46650"/>
    <n v="0"/>
    <x v="0"/>
    <x v="0"/>
  </r>
  <r>
    <d v="2024-01-08T00:00:00"/>
    <x v="4"/>
    <n v="47250"/>
    <n v="600"/>
    <x v="0"/>
    <x v="1"/>
  </r>
  <r>
    <d v="2024-01-09T00:00:00"/>
    <x v="4"/>
    <n v="48150"/>
    <n v="900"/>
    <x v="0"/>
    <x v="1"/>
  </r>
  <r>
    <d v="2024-01-10T00:00:00"/>
    <x v="4"/>
    <n v="48150"/>
    <n v="0"/>
    <x v="0"/>
    <x v="1"/>
  </r>
  <r>
    <d v="2024-01-11T00:00:00"/>
    <x v="4"/>
    <n v="47900"/>
    <n v="-250"/>
    <x v="0"/>
    <x v="1"/>
  </r>
  <r>
    <d v="2024-01-12T00:00:00"/>
    <x v="4"/>
    <n v="48500"/>
    <n v="600"/>
    <x v="0"/>
    <x v="0"/>
  </r>
  <r>
    <d v="2024-01-13T00:00:00"/>
    <x v="4"/>
    <n v="48500"/>
    <n v="0"/>
    <x v="0"/>
    <x v="0"/>
  </r>
  <r>
    <d v="2024-01-14T00:00:00"/>
    <x v="4"/>
    <n v="48500"/>
    <n v="0"/>
    <x v="0"/>
    <x v="0"/>
  </r>
  <r>
    <d v="2024-01-15T00:00:00"/>
    <x v="4"/>
    <n v="49750"/>
    <n v="1250"/>
    <x v="0"/>
    <x v="0"/>
  </r>
  <r>
    <d v="2024-01-16T00:00:00"/>
    <x v="4"/>
    <n v="49750"/>
    <n v="0"/>
    <x v="0"/>
    <x v="1"/>
  </r>
  <r>
    <d v="2024-01-17T00:00:00"/>
    <x v="4"/>
    <n v="49150"/>
    <n v="-600"/>
    <x v="0"/>
    <x v="1"/>
  </r>
  <r>
    <d v="2024-01-18T00:00:00"/>
    <x v="4"/>
    <n v="49150"/>
    <n v="0"/>
    <x v="0"/>
    <x v="0"/>
  </r>
  <r>
    <d v="2024-01-19T00:00:00"/>
    <x v="4"/>
    <n v="49150"/>
    <n v="0"/>
    <x v="0"/>
    <x v="0"/>
  </r>
  <r>
    <d v="2024-01-20T00:00:00"/>
    <x v="4"/>
    <n v="49150"/>
    <n v="0"/>
    <x v="0"/>
    <x v="0"/>
  </r>
  <r>
    <d v="2024-01-21T00:00:00"/>
    <x v="4"/>
    <n v="49150"/>
    <n v="0"/>
    <x v="0"/>
    <x v="0"/>
  </r>
  <r>
    <d v="2024-01-22T00:00:00"/>
    <x v="4"/>
    <n v="48400"/>
    <n v="-750"/>
    <x v="0"/>
    <x v="1"/>
  </r>
  <r>
    <d v="2024-01-23T00:00:00"/>
    <x v="4"/>
    <n v="47900"/>
    <n v="-500"/>
    <x v="0"/>
    <x v="1"/>
  </r>
  <r>
    <d v="2024-01-24T00:00:00"/>
    <x v="4"/>
    <n v="47150"/>
    <n v="-750"/>
    <x v="0"/>
    <x v="1"/>
  </r>
  <r>
    <d v="2024-01-25T00:00:00"/>
    <x v="4"/>
    <n v="46900"/>
    <n v="-250"/>
    <x v="0"/>
    <x v="1"/>
  </r>
  <r>
    <d v="2024-01-26T00:00:00"/>
    <x v="4"/>
    <n v="46900"/>
    <n v="0"/>
    <x v="0"/>
    <x v="1"/>
  </r>
  <r>
    <d v="2024-01-27T00:00:00"/>
    <x v="4"/>
    <n v="46900"/>
    <n v="0"/>
    <x v="0"/>
    <x v="1"/>
  </r>
  <r>
    <d v="2024-01-28T00:00:00"/>
    <x v="4"/>
    <n v="46900"/>
    <n v="0"/>
    <x v="0"/>
    <x v="0"/>
  </r>
  <r>
    <d v="2024-01-29T00:00:00"/>
    <x v="4"/>
    <n v="47150"/>
    <n v="250"/>
    <x v="0"/>
    <x v="0"/>
  </r>
  <r>
    <d v="2024-01-30T00:00:00"/>
    <x v="4"/>
    <n v="46400"/>
    <n v="-750"/>
    <x v="0"/>
    <x v="1"/>
  </r>
  <r>
    <d v="2024-01-31T00:00:00"/>
    <x v="4"/>
    <n v="46400"/>
    <n v="0"/>
    <x v="0"/>
    <x v="1"/>
  </r>
  <r>
    <d v="2024-02-01T00:00:00"/>
    <x v="4"/>
    <n v="46500"/>
    <n v="100"/>
    <x v="0"/>
    <x v="0"/>
  </r>
  <r>
    <d v="2024-02-02T00:00:00"/>
    <x v="4"/>
    <n v="46500"/>
    <n v="0"/>
    <x v="0"/>
    <x v="1"/>
  </r>
  <r>
    <d v="2024-02-03T00:00:00"/>
    <x v="4"/>
    <n v="46500"/>
    <n v="0"/>
    <x v="0"/>
    <x v="1"/>
  </r>
  <r>
    <d v="2024-02-04T00:00:00"/>
    <x v="4"/>
    <n v="46500"/>
    <n v="0"/>
    <x v="0"/>
    <x v="1"/>
  </r>
  <r>
    <d v="2024-02-05T00:00:00"/>
    <x v="4"/>
    <n v="46000"/>
    <n v="-500"/>
    <x v="0"/>
    <x v="1"/>
  </r>
  <r>
    <d v="2024-02-06T00:00:00"/>
    <x v="4"/>
    <n v="45900"/>
    <n v="-100"/>
    <x v="0"/>
    <x v="1"/>
  </r>
  <r>
    <d v="2024-02-07T00:00:00"/>
    <x v="4"/>
    <n v="45400"/>
    <n v="-500"/>
    <x v="0"/>
    <x v="1"/>
  </r>
  <r>
    <d v="2024-02-08T00:00:00"/>
    <x v="4"/>
    <n v="45400"/>
    <n v="0"/>
    <x v="0"/>
    <x v="1"/>
  </r>
  <r>
    <d v="2024-02-09T00:00:00"/>
    <x v="4"/>
    <n v="45400"/>
    <n v="0"/>
    <x v="0"/>
    <x v="1"/>
  </r>
  <r>
    <d v="2024-02-10T00:00:00"/>
    <x v="4"/>
    <n v="45400"/>
    <n v="0"/>
    <x v="0"/>
    <x v="1"/>
  </r>
  <r>
    <d v="2024-02-11T00:00:00"/>
    <x v="4"/>
    <n v="45400"/>
    <n v="0"/>
    <x v="0"/>
    <x v="0"/>
  </r>
  <r>
    <d v="2024-02-12T00:00:00"/>
    <x v="4"/>
    <n v="41750"/>
    <n v="-3650"/>
    <x v="0"/>
    <x v="1"/>
  </r>
  <r>
    <d v="2024-02-13T00:00:00"/>
    <x v="4"/>
    <n v="42900"/>
    <n v="1150"/>
    <x v="0"/>
    <x v="1"/>
  </r>
  <r>
    <d v="2024-02-14T00:00:00"/>
    <x v="4"/>
    <n v="42900"/>
    <n v="0"/>
    <x v="0"/>
    <x v="1"/>
  </r>
  <r>
    <d v="2024-02-15T00:00:00"/>
    <x v="4"/>
    <n v="42400"/>
    <n v="-500"/>
    <x v="0"/>
    <x v="1"/>
  </r>
  <r>
    <d v="2024-02-16T00:00:00"/>
    <x v="4"/>
    <n v="42400"/>
    <n v="0"/>
    <x v="0"/>
    <x v="1"/>
  </r>
  <r>
    <d v="2024-02-17T00:00:00"/>
    <x v="4"/>
    <n v="42400"/>
    <n v="0"/>
    <x v="0"/>
    <x v="1"/>
  </r>
  <r>
    <d v="2024-02-18T00:00:00"/>
    <x v="4"/>
    <n v="42400"/>
    <n v="0"/>
    <x v="0"/>
    <x v="1"/>
  </r>
  <r>
    <d v="2024-02-19T00:00:00"/>
    <x v="4"/>
    <n v="42250"/>
    <n v="-150"/>
    <x v="0"/>
    <x v="1"/>
  </r>
  <r>
    <d v="2024-02-20T00:00:00"/>
    <x v="4"/>
    <n v="42750"/>
    <n v="500"/>
    <x v="0"/>
    <x v="1"/>
  </r>
  <r>
    <d v="2024-02-21T00:00:00"/>
    <x v="4"/>
    <n v="43500"/>
    <n v="750"/>
    <x v="0"/>
    <x v="1"/>
  </r>
  <r>
    <d v="2024-02-22T00:00:00"/>
    <x v="4"/>
    <n v="43650"/>
    <n v="150"/>
    <x v="0"/>
    <x v="1"/>
  </r>
  <r>
    <d v="2024-02-23T00:00:00"/>
    <x v="4"/>
    <n v="42400"/>
    <n v="-1250"/>
    <x v="0"/>
    <x v="1"/>
  </r>
  <r>
    <d v="2024-02-24T00:00:00"/>
    <x v="4"/>
    <n v="42400"/>
    <n v="0"/>
    <x v="0"/>
    <x v="1"/>
  </r>
  <r>
    <d v="2024-02-26T00:00:00"/>
    <x v="4"/>
    <n v="42900"/>
    <m/>
    <x v="0"/>
    <x v="1"/>
  </r>
  <r>
    <d v="2024-02-27T00:00:00"/>
    <x v="4"/>
    <n v="44150"/>
    <n v="1250"/>
    <x v="0"/>
    <x v="1"/>
  </r>
  <r>
    <d v="2024-02-28T00:00:00"/>
    <x v="4"/>
    <n v="44150"/>
    <n v="0"/>
    <x v="0"/>
    <x v="1"/>
  </r>
  <r>
    <d v="2024-02-29T00:00:00"/>
    <x v="4"/>
    <n v="44650"/>
    <n v="500"/>
    <x v="0"/>
    <x v="1"/>
  </r>
  <r>
    <d v="2024-03-01T00:00:00"/>
    <x v="4"/>
    <n v="40750"/>
    <n v="-3900"/>
    <x v="0"/>
    <x v="1"/>
  </r>
  <r>
    <d v="2024-03-02T00:00:00"/>
    <x v="4"/>
    <n v="40750"/>
    <n v="0"/>
    <x v="0"/>
    <x v="0"/>
  </r>
  <r>
    <d v="2024-03-03T00:00:00"/>
    <x v="4"/>
    <n v="40750"/>
    <n v="0"/>
    <x v="0"/>
    <x v="0"/>
  </r>
  <r>
    <d v="2024-03-04T00:00:00"/>
    <x v="4"/>
    <n v="40150"/>
    <n v="-600"/>
    <x v="0"/>
    <x v="0"/>
  </r>
  <r>
    <d v="2024-03-05T00:00:00"/>
    <x v="4"/>
    <n v="40150"/>
    <n v="0"/>
    <x v="0"/>
    <x v="1"/>
  </r>
  <r>
    <d v="2024-03-06T00:00:00"/>
    <x v="4"/>
    <n v="40150"/>
    <n v="0"/>
    <x v="0"/>
    <x v="0"/>
  </r>
  <r>
    <d v="2024-03-07T00:00:00"/>
    <x v="4"/>
    <n v="39650"/>
    <n v="-500"/>
    <x v="0"/>
    <x v="1"/>
  </r>
  <r>
    <d v="2024-03-08T00:00:00"/>
    <x v="4"/>
    <n v="39650"/>
    <n v="0"/>
    <x v="0"/>
    <x v="1"/>
  </r>
  <r>
    <d v="2024-03-09T00:00:00"/>
    <x v="4"/>
    <n v="39650"/>
    <n v="0"/>
    <x v="0"/>
    <x v="1"/>
  </r>
  <r>
    <d v="2024-03-10T00:00:00"/>
    <x v="4"/>
    <n v="39650"/>
    <n v="0"/>
    <x v="0"/>
    <x v="1"/>
  </r>
  <r>
    <d v="2024-03-11T00:00:00"/>
    <x v="4"/>
    <n v="39650"/>
    <n v="0"/>
    <x v="0"/>
    <x v="1"/>
  </r>
  <r>
    <d v="2024-03-12T00:00:00"/>
    <x v="4"/>
    <n v="39650"/>
    <n v="0"/>
    <x v="0"/>
    <x v="1"/>
  </r>
  <r>
    <d v="2024-03-13T00:00:00"/>
    <x v="4"/>
    <n v="38900"/>
    <n v="-750"/>
    <x v="0"/>
    <x v="1"/>
  </r>
  <r>
    <d v="2024-03-14T00:00:00"/>
    <x v="4"/>
    <n v="38900"/>
    <n v="0"/>
    <x v="0"/>
    <x v="1"/>
  </r>
  <r>
    <d v="2024-03-15T00:00:00"/>
    <x v="4"/>
    <n v="39650"/>
    <n v="750"/>
    <x v="0"/>
    <x v="1"/>
  </r>
  <r>
    <d v="2024-03-16T00:00:00"/>
    <x v="4"/>
    <n v="39650"/>
    <n v="0"/>
    <x v="0"/>
    <x v="1"/>
  </r>
  <r>
    <d v="2024-03-17T00:00:00"/>
    <x v="4"/>
    <n v="39650"/>
    <n v="0"/>
    <x v="0"/>
    <x v="1"/>
  </r>
  <r>
    <d v="2024-03-18T00:00:00"/>
    <x v="4"/>
    <n v="39900"/>
    <n v="250"/>
    <x v="0"/>
    <x v="1"/>
  </r>
  <r>
    <d v="2024-03-19T00:00:00"/>
    <x v="4"/>
    <n v="38650"/>
    <n v="-1250"/>
    <x v="0"/>
    <x v="1"/>
  </r>
  <r>
    <d v="2024-03-20T00:00:00"/>
    <x v="4"/>
    <n v="38650"/>
    <n v="0"/>
    <x v="0"/>
    <x v="1"/>
  </r>
  <r>
    <d v="2024-03-21T00:00:00"/>
    <x v="4"/>
    <n v="39250"/>
    <n v="600"/>
    <x v="0"/>
    <x v="1"/>
  </r>
  <r>
    <d v="2024-03-22T00:00:00"/>
    <x v="4"/>
    <n v="39250"/>
    <n v="0"/>
    <x v="0"/>
    <x v="1"/>
  </r>
  <r>
    <d v="2024-03-23T00:00:00"/>
    <x v="4"/>
    <n v="39250"/>
    <n v="0"/>
    <x v="0"/>
    <x v="1"/>
  </r>
  <r>
    <d v="2024-03-24T00:00:00"/>
    <x v="4"/>
    <n v="39250"/>
    <n v="0"/>
    <x v="0"/>
    <x v="1"/>
  </r>
  <r>
    <d v="2024-03-25T00:00:00"/>
    <x v="4"/>
    <n v="39250"/>
    <n v="0"/>
    <x v="0"/>
    <x v="1"/>
  </r>
  <r>
    <d v="2024-03-26T00:00:00"/>
    <x v="4"/>
    <n v="39150"/>
    <n v="-100"/>
    <x v="0"/>
    <x v="1"/>
  </r>
  <r>
    <d v="2024-03-27T00:00:00"/>
    <x v="4"/>
    <n v="39150"/>
    <n v="0"/>
    <x v="0"/>
    <x v="0"/>
  </r>
  <r>
    <d v="2024-03-28T00:00:00"/>
    <x v="4"/>
    <n v="39750"/>
    <n v="600"/>
    <x v="0"/>
    <x v="0"/>
  </r>
  <r>
    <d v="2024-03-29T00:00:00"/>
    <x v="4"/>
    <n v="39750"/>
    <n v="0"/>
    <x v="0"/>
    <x v="1"/>
  </r>
  <r>
    <d v="2024-03-30T00:00:00"/>
    <x v="4"/>
    <n v="39750"/>
    <n v="0"/>
    <x v="0"/>
    <x v="1"/>
  </r>
  <r>
    <d v="2024-03-31T00:00:00"/>
    <x v="4"/>
    <n v="39750"/>
    <n v="0"/>
    <x v="0"/>
    <x v="1"/>
  </r>
  <r>
    <d v="2024-04-01T00:00:00"/>
    <x v="4"/>
    <n v="39150"/>
    <n v="-600"/>
    <x v="1"/>
    <x v="0"/>
  </r>
  <r>
    <d v="2024-04-02T00:00:00"/>
    <x v="4"/>
    <n v="40250"/>
    <n v="1100"/>
    <x v="1"/>
    <x v="0"/>
  </r>
  <r>
    <d v="2024-04-03T00:00:00"/>
    <x v="4"/>
    <n v="40000"/>
    <n v="-250"/>
    <x v="1"/>
    <x v="1"/>
  </r>
  <r>
    <d v="2024-04-04T00:00:00"/>
    <x v="4"/>
    <n v="40000"/>
    <n v="0"/>
    <x v="1"/>
    <x v="1"/>
  </r>
  <r>
    <d v="2024-04-05T00:00:00"/>
    <x v="4"/>
    <n v="40500"/>
    <n v="500"/>
    <x v="1"/>
    <x v="0"/>
  </r>
  <r>
    <d v="2024-04-06T00:00:00"/>
    <x v="4"/>
    <n v="40500"/>
    <n v="0"/>
    <x v="1"/>
    <x v="0"/>
  </r>
  <r>
    <d v="2024-04-07T00:00:00"/>
    <x v="4"/>
    <n v="40500"/>
    <n v="0"/>
    <x v="1"/>
    <x v="0"/>
  </r>
  <r>
    <d v="2024-04-08T00:00:00"/>
    <x v="4"/>
    <n v="40500"/>
    <n v="0"/>
    <x v="1"/>
    <x v="0"/>
  </r>
  <r>
    <d v="2024-04-09T00:00:00"/>
    <x v="4"/>
    <n v="40500"/>
    <n v="0"/>
    <x v="1"/>
    <x v="1"/>
  </r>
  <r>
    <d v="2024-04-10T00:00:00"/>
    <x v="4"/>
    <n v="40500"/>
    <n v="0"/>
    <x v="1"/>
    <x v="1"/>
  </r>
  <r>
    <d v="2024-04-11T00:00:00"/>
    <x v="4"/>
    <n v="40500"/>
    <n v="0"/>
    <x v="1"/>
    <x v="1"/>
  </r>
  <r>
    <d v="2024-04-12T00:00:00"/>
    <x v="4"/>
    <n v="40500"/>
    <n v="0"/>
    <x v="1"/>
    <x v="1"/>
  </r>
  <r>
    <d v="2024-04-15T00:00:00"/>
    <x v="4"/>
    <n v="40500"/>
    <m/>
    <x v="1"/>
    <x v="1"/>
  </r>
  <r>
    <d v="2024-04-16T00:00:00"/>
    <x v="4"/>
    <n v="63150"/>
    <n v="22650"/>
    <x v="1"/>
    <x v="1"/>
  </r>
  <r>
    <d v="2024-04-17T00:00:00"/>
    <x v="4"/>
    <n v="63150"/>
    <n v="0"/>
    <x v="1"/>
    <x v="1"/>
  </r>
  <r>
    <d v="2024-04-18T00:00:00"/>
    <x v="4"/>
    <n v="63150"/>
    <n v="0"/>
    <x v="1"/>
    <x v="1"/>
  </r>
  <r>
    <d v="2024-04-19T00:00:00"/>
    <x v="4"/>
    <n v="63150"/>
    <n v="0"/>
    <x v="1"/>
    <x v="1"/>
  </r>
  <r>
    <d v="2024-04-22T00:00:00"/>
    <x v="4"/>
    <n v="59900"/>
    <m/>
    <x v="1"/>
    <x v="1"/>
  </r>
  <r>
    <d v="2024-04-23T00:00:00"/>
    <x v="4"/>
    <n v="59900"/>
    <n v="0"/>
    <x v="1"/>
    <x v="1"/>
  </r>
  <r>
    <d v="2024-04-24T00:00:00"/>
    <x v="4"/>
    <n v="59150"/>
    <n v="-750"/>
    <x v="1"/>
    <x v="1"/>
  </r>
  <r>
    <d v="2024-04-25T00:00:00"/>
    <x v="4"/>
    <n v="59150"/>
    <n v="0"/>
    <x v="1"/>
    <x v="1"/>
  </r>
  <r>
    <d v="2024-04-26T00:00:00"/>
    <x v="4"/>
    <n v="58900"/>
    <n v="-250"/>
    <x v="1"/>
    <x v="1"/>
  </r>
  <r>
    <d v="2024-04-27T00:00:00"/>
    <x v="4"/>
    <n v="58900"/>
    <n v="0"/>
    <x v="1"/>
    <x v="0"/>
  </r>
  <r>
    <d v="2024-04-28T00:00:00"/>
    <x v="4"/>
    <n v="58900"/>
    <n v="0"/>
    <x v="1"/>
    <x v="1"/>
  </r>
  <r>
    <d v="2024-04-29T00:00:00"/>
    <x v="4"/>
    <n v="58900"/>
    <n v="0"/>
    <x v="1"/>
    <x v="1"/>
  </r>
  <r>
    <d v="2024-04-30T00:00:00"/>
    <x v="4"/>
    <n v="60650"/>
    <n v="1750"/>
    <x v="1"/>
    <x v="0"/>
  </r>
  <r>
    <d v="2024-05-01T00:00:00"/>
    <x v="4"/>
    <n v="58400"/>
    <n v="-2250"/>
    <x v="1"/>
    <x v="1"/>
  </r>
  <r>
    <d v="2024-05-02T00:00:00"/>
    <x v="4"/>
    <n v="59150"/>
    <n v="750"/>
    <x v="1"/>
    <x v="1"/>
  </r>
  <r>
    <d v="2024-05-03T00:00:00"/>
    <x v="4"/>
    <n v="58250"/>
    <n v="-900"/>
    <x v="1"/>
    <x v="0"/>
  </r>
  <r>
    <d v="2024-05-04T00:00:00"/>
    <x v="4"/>
    <n v="58250"/>
    <n v="0"/>
    <x v="1"/>
    <x v="1"/>
  </r>
  <r>
    <d v="2024-05-05T00:00:00"/>
    <x v="4"/>
    <n v="58250"/>
    <n v="0"/>
    <x v="1"/>
    <x v="1"/>
  </r>
  <r>
    <d v="2024-05-06T00:00:00"/>
    <x v="4"/>
    <n v="55650"/>
    <n v="-2600"/>
    <x v="1"/>
    <x v="1"/>
  </r>
  <r>
    <d v="2024-05-07T00:00:00"/>
    <x v="4"/>
    <n v="55000"/>
    <n v="-650"/>
    <x v="1"/>
    <x v="1"/>
  </r>
  <r>
    <d v="2024-05-08T00:00:00"/>
    <x v="4"/>
    <n v="53500"/>
    <n v="-1500"/>
    <x v="1"/>
    <x v="1"/>
  </r>
  <r>
    <d v="2024-05-09T00:00:00"/>
    <x v="4"/>
    <n v="53500"/>
    <n v="0"/>
    <x v="1"/>
    <x v="1"/>
  </r>
  <r>
    <d v="2024-05-10T00:00:00"/>
    <x v="4"/>
    <n v="53500"/>
    <n v="0"/>
    <x v="1"/>
    <x v="1"/>
  </r>
  <r>
    <d v="2024-05-11T00:00:00"/>
    <x v="4"/>
    <n v="53500"/>
    <n v="0"/>
    <x v="1"/>
    <x v="1"/>
  </r>
  <r>
    <d v="2024-05-12T00:00:00"/>
    <x v="4"/>
    <n v="53500"/>
    <n v="0"/>
    <x v="1"/>
    <x v="1"/>
  </r>
  <r>
    <d v="2024-05-13T00:00:00"/>
    <x v="4"/>
    <n v="52900"/>
    <n v="-600"/>
    <x v="1"/>
    <x v="1"/>
  </r>
  <r>
    <d v="2024-05-14T00:00:00"/>
    <x v="4"/>
    <n v="51000"/>
    <n v="-1900"/>
    <x v="1"/>
    <x v="0"/>
  </r>
  <r>
    <d v="2024-05-15T00:00:00"/>
    <x v="4"/>
    <n v="51650"/>
    <n v="650"/>
    <x v="1"/>
    <x v="1"/>
  </r>
  <r>
    <d v="2024-05-16T00:00:00"/>
    <x v="4"/>
    <n v="51650"/>
    <n v="0"/>
    <x v="1"/>
    <x v="1"/>
  </r>
  <r>
    <d v="2024-05-17T00:00:00"/>
    <x v="4"/>
    <n v="50150"/>
    <n v="-1500"/>
    <x v="1"/>
    <x v="1"/>
  </r>
  <r>
    <d v="2024-05-20T00:00:00"/>
    <x v="4"/>
    <n v="51400"/>
    <m/>
    <x v="1"/>
    <x v="1"/>
  </r>
  <r>
    <d v="2024-05-21T00:00:00"/>
    <x v="4"/>
    <n v="50150"/>
    <n v="-1250"/>
    <x v="1"/>
    <x v="1"/>
  </r>
  <r>
    <d v="2024-05-22T00:00:00"/>
    <x v="4"/>
    <n v="50150"/>
    <n v="0"/>
    <x v="1"/>
    <x v="1"/>
  </r>
  <r>
    <d v="2024-05-23T00:00:00"/>
    <x v="4"/>
    <n v="50150"/>
    <n v="0"/>
    <x v="1"/>
    <x v="1"/>
  </r>
  <r>
    <d v="2024-05-24T00:00:00"/>
    <x v="4"/>
    <n v="50150"/>
    <n v="0"/>
    <x v="1"/>
    <x v="1"/>
  </r>
  <r>
    <d v="2024-05-27T00:00:00"/>
    <x v="4"/>
    <n v="50250"/>
    <m/>
    <x v="1"/>
    <x v="1"/>
  </r>
  <r>
    <d v="2024-05-28T00:00:00"/>
    <x v="4"/>
    <n v="50000"/>
    <n v="-250"/>
    <x v="1"/>
    <x v="1"/>
  </r>
  <r>
    <d v="2024-05-29T00:00:00"/>
    <x v="4"/>
    <n v="50000"/>
    <n v="0"/>
    <x v="1"/>
    <x v="1"/>
  </r>
  <r>
    <d v="2024-05-30T00:00:00"/>
    <x v="4"/>
    <n v="50400"/>
    <n v="400"/>
    <x v="1"/>
    <x v="1"/>
  </r>
  <r>
    <d v="2024-05-31T00:00:00"/>
    <x v="4"/>
    <n v="50400"/>
    <n v="0"/>
    <x v="1"/>
    <x v="1"/>
  </r>
  <r>
    <d v="2024-06-01T00:00:00"/>
    <x v="4"/>
    <n v="50400"/>
    <n v="0"/>
    <x v="1"/>
    <x v="1"/>
  </r>
  <r>
    <d v="2024-06-02T00:00:00"/>
    <x v="4"/>
    <n v="50400"/>
    <n v="0"/>
    <x v="1"/>
    <x v="1"/>
  </r>
  <r>
    <d v="2024-06-03T00:00:00"/>
    <x v="4"/>
    <n v="53150"/>
    <n v="2750"/>
    <x v="1"/>
    <x v="1"/>
  </r>
  <r>
    <d v="2024-06-04T00:00:00"/>
    <x v="4"/>
    <n v="57650"/>
    <n v="4500"/>
    <x v="1"/>
    <x v="0"/>
  </r>
  <r>
    <d v="2024-06-05T00:00:00"/>
    <x v="4"/>
    <n v="57400"/>
    <n v="-250"/>
    <x v="1"/>
    <x v="1"/>
  </r>
  <r>
    <d v="2024-06-06T00:00:00"/>
    <x v="4"/>
    <n v="56150"/>
    <n v="-1250"/>
    <x v="1"/>
    <x v="1"/>
  </r>
  <r>
    <d v="2024-06-07T00:00:00"/>
    <x v="4"/>
    <n v="55650"/>
    <n v="-500"/>
    <x v="1"/>
    <x v="1"/>
  </r>
  <r>
    <d v="2024-06-08T00:00:00"/>
    <x v="4"/>
    <n v="55650"/>
    <n v="0"/>
    <x v="1"/>
    <x v="0"/>
  </r>
  <r>
    <d v="2024-06-09T00:00:00"/>
    <x v="4"/>
    <n v="55650"/>
    <n v="0"/>
    <x v="1"/>
    <x v="1"/>
  </r>
  <r>
    <d v="2024-06-10T00:00:00"/>
    <x v="4"/>
    <n v="53650"/>
    <n v="-2000"/>
    <x v="1"/>
    <x v="1"/>
  </r>
  <r>
    <d v="2024-06-11T00:00:00"/>
    <x v="4"/>
    <n v="51400"/>
    <n v="-2250"/>
    <x v="1"/>
    <x v="1"/>
  </r>
  <r>
    <d v="2024-06-12T00:00:00"/>
    <x v="4"/>
    <n v="51400"/>
    <n v="0"/>
    <x v="1"/>
    <x v="1"/>
  </r>
  <r>
    <d v="2024-06-13T00:00:00"/>
    <x v="4"/>
    <n v="50900"/>
    <n v="-500"/>
    <x v="1"/>
    <x v="0"/>
  </r>
  <r>
    <d v="2024-06-14T00:00:00"/>
    <x v="4"/>
    <n v="50250"/>
    <n v="-650"/>
    <x v="1"/>
    <x v="0"/>
  </r>
  <r>
    <d v="2024-06-15T00:00:00"/>
    <x v="4"/>
    <n v="50250"/>
    <n v="0"/>
    <x v="1"/>
    <x v="1"/>
  </r>
  <r>
    <d v="2024-06-16T00:00:00"/>
    <x v="4"/>
    <n v="50250"/>
    <n v="0"/>
    <x v="1"/>
    <x v="1"/>
  </r>
  <r>
    <d v="2024-06-17T00:00:00"/>
    <x v="4"/>
    <n v="50250"/>
    <n v="0"/>
    <x v="1"/>
    <x v="1"/>
  </r>
  <r>
    <d v="2024-06-18T00:00:00"/>
    <x v="4"/>
    <n v="50250"/>
    <n v="0"/>
    <x v="1"/>
    <x v="1"/>
  </r>
  <r>
    <d v="2024-06-19T00:00:00"/>
    <x v="4"/>
    <n v="50000"/>
    <n v="-250"/>
    <x v="1"/>
    <x v="0"/>
  </r>
  <r>
    <d v="2024-06-20T00:00:00"/>
    <x v="4"/>
    <n v="50000"/>
    <n v="0"/>
    <x v="1"/>
    <x v="0"/>
  </r>
  <r>
    <d v="2024-06-21T00:00:00"/>
    <x v="4"/>
    <n v="49500"/>
    <n v="-500"/>
    <x v="1"/>
    <x v="1"/>
  </r>
  <r>
    <d v="2024-06-22T00:00:00"/>
    <x v="4"/>
    <n v="49500"/>
    <n v="0"/>
    <x v="1"/>
    <x v="1"/>
  </r>
  <r>
    <d v="2024-06-23T00:00:00"/>
    <x v="4"/>
    <n v="49500"/>
    <n v="0"/>
    <x v="1"/>
    <x v="0"/>
  </r>
  <r>
    <d v="2024-06-24T00:00:00"/>
    <x v="4"/>
    <n v="48000"/>
    <n v="-1500"/>
    <x v="1"/>
    <x v="0"/>
  </r>
  <r>
    <d v="2024-06-25T00:00:00"/>
    <x v="4"/>
    <n v="46250"/>
    <n v="-1750"/>
    <x v="1"/>
    <x v="0"/>
  </r>
  <r>
    <d v="2024-06-26T00:00:00"/>
    <x v="4"/>
    <n v="46150"/>
    <n v="-100"/>
    <x v="1"/>
    <x v="1"/>
  </r>
  <r>
    <d v="2024-06-27T00:00:00"/>
    <x v="4"/>
    <n v="46150"/>
    <n v="0"/>
    <x v="1"/>
    <x v="1"/>
  </r>
  <r>
    <d v="2024-06-28T00:00:00"/>
    <x v="4"/>
    <n v="45900"/>
    <n v="-250"/>
    <x v="1"/>
    <x v="1"/>
  </r>
  <r>
    <d v="2024-06-29T00:00:00"/>
    <x v="4"/>
    <n v="45900"/>
    <n v="0"/>
    <x v="1"/>
    <x v="1"/>
  </r>
  <r>
    <d v="2024-06-30T00:00:00"/>
    <x v="4"/>
    <n v="45900"/>
    <n v="0"/>
    <x v="1"/>
    <x v="1"/>
  </r>
  <r>
    <d v="2024-07-01T00:00:00"/>
    <x v="4"/>
    <n v="45650"/>
    <n v="-250"/>
    <x v="1"/>
    <x v="1"/>
  </r>
  <r>
    <d v="2024-07-02T00:00:00"/>
    <x v="4"/>
    <n v="44500"/>
    <n v="-1150"/>
    <x v="1"/>
    <x v="1"/>
  </r>
  <r>
    <d v="2024-07-03T00:00:00"/>
    <x v="4"/>
    <n v="44150"/>
    <n v="-350"/>
    <x v="1"/>
    <x v="0"/>
  </r>
  <r>
    <d v="2024-07-04T00:00:00"/>
    <x v="4"/>
    <n v="44750"/>
    <n v="600"/>
    <x v="1"/>
    <x v="0"/>
  </r>
  <r>
    <d v="2024-07-05T00:00:00"/>
    <x v="4"/>
    <n v="44750"/>
    <n v="0"/>
    <x v="1"/>
    <x v="1"/>
  </r>
  <r>
    <d v="2024-07-06T00:00:00"/>
    <x v="4"/>
    <n v="44750"/>
    <n v="0"/>
    <x v="1"/>
    <x v="1"/>
  </r>
  <r>
    <d v="2024-07-07T00:00:00"/>
    <x v="4"/>
    <n v="44750"/>
    <n v="0"/>
    <x v="1"/>
    <x v="1"/>
  </r>
  <r>
    <d v="2024-07-08T00:00:00"/>
    <x v="4"/>
    <n v="45250"/>
    <n v="500"/>
    <x v="1"/>
    <x v="1"/>
  </r>
  <r>
    <d v="2024-07-09T00:00:00"/>
    <x v="4"/>
    <n v="44750"/>
    <n v="-500"/>
    <x v="1"/>
    <x v="1"/>
  </r>
  <r>
    <d v="2024-07-10T00:00:00"/>
    <x v="4"/>
    <n v="44750"/>
    <n v="0"/>
    <x v="1"/>
    <x v="0"/>
  </r>
  <r>
    <d v="2024-07-11T00:00:00"/>
    <x v="4"/>
    <n v="44250"/>
    <n v="-500"/>
    <x v="1"/>
    <x v="1"/>
  </r>
  <r>
    <d v="2024-07-12T00:00:00"/>
    <x v="4"/>
    <n v="44250"/>
    <n v="0"/>
    <x v="1"/>
    <x v="1"/>
  </r>
  <r>
    <d v="2024-07-13T00:00:00"/>
    <x v="4"/>
    <n v="44250"/>
    <n v="0"/>
    <x v="1"/>
    <x v="1"/>
  </r>
  <r>
    <d v="2024-07-14T00:00:00"/>
    <x v="4"/>
    <n v="44250"/>
    <n v="0"/>
    <x v="1"/>
    <x v="1"/>
  </r>
  <r>
    <d v="2024-07-15T00:00:00"/>
    <x v="4"/>
    <n v="43900"/>
    <n v="-350"/>
    <x v="1"/>
    <x v="1"/>
  </r>
  <r>
    <d v="2024-07-16T00:00:00"/>
    <x v="4"/>
    <n v="42750"/>
    <n v="-1150"/>
    <x v="1"/>
    <x v="1"/>
  </r>
  <r>
    <d v="2024-07-17T00:00:00"/>
    <x v="4"/>
    <n v="41750"/>
    <n v="-1000"/>
    <x v="1"/>
    <x v="1"/>
  </r>
  <r>
    <d v="2024-07-18T00:00:00"/>
    <x v="4"/>
    <n v="41750"/>
    <n v="0"/>
    <x v="1"/>
    <x v="1"/>
  </r>
  <r>
    <d v="2024-07-19T00:00:00"/>
    <x v="4"/>
    <n v="40500"/>
    <n v="-1250"/>
    <x v="1"/>
    <x v="1"/>
  </r>
  <r>
    <d v="2024-07-20T00:00:00"/>
    <x v="4"/>
    <n v="40500"/>
    <n v="0"/>
    <x v="1"/>
    <x v="1"/>
  </r>
  <r>
    <d v="2024-07-21T00:00:00"/>
    <x v="4"/>
    <n v="40500"/>
    <n v="0"/>
    <x v="1"/>
    <x v="1"/>
  </r>
  <r>
    <d v="2024-07-22T00:00:00"/>
    <x v="4"/>
    <n v="38400"/>
    <n v="-2100"/>
    <x v="1"/>
    <x v="1"/>
  </r>
  <r>
    <d v="2024-07-23T00:00:00"/>
    <x v="4"/>
    <n v="36250"/>
    <n v="-2150"/>
    <x v="1"/>
    <x v="0"/>
  </r>
  <r>
    <d v="2024-07-24T00:00:00"/>
    <x v="4"/>
    <n v="36150"/>
    <n v="-100"/>
    <x v="1"/>
    <x v="0"/>
  </r>
  <r>
    <d v="2024-07-25T00:00:00"/>
    <x v="4"/>
    <n v="33900"/>
    <n v="-2250"/>
    <x v="1"/>
    <x v="1"/>
  </r>
  <r>
    <d v="2024-07-26T00:00:00"/>
    <x v="4"/>
    <n v="34000"/>
    <n v="100"/>
    <x v="1"/>
    <x v="1"/>
  </r>
  <r>
    <d v="2024-07-27T00:00:00"/>
    <x v="4"/>
    <n v="34000"/>
    <n v="0"/>
    <x v="1"/>
    <x v="1"/>
  </r>
  <r>
    <d v="2024-07-28T00:00:00"/>
    <x v="4"/>
    <n v="34000"/>
    <n v="0"/>
    <x v="1"/>
    <x v="1"/>
  </r>
  <r>
    <d v="2024-07-29T00:00:00"/>
    <x v="4"/>
    <n v="32400"/>
    <n v="-1600"/>
    <x v="1"/>
    <x v="1"/>
  </r>
  <r>
    <d v="2024-07-30T00:00:00"/>
    <x v="4"/>
    <n v="29900"/>
    <n v="-2500"/>
    <x v="1"/>
    <x v="1"/>
  </r>
  <r>
    <d v="2024-07-31T00:00:00"/>
    <x v="4"/>
    <n v="29400"/>
    <n v="-500"/>
    <x v="1"/>
    <x v="1"/>
  </r>
  <r>
    <d v="2024-08-01T00:00:00"/>
    <x v="4"/>
    <n v="29150"/>
    <n v="-250"/>
    <x v="1"/>
    <x v="1"/>
  </r>
  <r>
    <d v="2024-08-02T00:00:00"/>
    <x v="4"/>
    <n v="30000"/>
    <n v="850"/>
    <x v="1"/>
    <x v="1"/>
  </r>
  <r>
    <d v="2024-08-03T00:00:00"/>
    <x v="4"/>
    <n v="30000"/>
    <n v="0"/>
    <x v="1"/>
    <x v="1"/>
  </r>
  <r>
    <d v="2024-08-04T00:00:00"/>
    <x v="4"/>
    <n v="30000"/>
    <n v="0"/>
    <x v="1"/>
    <x v="0"/>
  </r>
  <r>
    <d v="2024-08-05T00:00:00"/>
    <x v="4"/>
    <n v="31400"/>
    <n v="1400"/>
    <x v="1"/>
    <x v="1"/>
  </r>
  <r>
    <d v="2024-08-06T00:00:00"/>
    <x v="4"/>
    <n v="32250"/>
    <n v="850"/>
    <x v="1"/>
    <x v="1"/>
  </r>
  <r>
    <d v="2024-08-07T00:00:00"/>
    <x v="4"/>
    <n v="31400"/>
    <n v="-850"/>
    <x v="1"/>
    <x v="1"/>
  </r>
  <r>
    <d v="2024-08-08T00:00:00"/>
    <x v="4"/>
    <n v="31250"/>
    <n v="-150"/>
    <x v="1"/>
    <x v="1"/>
  </r>
  <r>
    <d v="2024-08-09T00:00:00"/>
    <x v="4"/>
    <n v="31250"/>
    <n v="0"/>
    <x v="1"/>
    <x v="1"/>
  </r>
  <r>
    <d v="2024-08-10T00:00:00"/>
    <x v="4"/>
    <n v="31250"/>
    <n v="0"/>
    <x v="1"/>
    <x v="1"/>
  </r>
  <r>
    <d v="2024-08-11T00:00:00"/>
    <x v="4"/>
    <n v="31250"/>
    <n v="0"/>
    <x v="1"/>
    <x v="1"/>
  </r>
  <r>
    <d v="2024-08-12T00:00:00"/>
    <x v="4"/>
    <n v="30750"/>
    <n v="-500"/>
    <x v="1"/>
    <x v="1"/>
  </r>
  <r>
    <d v="2024-08-13T00:00:00"/>
    <x v="4"/>
    <n v="27150"/>
    <n v="-3600"/>
    <x v="1"/>
    <x v="0"/>
  </r>
  <r>
    <d v="2024-08-14T00:00:00"/>
    <x v="4"/>
    <n v="31150"/>
    <n v="4000"/>
    <x v="1"/>
    <x v="1"/>
  </r>
  <r>
    <d v="2024-08-15T00:00:00"/>
    <x v="4"/>
    <n v="32150"/>
    <n v="1000"/>
    <x v="1"/>
    <x v="1"/>
  </r>
  <r>
    <d v="2024-08-16T00:00:00"/>
    <x v="4"/>
    <n v="32150"/>
    <n v="0"/>
    <x v="1"/>
    <x v="1"/>
  </r>
  <r>
    <d v="2024-08-17T00:00:00"/>
    <x v="4"/>
    <n v="32150"/>
    <n v="0"/>
    <x v="1"/>
    <x v="1"/>
  </r>
  <r>
    <d v="2024-08-18T00:00:00"/>
    <x v="4"/>
    <n v="32150"/>
    <n v="0"/>
    <x v="1"/>
    <x v="1"/>
  </r>
  <r>
    <d v="2024-08-19T00:00:00"/>
    <x v="4"/>
    <n v="30900"/>
    <n v="-1250"/>
    <x v="1"/>
    <x v="1"/>
  </r>
  <r>
    <d v="2024-08-20T00:00:00"/>
    <x v="4"/>
    <n v="30650"/>
    <n v="-250"/>
    <x v="1"/>
    <x v="1"/>
  </r>
  <r>
    <d v="2024-08-21T00:00:00"/>
    <x v="4"/>
    <n v="30400"/>
    <n v="-250"/>
    <x v="1"/>
    <x v="1"/>
  </r>
  <r>
    <d v="2024-08-22T00:00:00"/>
    <x v="4"/>
    <n v="30400"/>
    <n v="0"/>
    <x v="1"/>
    <x v="1"/>
  </r>
  <r>
    <d v="2024-08-23T00:00:00"/>
    <x v="4"/>
    <n v="30400"/>
    <n v="0"/>
    <x v="1"/>
    <x v="1"/>
  </r>
  <r>
    <d v="2024-08-26T00:00:00"/>
    <x v="4"/>
    <n v="30150"/>
    <m/>
    <x v="1"/>
    <x v="1"/>
  </r>
  <r>
    <d v="2024-08-27T00:00:00"/>
    <x v="4"/>
    <n v="29900"/>
    <n v="-250"/>
    <x v="1"/>
    <x v="1"/>
  </r>
  <r>
    <d v="2024-08-28T00:00:00"/>
    <x v="4"/>
    <n v="30400"/>
    <n v="500"/>
    <x v="1"/>
    <x v="1"/>
  </r>
  <r>
    <d v="2024-08-29T00:00:00"/>
    <x v="4"/>
    <n v="30400"/>
    <n v="0"/>
    <x v="1"/>
    <x v="1"/>
  </r>
  <r>
    <d v="2024-08-30T00:00:00"/>
    <x v="4"/>
    <n v="30150"/>
    <n v="-250"/>
    <x v="1"/>
    <x v="0"/>
  </r>
  <r>
    <d v="2024-08-31T00:00:00"/>
    <x v="4"/>
    <n v="30150"/>
    <n v="0"/>
    <x v="1"/>
    <x v="1"/>
  </r>
  <r>
    <d v="2024-09-01T00:00:00"/>
    <x v="4"/>
    <n v="30150"/>
    <n v="0"/>
    <x v="1"/>
    <x v="1"/>
  </r>
  <r>
    <d v="2024-09-02T00:00:00"/>
    <x v="4"/>
    <n v="30150"/>
    <n v="0"/>
    <x v="1"/>
    <x v="1"/>
  </r>
  <r>
    <d v="2024-09-03T00:00:00"/>
    <x v="4"/>
    <n v="30150"/>
    <n v="0"/>
    <x v="1"/>
    <x v="1"/>
  </r>
  <r>
    <d v="2024-09-04T00:00:00"/>
    <x v="4"/>
    <n v="30150"/>
    <n v="0"/>
    <x v="1"/>
    <x v="1"/>
  </r>
  <r>
    <d v="2024-09-05T00:00:00"/>
    <x v="4"/>
    <n v="29900"/>
    <n v="-250"/>
    <x v="1"/>
    <x v="1"/>
  </r>
  <r>
    <d v="2024-09-06T00:00:00"/>
    <x v="4"/>
    <n v="30150"/>
    <n v="250"/>
    <x v="1"/>
    <x v="1"/>
  </r>
  <r>
    <d v="2024-09-07T00:00:00"/>
    <x v="4"/>
    <n v="30150"/>
    <n v="0"/>
    <x v="1"/>
    <x v="1"/>
  </r>
  <r>
    <d v="2024-09-08T00:00:00"/>
    <x v="4"/>
    <n v="30150"/>
    <n v="0"/>
    <x v="1"/>
    <x v="1"/>
  </r>
  <r>
    <d v="2024-09-09T00:00:00"/>
    <x v="4"/>
    <n v="31150"/>
    <n v="1000"/>
    <x v="1"/>
    <x v="1"/>
  </r>
  <r>
    <d v="2024-09-10T00:00:00"/>
    <x v="4"/>
    <n v="32150"/>
    <n v="1000"/>
    <x v="1"/>
    <x v="1"/>
  </r>
  <r>
    <d v="2024-09-11T00:00:00"/>
    <x v="4"/>
    <n v="33250"/>
    <n v="1100"/>
    <x v="1"/>
    <x v="1"/>
  </r>
  <r>
    <d v="2024-09-12T00:00:00"/>
    <x v="4"/>
    <n v="35400"/>
    <n v="2150"/>
    <x v="1"/>
    <x v="1"/>
  </r>
  <r>
    <d v="2024-09-13T00:00:00"/>
    <x v="4"/>
    <n v="35400"/>
    <n v="0"/>
    <x v="1"/>
    <x v="1"/>
  </r>
  <r>
    <d v="2024-09-14T00:00:00"/>
    <x v="4"/>
    <n v="35400"/>
    <n v="0"/>
    <x v="1"/>
    <x v="1"/>
  </r>
  <r>
    <d v="2024-09-15T00:00:00"/>
    <x v="4"/>
    <n v="35400"/>
    <n v="0"/>
    <x v="1"/>
    <x v="1"/>
  </r>
  <r>
    <d v="2024-09-16T00:00:00"/>
    <x v="4"/>
    <n v="35400"/>
    <n v="0"/>
    <x v="1"/>
    <x v="1"/>
  </r>
  <r>
    <d v="2024-09-17T00:00:00"/>
    <x v="4"/>
    <n v="34650"/>
    <n v="-750"/>
    <x v="1"/>
    <x v="1"/>
  </r>
  <r>
    <d v="2024-09-18T00:00:00"/>
    <x v="4"/>
    <n v="34400"/>
    <n v="-250"/>
    <x v="1"/>
    <x v="1"/>
  </r>
  <r>
    <d v="2024-09-19T00:00:00"/>
    <x v="4"/>
    <n v="34400"/>
    <n v="0"/>
    <x v="1"/>
    <x v="1"/>
  </r>
  <r>
    <d v="2024-09-20T00:00:00"/>
    <x v="4"/>
    <n v="34400"/>
    <n v="0"/>
    <x v="1"/>
    <x v="1"/>
  </r>
  <r>
    <d v="2024-09-21T00:00:00"/>
    <x v="4"/>
    <n v="34400"/>
    <n v="0"/>
    <x v="1"/>
    <x v="1"/>
  </r>
  <r>
    <d v="2024-09-22T00:00:00"/>
    <x v="4"/>
    <n v="34400"/>
    <n v="0"/>
    <x v="1"/>
    <x v="1"/>
  </r>
  <r>
    <d v="2024-09-23T00:00:00"/>
    <x v="4"/>
    <n v="34750"/>
    <n v="350"/>
    <x v="1"/>
    <x v="1"/>
  </r>
  <r>
    <d v="2024-09-24T00:00:00"/>
    <x v="4"/>
    <n v="35150"/>
    <n v="400"/>
    <x v="1"/>
    <x v="1"/>
  </r>
  <r>
    <d v="2024-09-25T00:00:00"/>
    <x v="4"/>
    <n v="35250"/>
    <n v="100"/>
    <x v="1"/>
    <x v="1"/>
  </r>
  <r>
    <d v="2024-09-26T00:00:00"/>
    <x v="4"/>
    <n v="35250"/>
    <n v="0"/>
    <x v="1"/>
    <x v="1"/>
  </r>
  <r>
    <d v="2024-09-27T00:00:00"/>
    <x v="4"/>
    <n v="35500"/>
    <n v="250"/>
    <x v="1"/>
    <x v="1"/>
  </r>
  <r>
    <d v="2024-09-28T00:00:00"/>
    <x v="4"/>
    <n v="35500"/>
    <n v="0"/>
    <x v="1"/>
    <x v="1"/>
  </r>
  <r>
    <d v="2024-09-29T00:00:00"/>
    <x v="4"/>
    <n v="35500"/>
    <n v="0"/>
    <x v="1"/>
    <x v="1"/>
  </r>
  <r>
    <d v="2024-09-30T00:00:00"/>
    <x v="4"/>
    <n v="35000"/>
    <n v="-500"/>
    <x v="1"/>
    <x v="1"/>
  </r>
  <r>
    <d v="2024-10-01T00:00:00"/>
    <x v="4"/>
    <n v="35500"/>
    <n v="500"/>
    <x v="0"/>
    <x v="1"/>
  </r>
  <r>
    <d v="2024-10-02T00:00:00"/>
    <x v="4"/>
    <n v="34500"/>
    <n v="-1000"/>
    <x v="0"/>
    <x v="1"/>
  </r>
  <r>
    <d v="2024-10-03T00:00:00"/>
    <x v="4"/>
    <n v="35150"/>
    <n v="650"/>
    <x v="0"/>
    <x v="1"/>
  </r>
  <r>
    <d v="2024-10-04T00:00:00"/>
    <x v="4"/>
    <n v="35150"/>
    <n v="0"/>
    <x v="0"/>
    <x v="1"/>
  </r>
  <r>
    <d v="2024-10-05T00:00:00"/>
    <x v="4"/>
    <n v="35150"/>
    <n v="0"/>
    <x v="0"/>
    <x v="1"/>
  </r>
  <r>
    <d v="2024-10-06T00:00:00"/>
    <x v="4"/>
    <n v="35150"/>
    <n v="0"/>
    <x v="0"/>
    <x v="1"/>
  </r>
  <r>
    <d v="2024-10-07T00:00:00"/>
    <x v="4"/>
    <n v="36000"/>
    <n v="850"/>
    <x v="0"/>
    <x v="0"/>
  </r>
  <r>
    <d v="2024-10-08T00:00:00"/>
    <x v="4"/>
    <n v="36000"/>
    <n v="0"/>
    <x v="0"/>
    <x v="1"/>
  </r>
  <r>
    <d v="2024-10-09T00:00:00"/>
    <x v="4"/>
    <n v="36000"/>
    <n v="0"/>
    <x v="0"/>
    <x v="1"/>
  </r>
  <r>
    <d v="2024-10-10T00:00:00"/>
    <x v="4"/>
    <n v="36000"/>
    <n v="0"/>
    <x v="0"/>
    <x v="1"/>
  </r>
  <r>
    <d v="2024-10-11T00:00:00"/>
    <x v="4"/>
    <n v="35000"/>
    <n v="-1000"/>
    <x v="0"/>
    <x v="1"/>
  </r>
  <r>
    <d v="2024-10-12T00:00:00"/>
    <x v="4"/>
    <n v="35000"/>
    <n v="0"/>
    <x v="0"/>
    <x v="0"/>
  </r>
  <r>
    <d v="2024-10-13T00:00:00"/>
    <x v="4"/>
    <n v="35000"/>
    <n v="0"/>
    <x v="0"/>
    <x v="1"/>
  </r>
  <r>
    <d v="2024-10-14T00:00:00"/>
    <x v="4"/>
    <n v="35900"/>
    <n v="900"/>
    <x v="0"/>
    <x v="1"/>
  </r>
  <r>
    <d v="2024-10-15T00:00:00"/>
    <x v="4"/>
    <n v="36000"/>
    <n v="100"/>
    <x v="0"/>
    <x v="1"/>
  </r>
  <r>
    <d v="2024-10-16T00:00:00"/>
    <x v="4"/>
    <n v="36250"/>
    <n v="250"/>
    <x v="0"/>
    <x v="0"/>
  </r>
  <r>
    <d v="2024-10-17T00:00:00"/>
    <x v="4"/>
    <n v="36150"/>
    <n v="-100"/>
    <x v="0"/>
    <x v="0"/>
  </r>
  <r>
    <d v="2024-10-18T00:00:00"/>
    <x v="4"/>
    <n v="36750"/>
    <n v="600"/>
    <x v="0"/>
    <x v="0"/>
  </r>
  <r>
    <d v="2024-10-19T00:00:00"/>
    <x v="4"/>
    <n v="36750"/>
    <n v="0"/>
    <x v="0"/>
    <x v="1"/>
  </r>
  <r>
    <d v="2024-10-20T00:00:00"/>
    <x v="4"/>
    <n v="36750"/>
    <n v="0"/>
    <x v="0"/>
    <x v="1"/>
  </r>
  <r>
    <d v="2024-10-21T00:00:00"/>
    <x v="4"/>
    <n v="37250"/>
    <n v="500"/>
    <x v="0"/>
    <x v="1"/>
  </r>
  <r>
    <d v="2024-10-22T00:00:00"/>
    <x v="4"/>
    <n v="36400"/>
    <n v="-850"/>
    <x v="0"/>
    <x v="1"/>
  </r>
  <r>
    <d v="2024-10-23T00:00:00"/>
    <x v="4"/>
    <n v="37250"/>
    <n v="850"/>
    <x v="0"/>
    <x v="1"/>
  </r>
  <r>
    <d v="2024-10-24T00:00:00"/>
    <x v="4"/>
    <n v="37250"/>
    <n v="0"/>
    <x v="0"/>
    <x v="1"/>
  </r>
  <r>
    <d v="2024-10-25T00:00:00"/>
    <x v="4"/>
    <n v="37150"/>
    <n v="-100"/>
    <x v="0"/>
    <x v="1"/>
  </r>
  <r>
    <d v="2024-10-26T00:00:00"/>
    <x v="4"/>
    <n v="37150"/>
    <n v="0"/>
    <x v="0"/>
    <x v="1"/>
  </r>
  <r>
    <d v="2024-10-27T00:00:00"/>
    <x v="4"/>
    <n v="37150"/>
    <n v="0"/>
    <x v="0"/>
    <x v="1"/>
  </r>
  <r>
    <d v="2024-10-28T00:00:00"/>
    <x v="4"/>
    <n v="38000"/>
    <n v="850"/>
    <x v="0"/>
    <x v="1"/>
  </r>
  <r>
    <d v="2024-10-29T00:00:00"/>
    <x v="4"/>
    <n v="38650"/>
    <n v="650"/>
    <x v="0"/>
    <x v="1"/>
  </r>
  <r>
    <d v="2024-10-30T00:00:00"/>
    <x v="4"/>
    <n v="38400"/>
    <n v="-250"/>
    <x v="0"/>
    <x v="1"/>
  </r>
  <r>
    <d v="2024-10-31T00:00:00"/>
    <x v="4"/>
    <n v="38900"/>
    <n v="500"/>
    <x v="0"/>
    <x v="1"/>
  </r>
  <r>
    <d v="2024-11-01T00:00:00"/>
    <x v="4"/>
    <n v="38900"/>
    <n v="0"/>
    <x v="0"/>
    <x v="1"/>
  </r>
  <r>
    <d v="2024-11-02T00:00:00"/>
    <x v="4"/>
    <n v="38900"/>
    <n v="0"/>
    <x v="0"/>
    <x v="1"/>
  </r>
  <r>
    <d v="2024-11-03T00:00:00"/>
    <x v="4"/>
    <n v="38900"/>
    <n v="0"/>
    <x v="0"/>
    <x v="1"/>
  </r>
  <r>
    <d v="2024-11-04T00:00:00"/>
    <x v="4"/>
    <n v="38650"/>
    <n v="-250"/>
    <x v="0"/>
    <x v="1"/>
  </r>
  <r>
    <d v="2024-11-05T00:00:00"/>
    <x v="4"/>
    <n v="38650"/>
    <n v="0"/>
    <x v="0"/>
    <x v="0"/>
  </r>
  <r>
    <d v="2024-11-06T00:00:00"/>
    <x v="4"/>
    <n v="38900"/>
    <n v="250"/>
    <x v="0"/>
    <x v="1"/>
  </r>
  <r>
    <d v="2024-11-07T00:00:00"/>
    <x v="4"/>
    <n v="38900"/>
    <n v="0"/>
    <x v="0"/>
    <x v="1"/>
  </r>
  <r>
    <d v="2024-11-08T00:00:00"/>
    <x v="4"/>
    <n v="38900"/>
    <n v="0"/>
    <x v="0"/>
    <x v="1"/>
  </r>
  <r>
    <d v="2024-11-09T00:00:00"/>
    <x v="4"/>
    <n v="38900"/>
    <n v="0"/>
    <x v="0"/>
    <x v="1"/>
  </r>
  <r>
    <d v="2024-11-10T00:00:00"/>
    <x v="4"/>
    <n v="38900"/>
    <n v="0"/>
    <x v="0"/>
    <x v="1"/>
  </r>
  <r>
    <d v="2024-11-11T00:00:00"/>
    <x v="4"/>
    <n v="42750"/>
    <n v="3850"/>
    <x v="0"/>
    <x v="1"/>
  </r>
  <r>
    <d v="2024-11-12T00:00:00"/>
    <x v="4"/>
    <n v="43750"/>
    <n v="1000"/>
    <x v="0"/>
    <x v="1"/>
  </r>
  <r>
    <d v="2024-11-13T00:00:00"/>
    <x v="4"/>
    <n v="45000"/>
    <n v="1250"/>
    <x v="0"/>
    <x v="1"/>
  </r>
  <r>
    <d v="2024-11-14T00:00:00"/>
    <x v="4"/>
    <n v="45250"/>
    <n v="250"/>
    <x v="0"/>
    <x v="1"/>
  </r>
  <r>
    <d v="2024-11-15T00:00:00"/>
    <x v="4"/>
    <n v="45750"/>
    <n v="500"/>
    <x v="0"/>
    <x v="1"/>
  </r>
  <r>
    <d v="2024-11-16T00:00:00"/>
    <x v="4"/>
    <n v="45750"/>
    <n v="0"/>
    <x v="0"/>
    <x v="1"/>
  </r>
  <r>
    <d v="2024-11-17T00:00:00"/>
    <x v="4"/>
    <n v="45750"/>
    <n v="0"/>
    <x v="0"/>
    <x v="1"/>
  </r>
  <r>
    <d v="2024-11-18T00:00:00"/>
    <x v="4"/>
    <n v="48650"/>
    <n v="2900"/>
    <x v="0"/>
    <x v="1"/>
  </r>
  <r>
    <d v="2024-11-19T00:00:00"/>
    <x v="4"/>
    <n v="48650"/>
    <n v="0"/>
    <x v="0"/>
    <x v="1"/>
  </r>
  <r>
    <d v="2024-11-20T00:00:00"/>
    <x v="4"/>
    <n v="49000"/>
    <n v="350"/>
    <x v="0"/>
    <x v="1"/>
  </r>
  <r>
    <d v="2024-11-21T00:00:00"/>
    <x v="4"/>
    <n v="49250"/>
    <n v="250"/>
    <x v="0"/>
    <x v="0"/>
  </r>
  <r>
    <d v="2024-11-22T00:00:00"/>
    <x v="4"/>
    <n v="49250"/>
    <n v="0"/>
    <x v="0"/>
    <x v="1"/>
  </r>
  <r>
    <d v="2024-11-23T00:00:00"/>
    <x v="4"/>
    <n v="49250"/>
    <n v="0"/>
    <x v="0"/>
    <x v="1"/>
  </r>
  <r>
    <d v="2024-11-24T00:00:00"/>
    <x v="4"/>
    <n v="49250"/>
    <n v="0"/>
    <x v="0"/>
    <x v="1"/>
  </r>
  <r>
    <d v="2024-11-25T00:00:00"/>
    <x v="4"/>
    <n v="47900"/>
    <n v="-1350"/>
    <x v="0"/>
    <x v="1"/>
  </r>
  <r>
    <d v="2024-11-26T00:00:00"/>
    <x v="4"/>
    <n v="47650"/>
    <n v="-250"/>
    <x v="0"/>
    <x v="0"/>
  </r>
  <r>
    <d v="2024-11-27T00:00:00"/>
    <x v="4"/>
    <n v="47650"/>
    <n v="0"/>
    <x v="0"/>
    <x v="1"/>
  </r>
  <r>
    <d v="2024-11-28T00:00:00"/>
    <x v="4"/>
    <n v="47400"/>
    <n v="-250"/>
    <x v="0"/>
    <x v="1"/>
  </r>
  <r>
    <d v="2024-11-29T00:00:00"/>
    <x v="4"/>
    <n v="47150"/>
    <n v="-250"/>
    <x v="0"/>
    <x v="1"/>
  </r>
  <r>
    <d v="2024-11-30T00:00:00"/>
    <x v="4"/>
    <n v="47150"/>
    <n v="0"/>
    <x v="0"/>
    <x v="1"/>
  </r>
  <r>
    <d v="2024-12-01T00:00:00"/>
    <x v="4"/>
    <n v="47150"/>
    <n v="0"/>
    <x v="0"/>
    <x v="1"/>
  </r>
  <r>
    <d v="2024-12-02T00:00:00"/>
    <x v="4"/>
    <n v="46500"/>
    <n v="-650"/>
    <x v="0"/>
    <x v="0"/>
  </r>
  <r>
    <d v="2024-12-03T00:00:00"/>
    <x v="4"/>
    <n v="46500"/>
    <n v="0"/>
    <x v="0"/>
    <x v="1"/>
  </r>
  <r>
    <d v="2024-12-04T00:00:00"/>
    <x v="4"/>
    <n v="47250"/>
    <n v="750"/>
    <x v="0"/>
    <x v="1"/>
  </r>
  <r>
    <d v="2024-12-05T00:00:00"/>
    <x v="4"/>
    <n v="48750"/>
    <n v="1500"/>
    <x v="0"/>
    <x v="1"/>
  </r>
  <r>
    <d v="2024-12-06T00:00:00"/>
    <x v="4"/>
    <n v="48750"/>
    <n v="0"/>
    <x v="0"/>
    <x v="1"/>
  </r>
  <r>
    <d v="2024-12-07T00:00:00"/>
    <x v="4"/>
    <n v="48750"/>
    <n v="0"/>
    <x v="0"/>
    <x v="1"/>
  </r>
  <r>
    <d v="2024-12-08T00:00:00"/>
    <x v="4"/>
    <n v="48750"/>
    <n v="0"/>
    <x v="0"/>
    <x v="1"/>
  </r>
  <r>
    <d v="2024-12-09T00:00:00"/>
    <x v="4"/>
    <n v="48500"/>
    <n v="-250"/>
    <x v="0"/>
    <x v="1"/>
  </r>
  <r>
    <d v="2024-12-10T00:00:00"/>
    <x v="4"/>
    <n v="48750"/>
    <n v="250"/>
    <x v="0"/>
    <x v="1"/>
  </r>
  <r>
    <d v="2024-12-11T00:00:00"/>
    <x v="4"/>
    <n v="48750"/>
    <n v="0"/>
    <x v="0"/>
    <x v="1"/>
  </r>
  <r>
    <d v="2024-12-12T00:00:00"/>
    <x v="4"/>
    <n v="47750"/>
    <n v="-1000"/>
    <x v="0"/>
    <x v="0"/>
  </r>
  <r>
    <d v="2024-12-13T00:00:00"/>
    <x v="4"/>
    <n v="48000"/>
    <n v="250"/>
    <x v="0"/>
    <x v="0"/>
  </r>
  <r>
    <d v="2024-12-14T00:00:00"/>
    <x v="4"/>
    <n v="48000"/>
    <n v="0"/>
    <x v="0"/>
    <x v="0"/>
  </r>
  <r>
    <d v="2024-12-15T00:00:00"/>
    <x v="4"/>
    <n v="48000"/>
    <n v="0"/>
    <x v="0"/>
    <x v="0"/>
  </r>
  <r>
    <d v="2024-12-16T00:00:00"/>
    <x v="4"/>
    <n v="48250"/>
    <n v="250"/>
    <x v="0"/>
    <x v="1"/>
  </r>
  <r>
    <d v="2024-12-17T00:00:00"/>
    <x v="4"/>
    <n v="48250"/>
    <n v="0"/>
    <x v="0"/>
    <x v="1"/>
  </r>
  <r>
    <d v="2024-12-18T00:00:00"/>
    <x v="4"/>
    <n v="48250"/>
    <n v="0"/>
    <x v="0"/>
    <x v="1"/>
  </r>
  <r>
    <d v="2024-12-19T00:00:00"/>
    <x v="4"/>
    <n v="47750"/>
    <n v="-500"/>
    <x v="0"/>
    <x v="1"/>
  </r>
  <r>
    <d v="2024-12-20T00:00:00"/>
    <x v="4"/>
    <n v="47750"/>
    <n v="0"/>
    <x v="0"/>
    <x v="1"/>
  </r>
  <r>
    <d v="2024-12-21T00:00:00"/>
    <x v="4"/>
    <n v="47750"/>
    <n v="0"/>
    <x v="0"/>
    <x v="1"/>
  </r>
  <r>
    <d v="2024-12-22T00:00:00"/>
    <x v="4"/>
    <n v="47750"/>
    <n v="0"/>
    <x v="0"/>
    <x v="0"/>
  </r>
  <r>
    <d v="2024-12-23T00:00:00"/>
    <x v="4"/>
    <n v="47000"/>
    <n v="-750"/>
    <x v="0"/>
    <x v="1"/>
  </r>
  <r>
    <d v="2024-12-24T00:00:00"/>
    <x v="4"/>
    <n v="46650"/>
    <n v="-350"/>
    <x v="0"/>
    <x v="1"/>
  </r>
  <r>
    <d v="2024-12-25T00:00:00"/>
    <x v="4"/>
    <n v="46650"/>
    <n v="0"/>
    <x v="0"/>
    <x v="0"/>
  </r>
  <r>
    <d v="2024-12-26T00:00:00"/>
    <x v="4"/>
    <n v="46650"/>
    <n v="0"/>
    <x v="0"/>
    <x v="0"/>
  </r>
  <r>
    <d v="2024-12-27T00:00:00"/>
    <x v="4"/>
    <n v="46250"/>
    <n v="-400"/>
    <x v="0"/>
    <x v="1"/>
  </r>
  <r>
    <d v="2024-12-28T00:00:00"/>
    <x v="4"/>
    <n v="46250"/>
    <n v="0"/>
    <x v="0"/>
    <x v="0"/>
  </r>
  <r>
    <d v="2024-12-29T00:00:00"/>
    <x v="4"/>
    <n v="46250"/>
    <n v="0"/>
    <x v="0"/>
    <x v="1"/>
  </r>
  <r>
    <d v="2024-12-30T00:00:00"/>
    <x v="4"/>
    <n v="47000"/>
    <n v="750"/>
    <x v="0"/>
    <x v="1"/>
  </r>
  <r>
    <d v="2024-12-31T00:00:00"/>
    <x v="4"/>
    <n v="46900"/>
    <n v="-100"/>
    <x v="0"/>
    <x v="1"/>
  </r>
  <r>
    <d v="2025-01-01T00:00:00"/>
    <x v="5"/>
    <n v="46900"/>
    <n v="0"/>
    <x v="0"/>
    <x v="1"/>
  </r>
  <r>
    <d v="2025-01-02T00:00:00"/>
    <x v="5"/>
    <n v="46400"/>
    <n v="-500"/>
    <x v="0"/>
    <x v="0"/>
  </r>
  <r>
    <d v="2025-01-03T00:00:00"/>
    <x v="5"/>
    <n v="46400"/>
    <n v="0"/>
    <x v="0"/>
    <x v="1"/>
  </r>
  <r>
    <d v="2025-01-04T00:00:00"/>
    <x v="5"/>
    <n v="46400"/>
    <n v="0"/>
    <x v="0"/>
    <x v="1"/>
  </r>
  <r>
    <d v="2025-01-05T00:00:00"/>
    <x v="5"/>
    <n v="46400"/>
    <n v="0"/>
    <x v="0"/>
    <x v="1"/>
  </r>
  <r>
    <d v="2025-01-06T00:00:00"/>
    <x v="5"/>
    <n v="46250"/>
    <n v="-150"/>
    <x v="0"/>
    <x v="1"/>
  </r>
  <r>
    <d v="2025-01-07T00:00:00"/>
    <x v="5"/>
    <n v="46000"/>
    <n v="-250"/>
    <x v="0"/>
    <x v="1"/>
  </r>
  <r>
    <d v="2025-01-08T00:00:00"/>
    <x v="5"/>
    <n v="46000"/>
    <n v="0"/>
    <x v="0"/>
    <x v="1"/>
  </r>
  <r>
    <d v="2025-01-09T00:00:00"/>
    <x v="5"/>
    <n v="46000"/>
    <n v="0"/>
    <x v="0"/>
    <x v="1"/>
  </r>
  <r>
    <d v="2025-01-10T00:00:00"/>
    <x v="5"/>
    <n v="46000"/>
    <n v="0"/>
    <x v="0"/>
    <x v="1"/>
  </r>
  <r>
    <d v="2025-01-11T00:00:00"/>
    <x v="5"/>
    <n v="46000"/>
    <n v="0"/>
    <x v="0"/>
    <x v="0"/>
  </r>
  <r>
    <d v="2025-01-12T00:00:00"/>
    <x v="5"/>
    <n v="46000"/>
    <n v="0"/>
    <x v="0"/>
    <x v="1"/>
  </r>
  <r>
    <d v="2025-01-13T00:00:00"/>
    <x v="5"/>
    <n v="45500"/>
    <n v="-500"/>
    <x v="0"/>
    <x v="1"/>
  </r>
  <r>
    <d v="2025-01-14T00:00:00"/>
    <x v="5"/>
    <n v="45900"/>
    <n v="400"/>
    <x v="0"/>
    <x v="1"/>
  </r>
  <r>
    <d v="2025-01-15T00:00:00"/>
    <x v="5"/>
    <n v="45250"/>
    <n v="-650"/>
    <x v="0"/>
    <x v="0"/>
  </r>
  <r>
    <d v="2025-01-16T00:00:00"/>
    <x v="5"/>
    <n v="45250"/>
    <n v="0"/>
    <x v="0"/>
    <x v="0"/>
  </r>
  <r>
    <d v="2025-01-17T00:00:00"/>
    <x v="5"/>
    <n v="45250"/>
    <n v="0"/>
    <x v="0"/>
    <x v="0"/>
  </r>
  <r>
    <d v="2025-01-20T00:00:00"/>
    <x v="5"/>
    <n v="44250"/>
    <m/>
    <x v="0"/>
    <x v="1"/>
  </r>
  <r>
    <d v="2025-01-21T00:00:00"/>
    <x v="5"/>
    <n v="44150"/>
    <n v="-100"/>
    <x v="0"/>
    <x v="1"/>
  </r>
  <r>
    <d v="2025-01-22T00:00:00"/>
    <x v="5"/>
    <n v="43650"/>
    <n v="-500"/>
    <x v="0"/>
    <x v="1"/>
  </r>
  <r>
    <d v="2025-01-23T00:00:00"/>
    <x v="5"/>
    <n v="43650"/>
    <n v="0"/>
    <x v="0"/>
    <x v="0"/>
  </r>
  <r>
    <d v="2025-01-24T00:00:00"/>
    <x v="5"/>
    <n v="43400"/>
    <n v="-250"/>
    <x v="0"/>
    <x v="1"/>
  </r>
  <r>
    <d v="2025-01-27T00:00:00"/>
    <x v="5"/>
    <n v="43400"/>
    <m/>
    <x v="0"/>
    <x v="0"/>
  </r>
  <r>
    <d v="2025-01-28T00:00:00"/>
    <x v="5"/>
    <n v="43400"/>
    <n v="0"/>
    <x v="0"/>
    <x v="1"/>
  </r>
  <r>
    <d v="2025-01-29T00:00:00"/>
    <x v="5"/>
    <n v="43400"/>
    <n v="0"/>
    <x v="0"/>
    <x v="0"/>
  </r>
  <r>
    <d v="2025-01-30T00:00:00"/>
    <x v="5"/>
    <n v="42150"/>
    <n v="-1250"/>
    <x v="0"/>
    <x v="1"/>
  </r>
  <r>
    <d v="2025-01-31T00:00:00"/>
    <x v="5"/>
    <n v="42150"/>
    <n v="0"/>
    <x v="0"/>
    <x v="1"/>
  </r>
  <r>
    <d v="2025-02-01T00:00:00"/>
    <x v="5"/>
    <n v="42150"/>
    <n v="0"/>
    <x v="0"/>
    <x v="1"/>
  </r>
  <r>
    <d v="2025-02-02T00:00:00"/>
    <x v="5"/>
    <n v="42150"/>
    <n v="0"/>
    <x v="0"/>
    <x v="1"/>
  </r>
  <r>
    <d v="2025-02-03T00:00:00"/>
    <x v="5"/>
    <n v="40150"/>
    <n v="-2000"/>
    <x v="0"/>
    <x v="1"/>
  </r>
  <r>
    <d v="2025-02-04T00:00:00"/>
    <x v="5"/>
    <n v="39900"/>
    <n v="-250"/>
    <x v="0"/>
    <x v="1"/>
  </r>
  <r>
    <d v="2025-02-05T00:00:00"/>
    <x v="5"/>
    <n v="39900"/>
    <n v="0"/>
    <x v="0"/>
    <x v="1"/>
  </r>
  <r>
    <d v="2025-02-06T00:00:00"/>
    <x v="5"/>
    <n v="40750"/>
    <n v="850"/>
    <x v="0"/>
    <x v="0"/>
  </r>
  <r>
    <d v="2025-02-07T00:00:00"/>
    <x v="5"/>
    <n v="40750"/>
    <n v="0"/>
    <x v="0"/>
    <x v="1"/>
  </r>
  <r>
    <d v="2025-02-08T00:00:00"/>
    <x v="5"/>
    <n v="40750"/>
    <n v="0"/>
    <x v="0"/>
    <x v="1"/>
  </r>
  <r>
    <d v="2025-02-09T00:00:00"/>
    <x v="5"/>
    <n v="40750"/>
    <n v="0"/>
    <x v="0"/>
    <x v="1"/>
  </r>
  <r>
    <d v="2025-02-10T00:00:00"/>
    <x v="5"/>
    <n v="41250"/>
    <n v="500"/>
    <x v="0"/>
    <x v="1"/>
  </r>
  <r>
    <d v="2025-02-11T00:00:00"/>
    <x v="5"/>
    <n v="41250"/>
    <n v="0"/>
    <x v="0"/>
    <x v="0"/>
  </r>
  <r>
    <d v="2025-02-12T00:00:00"/>
    <x v="5"/>
    <n v="41250"/>
    <n v="0"/>
    <x v="0"/>
    <x v="1"/>
  </r>
  <r>
    <d v="2025-02-13T00:00:00"/>
    <x v="5"/>
    <n v="41250"/>
    <n v="0"/>
    <x v="0"/>
    <x v="1"/>
  </r>
  <r>
    <d v="2025-02-14T00:00:00"/>
    <x v="5"/>
    <n v="41250"/>
    <n v="0"/>
    <x v="0"/>
    <x v="1"/>
  </r>
  <r>
    <d v="2025-02-15T00:00:00"/>
    <x v="5"/>
    <n v="41250"/>
    <n v="0"/>
    <x v="0"/>
    <x v="1"/>
  </r>
  <r>
    <d v="2025-02-16T00:00:00"/>
    <x v="5"/>
    <n v="41250"/>
    <n v="0"/>
    <x v="0"/>
    <x v="1"/>
  </r>
  <r>
    <d v="2025-02-17T00:00:00"/>
    <x v="5"/>
    <n v="41750"/>
    <n v="500"/>
    <x v="0"/>
    <x v="0"/>
  </r>
  <r>
    <d v="2025-02-18T00:00:00"/>
    <x v="5"/>
    <n v="41750"/>
    <n v="0"/>
    <x v="0"/>
    <x v="1"/>
  </r>
  <r>
    <d v="2025-02-19T00:00:00"/>
    <x v="5"/>
    <n v="41750"/>
    <n v="0"/>
    <x v="0"/>
    <x v="1"/>
  </r>
  <r>
    <d v="2025-02-20T00:00:00"/>
    <x v="5"/>
    <n v="41750"/>
    <n v="0"/>
    <x v="0"/>
    <x v="1"/>
  </r>
  <r>
    <d v="2025-02-21T00:00:00"/>
    <x v="5"/>
    <n v="41250"/>
    <n v="-500"/>
    <x v="0"/>
    <x v="1"/>
  </r>
  <r>
    <d v="2025-02-22T00:00:00"/>
    <x v="5"/>
    <n v="41250"/>
    <n v="0"/>
    <x v="0"/>
    <x v="0"/>
  </r>
  <r>
    <d v="2025-02-23T00:00:00"/>
    <x v="5"/>
    <n v="41250"/>
    <n v="0"/>
    <x v="0"/>
    <x v="1"/>
  </r>
  <r>
    <d v="2025-02-24T00:00:00"/>
    <x v="5"/>
    <n v="42750"/>
    <n v="1500"/>
    <x v="0"/>
    <x v="1"/>
  </r>
  <r>
    <d v="2025-02-25T00:00:00"/>
    <x v="5"/>
    <n v="44000"/>
    <n v="1250"/>
    <x v="0"/>
    <x v="1"/>
  </r>
  <r>
    <d v="2025-02-26T00:00:00"/>
    <x v="5"/>
    <n v="44650"/>
    <n v="650"/>
    <x v="0"/>
    <x v="1"/>
  </r>
  <r>
    <d v="2025-02-27T00:00:00"/>
    <x v="5"/>
    <n v="44650"/>
    <n v="0"/>
    <x v="0"/>
    <x v="0"/>
  </r>
  <r>
    <d v="2025-02-28T00:00:00"/>
    <x v="5"/>
    <n v="45150"/>
    <n v="500"/>
    <x v="0"/>
    <x v="0"/>
  </r>
  <r>
    <d v="2025-03-01T00:00:00"/>
    <x v="5"/>
    <n v="45150"/>
    <n v="0"/>
    <x v="0"/>
    <x v="1"/>
  </r>
  <r>
    <d v="2025-03-02T00:00:00"/>
    <x v="5"/>
    <n v="45150"/>
    <n v="0"/>
    <x v="0"/>
    <x v="1"/>
  </r>
  <r>
    <d v="2025-03-03T00:00:00"/>
    <x v="5"/>
    <n v="45650"/>
    <n v="500"/>
    <x v="0"/>
    <x v="1"/>
  </r>
  <r>
    <d v="2025-03-04T00:00:00"/>
    <x v="5"/>
    <n v="46250"/>
    <n v="600"/>
    <x v="0"/>
    <x v="1"/>
  </r>
  <r>
    <d v="2025-03-05T00:00:00"/>
    <x v="5"/>
    <n v="46500"/>
    <n v="250"/>
    <x v="0"/>
    <x v="1"/>
  </r>
  <r>
    <d v="2025-03-06T00:00:00"/>
    <x v="5"/>
    <n v="45900"/>
    <n v="-600"/>
    <x v="0"/>
    <x v="0"/>
  </r>
  <r>
    <d v="2025-03-07T00:00:00"/>
    <x v="5"/>
    <n v="45900"/>
    <n v="0"/>
    <x v="0"/>
    <x v="1"/>
  </r>
  <r>
    <d v="2025-03-08T00:00:00"/>
    <x v="5"/>
    <n v="45900"/>
    <n v="0"/>
    <x v="0"/>
    <x v="0"/>
  </r>
  <r>
    <d v="2025-03-09T00:00:00"/>
    <x v="5"/>
    <n v="45900"/>
    <n v="0"/>
    <x v="0"/>
    <x v="0"/>
  </r>
  <r>
    <d v="2025-03-10T00:00:00"/>
    <x v="5"/>
    <n v="46400"/>
    <n v="500"/>
    <x v="0"/>
    <x v="1"/>
  </r>
  <r>
    <d v="2025-03-11T00:00:00"/>
    <x v="5"/>
    <n v="46250"/>
    <n v="-150"/>
    <x v="0"/>
    <x v="1"/>
  </r>
  <r>
    <d v="2025-03-12T00:00:00"/>
    <x v="5"/>
    <n v="46250"/>
    <n v="0"/>
    <x v="0"/>
    <x v="1"/>
  </r>
  <r>
    <d v="2025-03-13T00:00:00"/>
    <x v="5"/>
    <n v="46500"/>
    <n v="250"/>
    <x v="0"/>
    <x v="1"/>
  </r>
  <r>
    <d v="2025-03-14T00:00:00"/>
    <x v="5"/>
    <n v="46250"/>
    <n v="-250"/>
    <x v="0"/>
    <x v="0"/>
  </r>
  <r>
    <d v="2025-03-15T00:00:00"/>
    <x v="5"/>
    <n v="46250"/>
    <n v="0"/>
    <x v="0"/>
    <x v="1"/>
  </r>
  <r>
    <d v="2025-03-16T00:00:00"/>
    <x v="5"/>
    <n v="46250"/>
    <n v="0"/>
    <x v="0"/>
    <x v="0"/>
  </r>
  <r>
    <d v="2025-03-17T00:00:00"/>
    <x v="5"/>
    <n v="46000"/>
    <n v="-250"/>
    <x v="0"/>
    <x v="0"/>
  </r>
  <r>
    <d v="2025-03-18T00:00:00"/>
    <x v="5"/>
    <n v="46400"/>
    <n v="400"/>
    <x v="0"/>
    <x v="0"/>
  </r>
  <r>
    <d v="2025-03-19T00:00:00"/>
    <x v="5"/>
    <n v="46400"/>
    <n v="0"/>
    <x v="0"/>
    <x v="1"/>
  </r>
  <r>
    <d v="2025-03-20T00:00:00"/>
    <x v="5"/>
    <n v="46400"/>
    <n v="0"/>
    <x v="0"/>
    <x v="0"/>
  </r>
  <r>
    <d v="2025-03-21T00:00:00"/>
    <x v="5"/>
    <n v="46400"/>
    <n v="0"/>
    <x v="0"/>
    <x v="0"/>
  </r>
  <r>
    <d v="2025-03-22T00:00:00"/>
    <x v="5"/>
    <n v="46400"/>
    <n v="0"/>
    <x v="0"/>
    <x v="0"/>
  </r>
  <r>
    <d v="2025-03-23T00:00:00"/>
    <x v="5"/>
    <n v="46400"/>
    <n v="0"/>
    <x v="0"/>
    <x v="1"/>
  </r>
  <r>
    <d v="2025-03-24T00:00:00"/>
    <x v="5"/>
    <n v="48650"/>
    <n v="2250"/>
    <x v="0"/>
    <x v="1"/>
  </r>
  <r>
    <d v="2025-03-25T00:00:00"/>
    <x v="5"/>
    <n v="48650"/>
    <n v="0"/>
    <x v="0"/>
    <x v="1"/>
  </r>
  <r>
    <d v="2025-03-26T00:00:00"/>
    <x v="5"/>
    <n v="48650"/>
    <n v="0"/>
    <x v="0"/>
    <x v="1"/>
  </r>
  <r>
    <d v="2025-03-27T00:00:00"/>
    <x v="5"/>
    <n v="49500"/>
    <n v="850"/>
    <x v="0"/>
    <x v="1"/>
  </r>
  <r>
    <d v="2025-03-28T00:00:00"/>
    <x v="5"/>
    <n v="49500"/>
    <n v="0"/>
    <x v="0"/>
    <x v="1"/>
  </r>
  <r>
    <d v="2025-03-29T00:00:00"/>
    <x v="5"/>
    <n v="49500"/>
    <n v="0"/>
    <x v="0"/>
    <x v="1"/>
  </r>
  <r>
    <d v="2025-03-30T00:00:00"/>
    <x v="5"/>
    <n v="49500"/>
    <n v="0"/>
    <x v="0"/>
    <x v="0"/>
  </r>
  <r>
    <d v="2025-03-31T00:00:00"/>
    <x v="5"/>
    <n v="49500"/>
    <n v="0"/>
    <x v="0"/>
    <x v="1"/>
  </r>
  <r>
    <d v="2025-04-01T00:00:00"/>
    <x v="5"/>
    <n v="49500"/>
    <n v="0"/>
    <x v="1"/>
    <x v="1"/>
  </r>
  <r>
    <d v="2025-04-02T00:00:00"/>
    <x v="5"/>
    <n v="49500"/>
    <n v="0"/>
    <x v="1"/>
    <x v="0"/>
  </r>
  <r>
    <d v="2025-04-03T00:00:00"/>
    <x v="5"/>
    <n v="49500"/>
    <n v="0"/>
    <x v="1"/>
    <x v="1"/>
  </r>
  <r>
    <d v="2025-04-04T00:00:00"/>
    <x v="5"/>
    <n v="49500"/>
    <n v="0"/>
    <x v="1"/>
    <x v="0"/>
  </r>
  <r>
    <d v="2025-04-05T00:00:00"/>
    <x v="5"/>
    <n v="49500"/>
    <n v="0"/>
    <x v="1"/>
    <x v="1"/>
  </r>
  <r>
    <d v="2025-04-06T00:00:00"/>
    <x v="5"/>
    <n v="49500"/>
    <n v="0"/>
    <x v="1"/>
    <x v="1"/>
  </r>
  <r>
    <d v="2025-04-07T00:00:00"/>
    <x v="5"/>
    <n v="49500"/>
    <n v="0"/>
    <x v="1"/>
    <x v="1"/>
  </r>
  <r>
    <d v="2025-04-08T00:00:00"/>
    <x v="5"/>
    <n v="52650"/>
    <n v="3150"/>
    <x v="1"/>
    <x v="0"/>
  </r>
  <r>
    <d v="2025-04-09T00:00:00"/>
    <x v="5"/>
    <n v="51900"/>
    <n v="-750"/>
    <x v="1"/>
    <x v="1"/>
  </r>
  <r>
    <d v="2025-04-10T00:00:00"/>
    <x v="5"/>
    <n v="51150"/>
    <n v="-750"/>
    <x v="1"/>
    <x v="1"/>
  </r>
  <r>
    <d v="2025-04-11T00:00:00"/>
    <x v="5"/>
    <n v="49650"/>
    <n v="-1500"/>
    <x v="1"/>
    <x v="1"/>
  </r>
  <r>
    <d v="2025-04-12T00:00:00"/>
    <x v="5"/>
    <n v="49650"/>
    <n v="0"/>
    <x v="1"/>
    <x v="1"/>
  </r>
  <r>
    <d v="2025-04-13T00:00:00"/>
    <x v="5"/>
    <n v="49650"/>
    <n v="0"/>
    <x v="1"/>
    <x v="1"/>
  </r>
  <r>
    <d v="2025-04-14T00:00:00"/>
    <x v="5"/>
    <n v="49250"/>
    <n v="-400"/>
    <x v="1"/>
    <x v="0"/>
  </r>
  <r>
    <d v="2025-04-15T00:00:00"/>
    <x v="5"/>
    <n v="49250"/>
    <n v="0"/>
    <x v="1"/>
    <x v="1"/>
  </r>
  <r>
    <d v="2025-04-16T00:00:00"/>
    <x v="5"/>
    <n v="49250"/>
    <n v="0"/>
    <x v="1"/>
    <x v="1"/>
  </r>
  <r>
    <d v="2025-04-17T00:00:00"/>
    <x v="5"/>
    <n v="49000"/>
    <n v="-250"/>
    <x v="1"/>
    <x v="1"/>
  </r>
  <r>
    <d v="2025-04-18T00:00:00"/>
    <x v="5"/>
    <n v="49000"/>
    <n v="0"/>
    <x v="1"/>
    <x v="1"/>
  </r>
  <r>
    <d v="2025-04-19T00:00:00"/>
    <x v="5"/>
    <n v="49000"/>
    <n v="0"/>
    <x v="1"/>
    <x v="0"/>
  </r>
  <r>
    <d v="2025-04-21T00:00:00"/>
    <x v="5"/>
    <n v="48750"/>
    <m/>
    <x v="1"/>
    <x v="1"/>
  </r>
  <r>
    <d v="2025-04-22T00:00:00"/>
    <x v="5"/>
    <n v="48750"/>
    <n v="0"/>
    <x v="1"/>
    <x v="1"/>
  </r>
  <r>
    <d v="2025-04-23T00:00:00"/>
    <x v="5"/>
    <n v="48750"/>
    <n v="0"/>
    <x v="1"/>
    <x v="0"/>
  </r>
  <r>
    <d v="2025-04-24T00:00:00"/>
    <x v="5"/>
    <n v="48150"/>
    <n v="-600"/>
    <x v="1"/>
    <x v="1"/>
  </r>
  <r>
    <d v="2025-04-25T00:00:00"/>
    <x v="5"/>
    <n v="48150"/>
    <n v="0"/>
    <x v="1"/>
    <x v="0"/>
  </r>
  <r>
    <d v="2025-04-26T00:00:00"/>
    <x v="5"/>
    <n v="48150"/>
    <n v="0"/>
    <x v="1"/>
    <x v="0"/>
  </r>
  <r>
    <d v="2025-04-27T00:00:00"/>
    <x v="5"/>
    <n v="48150"/>
    <n v="0"/>
    <x v="1"/>
    <x v="1"/>
  </r>
  <r>
    <d v="2025-04-28T00:00:00"/>
    <x v="5"/>
    <n v="46250"/>
    <n v="-1900"/>
    <x v="1"/>
    <x v="1"/>
  </r>
  <r>
    <d v="2025-04-29T00:00:00"/>
    <x v="5"/>
    <n v="46000"/>
    <n v="-250"/>
    <x v="1"/>
    <x v="1"/>
  </r>
  <r>
    <d v="2025-04-30T00:00:00"/>
    <x v="5"/>
    <n v="46650"/>
    <n v="650"/>
    <x v="1"/>
    <x v="1"/>
  </r>
  <r>
    <d v="2025-05-01T00:00:00"/>
    <x v="5"/>
    <n v="46650"/>
    <n v="0"/>
    <x v="1"/>
    <x v="0"/>
  </r>
  <r>
    <d v="2025-05-02T00:00:00"/>
    <x v="5"/>
    <n v="45500"/>
    <n v="-1150"/>
    <x v="1"/>
    <x v="1"/>
  </r>
  <r>
    <d v="2025-05-03T00:00:00"/>
    <x v="5"/>
    <n v="45500"/>
    <n v="0"/>
    <x v="1"/>
    <x v="1"/>
  </r>
  <r>
    <d v="2025-05-04T00:00:00"/>
    <x v="5"/>
    <n v="45500"/>
    <n v="0"/>
    <x v="1"/>
    <x v="0"/>
  </r>
  <r>
    <d v="2025-05-05T00:00:00"/>
    <x v="5"/>
    <n v="43650"/>
    <n v="-1850"/>
    <x v="1"/>
    <x v="1"/>
  </r>
  <r>
    <d v="2025-05-06T00:00:00"/>
    <x v="5"/>
    <n v="43650"/>
    <n v="0"/>
    <x v="1"/>
    <x v="1"/>
  </r>
  <r>
    <d v="2025-05-07T00:00:00"/>
    <x v="5"/>
    <n v="43650"/>
    <n v="0"/>
    <x v="1"/>
    <x v="1"/>
  </r>
  <r>
    <d v="2025-05-08T00:00:00"/>
    <x v="5"/>
    <n v="43650"/>
    <n v="0"/>
    <x v="1"/>
    <x v="1"/>
  </r>
  <r>
    <d v="2025-05-09T00:00:00"/>
    <x v="5"/>
    <n v="43750"/>
    <n v="100"/>
    <x v="1"/>
    <x v="1"/>
  </r>
  <r>
    <d v="2025-05-10T00:00:00"/>
    <x v="5"/>
    <n v="43750"/>
    <n v="0"/>
    <x v="1"/>
    <x v="1"/>
  </r>
  <r>
    <d v="2025-05-11T00:00:00"/>
    <x v="5"/>
    <n v="43750"/>
    <n v="0"/>
    <x v="1"/>
    <x v="1"/>
  </r>
  <r>
    <d v="2025-05-12T00:00:00"/>
    <x v="5"/>
    <n v="43750"/>
    <n v="0"/>
    <x v="1"/>
    <x v="1"/>
  </r>
  <r>
    <d v="2025-05-13T00:00:00"/>
    <x v="5"/>
    <n v="41900"/>
    <n v="-1850"/>
    <x v="1"/>
    <x v="1"/>
  </r>
  <r>
    <d v="2025-05-14T00:00:00"/>
    <x v="5"/>
    <n v="43150"/>
    <n v="1250"/>
    <x v="1"/>
    <x v="1"/>
  </r>
  <r>
    <d v="2025-05-15T00:00:00"/>
    <x v="5"/>
    <n v="43650"/>
    <n v="500"/>
    <x v="1"/>
    <x v="1"/>
  </r>
  <r>
    <d v="2025-05-16T00:00:00"/>
    <x v="5"/>
    <n v="43400"/>
    <n v="-250"/>
    <x v="1"/>
    <x v="1"/>
  </r>
  <r>
    <d v="2025-05-19T00:00:00"/>
    <x v="5"/>
    <n v="44500"/>
    <m/>
    <x v="1"/>
    <x v="1"/>
  </r>
  <r>
    <d v="2025-05-20T00:00:00"/>
    <x v="5"/>
    <n v="44250"/>
    <n v="-250"/>
    <x v="1"/>
    <x v="1"/>
  </r>
  <r>
    <d v="2025-05-21T00:00:00"/>
    <x v="5"/>
    <n v="44250"/>
    <n v="0"/>
    <x v="1"/>
    <x v="1"/>
  </r>
  <r>
    <d v="2025-05-22T00:00:00"/>
    <x v="5"/>
    <n v="44000"/>
    <n v="-250"/>
    <x v="1"/>
    <x v="1"/>
  </r>
  <r>
    <d v="2025-05-23T00:00:00"/>
    <x v="5"/>
    <n v="43750"/>
    <n v="-250"/>
    <x v="1"/>
    <x v="1"/>
  </r>
  <r>
    <d v="2025-05-24T00:00:00"/>
    <x v="5"/>
    <n v="43750"/>
    <n v="0"/>
    <x v="1"/>
    <x v="1"/>
  </r>
  <r>
    <d v="2025-05-26T00:00:00"/>
    <x v="5"/>
    <n v="43650"/>
    <m/>
    <x v="1"/>
    <x v="1"/>
  </r>
  <r>
    <d v="2025-05-27T00:00:00"/>
    <x v="5"/>
    <n v="43650"/>
    <n v="0"/>
    <x v="1"/>
    <x v="1"/>
  </r>
  <r>
    <d v="2025-05-28T00:00:00"/>
    <x v="5"/>
    <n v="45500"/>
    <n v="1850"/>
    <x v="1"/>
    <x v="1"/>
  </r>
  <r>
    <d v="2025-05-29T00:00:00"/>
    <x v="5"/>
    <n v="45500"/>
    <n v="0"/>
    <x v="1"/>
    <x v="0"/>
  </r>
  <r>
    <d v="2025-05-30T00:00:00"/>
    <x v="5"/>
    <n v="45500"/>
    <n v="0"/>
    <x v="1"/>
    <x v="1"/>
  </r>
  <r>
    <d v="2025-05-31T00:00:00"/>
    <x v="5"/>
    <n v="45500"/>
    <n v="0"/>
    <x v="1"/>
    <x v="1"/>
  </r>
  <r>
    <d v="2025-06-01T00:00:00"/>
    <x v="5"/>
    <n v="45500"/>
    <n v="0"/>
    <x v="1"/>
    <x v="1"/>
  </r>
  <r>
    <d v="2025-06-02T00:00:00"/>
    <x v="5"/>
    <n v="49150"/>
    <n v="3650"/>
    <x v="1"/>
    <x v="0"/>
  </r>
  <r>
    <d v="2025-06-03T00:00:00"/>
    <x v="5"/>
    <n v="48900"/>
    <n v="-250"/>
    <x v="1"/>
    <x v="0"/>
  </r>
  <r>
    <d v="2025-06-04T00:00:00"/>
    <x v="5"/>
    <n v="49650"/>
    <n v="750"/>
    <x v="1"/>
    <x v="1"/>
  </r>
  <r>
    <d v="2025-06-05T00:00:00"/>
    <x v="5"/>
    <n v="49000"/>
    <n v="-650"/>
    <x v="1"/>
    <x v="1"/>
  </r>
  <r>
    <d v="2025-06-06T00:00:00"/>
    <x v="5"/>
    <n v="49000"/>
    <n v="0"/>
    <x v="1"/>
    <x v="1"/>
  </r>
  <r>
    <d v="2025-06-07T00:00:00"/>
    <x v="5"/>
    <n v="49000"/>
    <n v="0"/>
    <x v="1"/>
    <x v="1"/>
  </r>
  <r>
    <d v="2025-06-08T00:00:00"/>
    <x v="5"/>
    <n v="49000"/>
    <n v="0"/>
    <x v="1"/>
    <x v="1"/>
  </r>
  <r>
    <d v="2025-06-09T00:00:00"/>
    <x v="5"/>
    <n v="49000"/>
    <n v="0"/>
    <x v="1"/>
    <x v="1"/>
  </r>
  <r>
    <d v="2025-06-10T00:00:00"/>
    <x v="5"/>
    <n v="49000"/>
    <n v="0"/>
    <x v="1"/>
    <x v="1"/>
  </r>
  <r>
    <d v="2025-06-11T00:00:00"/>
    <x v="5"/>
    <n v="48250"/>
    <n v="-750"/>
    <x v="1"/>
    <x v="1"/>
  </r>
  <r>
    <d v="2025-06-12T00:00:00"/>
    <x v="5"/>
    <n v="49150"/>
    <n v="900"/>
    <x v="1"/>
    <x v="1"/>
  </r>
  <r>
    <d v="2025-06-13T00:00:00"/>
    <x v="5"/>
    <n v="48250"/>
    <n v="-900"/>
    <x v="1"/>
    <x v="1"/>
  </r>
  <r>
    <d v="2025-06-14T00:00:00"/>
    <x v="5"/>
    <n v="48250"/>
    <n v="0"/>
    <x v="1"/>
    <x v="1"/>
  </r>
  <r>
    <d v="2025-06-15T00:00:00"/>
    <x v="5"/>
    <n v="48250"/>
    <n v="0"/>
    <x v="1"/>
    <x v="1"/>
  </r>
  <r>
    <d v="2025-06-16T00:00:00"/>
    <x v="5"/>
    <n v="54150"/>
    <n v="5900"/>
    <x v="1"/>
    <x v="1"/>
  </r>
  <r>
    <d v="2025-06-17T00:00:00"/>
    <x v="5"/>
    <n v="54650"/>
    <n v="500"/>
    <x v="1"/>
    <x v="1"/>
  </r>
  <r>
    <d v="2025-06-18T00:00:00"/>
    <x v="5"/>
    <n v="55250"/>
    <n v="600"/>
    <x v="1"/>
    <x v="0"/>
  </r>
  <r>
    <d v="2025-06-19T00:00:00"/>
    <x v="5"/>
    <n v="55250"/>
    <n v="0"/>
    <x v="1"/>
    <x v="1"/>
  </r>
  <r>
    <d v="2025-06-20T00:00:00"/>
    <x v="5"/>
    <n v="57500"/>
    <n v="2250"/>
    <x v="1"/>
    <x v="1"/>
  </r>
  <r>
    <d v="2025-06-21T00:00:00"/>
    <x v="5"/>
    <n v="57500"/>
    <n v="0"/>
    <x v="1"/>
    <x v="0"/>
  </r>
  <r>
    <d v="2025-06-22T00:00:00"/>
    <x v="5"/>
    <n v="57500"/>
    <n v="0"/>
    <x v="1"/>
    <x v="1"/>
  </r>
  <r>
    <d v="2025-06-23T00:00:00"/>
    <x v="5"/>
    <n v="58150"/>
    <n v="650"/>
    <x v="1"/>
    <x v="1"/>
  </r>
  <r>
    <d v="2025-06-24T00:00:00"/>
    <x v="5"/>
    <n v="57650"/>
    <n v="-500"/>
    <x v="1"/>
    <x v="1"/>
  </r>
  <r>
    <d v="2025-06-25T00:00:00"/>
    <x v="5"/>
    <n v="57650"/>
    <n v="0"/>
    <x v="1"/>
    <x v="0"/>
  </r>
  <r>
    <d v="2025-06-26T00:00:00"/>
    <x v="5"/>
    <n v="57650"/>
    <n v="0"/>
    <x v="1"/>
    <x v="0"/>
  </r>
  <r>
    <d v="2025-06-27T00:00:00"/>
    <x v="5"/>
    <n v="57650"/>
    <n v="0"/>
    <x v="1"/>
    <x v="1"/>
  </r>
  <r>
    <d v="2025-06-28T00:00:00"/>
    <x v="5"/>
    <n v="57650"/>
    <n v="0"/>
    <x v="1"/>
    <x v="1"/>
  </r>
  <r>
    <d v="2025-06-29T00:00:00"/>
    <x v="5"/>
    <n v="57650"/>
    <n v="0"/>
    <x v="1"/>
    <x v="1"/>
  </r>
  <r>
    <d v="2025-06-30T00:00:00"/>
    <x v="5"/>
    <n v="55650"/>
    <n v="-2000"/>
    <x v="1"/>
    <x v="1"/>
  </r>
  <r>
    <d v="2025-07-01T00:00:00"/>
    <x v="5"/>
    <n v="54500"/>
    <n v="-1150"/>
    <x v="1"/>
    <x v="1"/>
  </r>
  <r>
    <d v="2025-07-02T00:00:00"/>
    <x v="5"/>
    <n v="54500"/>
    <n v="0"/>
    <x v="1"/>
    <x v="1"/>
  </r>
  <r>
    <d v="2025-07-03T00:00:00"/>
    <x v="5"/>
    <n v="54500"/>
    <n v="0"/>
    <x v="1"/>
    <x v="1"/>
  </r>
  <r>
    <d v="2025-07-04T00:00:00"/>
    <x v="5"/>
    <n v="55150"/>
    <n v="650"/>
    <x v="1"/>
    <x v="0"/>
  </r>
  <r>
    <d v="2025-07-05T00:00:00"/>
    <x v="5"/>
    <n v="55150"/>
    <n v="0"/>
    <x v="1"/>
    <x v="1"/>
  </r>
  <r>
    <d v="2025-07-06T00:00:00"/>
    <x v="5"/>
    <n v="55150"/>
    <n v="0"/>
    <x v="1"/>
    <x v="0"/>
  </r>
  <r>
    <d v="2025-07-07T00:00:00"/>
    <x v="5"/>
    <n v="53900"/>
    <n v="-1250"/>
    <x v="1"/>
    <x v="0"/>
  </r>
  <r>
    <d v="2025-07-08T00:00:00"/>
    <x v="5"/>
    <n v="53900"/>
    <n v="0"/>
    <x v="1"/>
    <x v="1"/>
  </r>
  <r>
    <d v="2025-07-09T00:00:00"/>
    <x v="5"/>
    <n v="53900"/>
    <n v="0"/>
    <x v="1"/>
    <x v="1"/>
  </r>
  <r>
    <d v="2025-07-10T00:00:00"/>
    <x v="5"/>
    <n v="55150"/>
    <n v="1250"/>
    <x v="1"/>
    <x v="1"/>
  </r>
  <r>
    <d v="2025-07-11T00:00:00"/>
    <x v="5"/>
    <n v="55150"/>
    <n v="0"/>
    <x v="1"/>
    <x v="0"/>
  </r>
  <r>
    <d v="2025-07-12T00:00:00"/>
    <x v="5"/>
    <n v="55150"/>
    <n v="0"/>
    <x v="1"/>
    <x v="1"/>
  </r>
  <r>
    <d v="2025-07-13T00:00:00"/>
    <x v="5"/>
    <n v="55150"/>
    <n v="0"/>
    <x v="1"/>
    <x v="1"/>
  </r>
  <r>
    <d v="2025-07-14T00:00:00"/>
    <x v="5"/>
    <n v="55900"/>
    <n v="750"/>
    <x v="1"/>
    <x v="0"/>
  </r>
  <r>
    <d v="2025-07-15T00:00:00"/>
    <x v="5"/>
    <n v="54650"/>
    <n v="-1250"/>
    <x v="1"/>
    <x v="0"/>
  </r>
  <r>
    <d v="2025-07-16T00:00:00"/>
    <x v="5"/>
    <n v="55250"/>
    <n v="600"/>
    <x v="1"/>
    <x v="0"/>
  </r>
  <r>
    <d v="2025-07-17T00:00:00"/>
    <x v="5"/>
    <n v="55250"/>
    <n v="0"/>
    <x v="1"/>
    <x v="1"/>
  </r>
  <r>
    <d v="2025-07-18T00:00:00"/>
    <x v="5"/>
    <n v="55250"/>
    <n v="0"/>
    <x v="1"/>
    <x v="1"/>
  </r>
  <r>
    <d v="2025-07-19T00:00:00"/>
    <x v="5"/>
    <n v="55250"/>
    <n v="0"/>
    <x v="1"/>
    <x v="1"/>
  </r>
  <r>
    <d v="2025-07-20T00:00:00"/>
    <x v="5"/>
    <n v="55250"/>
    <n v="0"/>
    <x v="1"/>
    <x v="1"/>
  </r>
  <r>
    <d v="2025-07-21T00:00:00"/>
    <x v="5"/>
    <n v="56000"/>
    <n v="750"/>
    <x v="1"/>
    <x v="1"/>
  </r>
  <r>
    <d v="2025-07-22T00:00:00"/>
    <x v="5"/>
    <n v="55650"/>
    <n v="-350"/>
    <x v="1"/>
    <x v="1"/>
  </r>
  <r>
    <d v="2025-07-23T00:00:00"/>
    <x v="5"/>
    <n v="56650"/>
    <n v="1000"/>
    <x v="1"/>
    <x v="1"/>
  </r>
  <r>
    <d v="2025-07-24T00:00:00"/>
    <x v="5"/>
    <n v="54900"/>
    <n v="-1750"/>
    <x v="1"/>
    <x v="1"/>
  </r>
  <r>
    <d v="2025-07-25T00:00:00"/>
    <x v="5"/>
    <n v="56000"/>
    <n v="1100"/>
    <x v="1"/>
    <x v="1"/>
  </r>
  <r>
    <d v="2025-07-26T00:00:00"/>
    <x v="5"/>
    <n v="56000"/>
    <n v="0"/>
    <x v="1"/>
    <x v="1"/>
  </r>
  <r>
    <d v="2025-07-27T00:00:00"/>
    <x v="5"/>
    <n v="56000"/>
    <n v="0"/>
    <x v="1"/>
    <x v="1"/>
  </r>
  <r>
    <d v="2025-07-28T00:00:00"/>
    <x v="5"/>
    <n v="60750"/>
    <n v="4750"/>
    <x v="1"/>
    <x v="1"/>
  </r>
  <r>
    <d v="2025-07-29T00:00:00"/>
    <x v="5"/>
    <n v="61900"/>
    <n v="1150"/>
    <x v="1"/>
    <x v="1"/>
  </r>
  <r>
    <d v="2025-07-30T00:00:00"/>
    <x v="5"/>
    <n v="64900"/>
    <n v="3000"/>
    <x v="1"/>
    <x v="1"/>
  </r>
  <r>
    <d v="2025-07-31T00:00:00"/>
    <x v="5"/>
    <n v="66900"/>
    <n v="2000"/>
    <x v="1"/>
    <x v="1"/>
  </r>
  <r>
    <d v="2025-08-01T00:00:00"/>
    <x v="5"/>
    <n v="68000"/>
    <n v="1100"/>
    <x v="1"/>
    <x v="1"/>
  </r>
  <r>
    <d v="2025-08-02T00:00:00"/>
    <x v="5"/>
    <n v="68000"/>
    <n v="0"/>
    <x v="1"/>
    <x v="0"/>
  </r>
  <r>
    <d v="2025-08-03T00:00:00"/>
    <x v="5"/>
    <n v="68000"/>
    <n v="0"/>
    <x v="1"/>
    <x v="1"/>
  </r>
  <r>
    <d v="2025-08-04T00:00:00"/>
    <x v="5"/>
    <n v="67750"/>
    <n v="-250"/>
    <x v="1"/>
    <x v="0"/>
  </r>
  <r>
    <d v="2025-08-05T00:00:00"/>
    <x v="5"/>
    <n v="67500"/>
    <n v="-250"/>
    <x v="1"/>
    <x v="0"/>
  </r>
  <r>
    <d v="2025-08-06T00:00:00"/>
    <x v="5"/>
    <n v="67750"/>
    <n v="250"/>
    <x v="1"/>
    <x v="0"/>
  </r>
  <r>
    <d v="2025-08-07T00:00:00"/>
    <x v="5"/>
    <n v="68150"/>
    <n v="400"/>
    <x v="1"/>
    <x v="1"/>
  </r>
  <r>
    <d v="2025-08-08T00:00:00"/>
    <x v="5"/>
    <n v="67750"/>
    <n v="-400"/>
    <x v="1"/>
    <x v="1"/>
  </r>
  <r>
    <d v="2025-08-09T00:00:00"/>
    <x v="5"/>
    <n v="67750"/>
    <n v="0"/>
    <x v="1"/>
    <x v="1"/>
  </r>
  <r>
    <d v="2025-08-10T00:00:00"/>
    <x v="5"/>
    <n v="67750"/>
    <n v="0"/>
    <x v="1"/>
    <x v="1"/>
  </r>
  <r>
    <d v="2025-08-11T00:00:00"/>
    <x v="5"/>
    <n v="67250"/>
    <n v="-500"/>
    <x v="1"/>
    <x v="1"/>
  </r>
  <r>
    <d v="2025-08-12T00:00:00"/>
    <x v="5"/>
    <n v="66900"/>
    <n v="-350"/>
    <x v="1"/>
    <x v="1"/>
  </r>
  <r>
    <d v="2025-08-13T00:00:00"/>
    <x v="5"/>
    <n v="68500"/>
    <n v="1600"/>
    <x v="1"/>
    <x v="1"/>
  </r>
  <r>
    <d v="2025-08-14T00:00:00"/>
    <x v="5"/>
    <n v="68500"/>
    <n v="0"/>
    <x v="1"/>
    <x v="1"/>
  </r>
  <r>
    <d v="2025-08-15T00:00:00"/>
    <x v="5"/>
    <n v="68000"/>
    <n v="-500"/>
    <x v="1"/>
    <x v="1"/>
  </r>
  <r>
    <d v="2025-08-16T00:00:00"/>
    <x v="5"/>
    <n v="68000"/>
    <n v="0"/>
    <x v="1"/>
    <x v="1"/>
  </r>
  <r>
    <d v="2025-08-17T00:00:00"/>
    <x v="5"/>
    <n v="68000"/>
    <n v="0"/>
    <x v="1"/>
    <x v="1"/>
  </r>
  <r>
    <d v="2025-08-18T00:00:00"/>
    <x v="5"/>
    <n v="68000"/>
    <n v="0"/>
    <x v="1"/>
    <x v="1"/>
  </r>
  <r>
    <d v="2025-08-19T00:00:00"/>
    <x v="5"/>
    <n v="66650"/>
    <n v="-1350"/>
    <x v="1"/>
    <x v="0"/>
  </r>
  <r>
    <d v="2025-08-20T00:00:00"/>
    <x v="5"/>
    <n v="67150"/>
    <n v="500"/>
    <x v="1"/>
    <x v="0"/>
  </r>
  <r>
    <d v="2025-08-21T00:00:00"/>
    <x v="5"/>
    <n v="65900"/>
    <n v="-1250"/>
    <x v="1"/>
    <x v="0"/>
  </r>
  <r>
    <d v="2025-08-22T00:00:00"/>
    <x v="5"/>
    <n v="64900"/>
    <n v="-1000"/>
    <x v="1"/>
    <x v="1"/>
  </r>
  <r>
    <d v="2025-08-23T00:00:00"/>
    <x v="5"/>
    <n v="64900"/>
    <n v="0"/>
    <x v="1"/>
    <x v="0"/>
  </r>
  <r>
    <d v="2025-08-24T00:00:00"/>
    <x v="5"/>
    <n v="64900"/>
    <n v="0"/>
    <x v="1"/>
    <x v="1"/>
  </r>
  <r>
    <d v="2025-08-25T00:00:00"/>
    <x v="5"/>
    <n v="57500"/>
    <n v="-7400"/>
    <x v="1"/>
    <x v="1"/>
  </r>
  <r>
    <d v="2025-08-26T00:00:00"/>
    <x v="5"/>
    <n v="57000"/>
    <n v="-500"/>
    <x v="1"/>
    <x v="1"/>
  </r>
  <r>
    <d v="2025-08-27T00:00:00"/>
    <x v="5"/>
    <n v="59650"/>
    <n v="2650"/>
    <x v="1"/>
    <x v="1"/>
  </r>
  <r>
    <d v="2025-08-28T00:00:00"/>
    <x v="5"/>
    <n v="60250"/>
    <n v="600"/>
    <x v="1"/>
    <x v="1"/>
  </r>
  <r>
    <d v="2025-08-29T00:00:00"/>
    <x v="5"/>
    <n v="59250"/>
    <n v="-1000"/>
    <x v="1"/>
    <x v="1"/>
  </r>
  <r>
    <d v="2025-08-30T00:00:00"/>
    <x v="5"/>
    <n v="59250"/>
    <n v="0"/>
    <x v="1"/>
    <x v="1"/>
  </r>
  <r>
    <d v="2025-08-31T00:00:00"/>
    <x v="5"/>
    <n v="59250"/>
    <n v="0"/>
    <x v="1"/>
    <x v="1"/>
  </r>
  <r>
    <d v="2025-09-01T00:00:00"/>
    <x v="5"/>
    <n v="58000"/>
    <n v="-1250"/>
    <x v="1"/>
    <x v="1"/>
  </r>
  <r>
    <d v="2025-09-02T00:00:00"/>
    <x v="5"/>
    <n v="54750"/>
    <n v="-3250"/>
    <x v="1"/>
    <x v="1"/>
  </r>
  <r>
    <d v="2025-09-03T00:00:00"/>
    <x v="5"/>
    <n v="55250"/>
    <n v="500"/>
    <x v="1"/>
    <x v="0"/>
  </r>
  <r>
    <d v="2025-09-04T00:00:00"/>
    <x v="5"/>
    <n v="53900"/>
    <n v="-1350"/>
    <x v="1"/>
    <x v="1"/>
  </r>
  <r>
    <d v="2025-09-05T00:00:00"/>
    <x v="5"/>
    <n v="53900"/>
    <n v="0"/>
    <x v="1"/>
    <x v="0"/>
  </r>
  <r>
    <d v="2025-09-06T00:00:00"/>
    <x v="5"/>
    <n v="53900"/>
    <n v="0"/>
    <x v="1"/>
    <x v="0"/>
  </r>
  <r>
    <d v="2025-09-07T00:00:00"/>
    <x v="5"/>
    <n v="53900"/>
    <n v="0"/>
    <x v="1"/>
    <x v="1"/>
  </r>
  <r>
    <d v="2025-09-08T00:00:00"/>
    <x v="5"/>
    <n v="51400"/>
    <n v="-2500"/>
    <x v="1"/>
    <x v="1"/>
  </r>
  <r>
    <d v="2025-09-09T00:00:00"/>
    <x v="5"/>
    <n v="50250"/>
    <n v="-1150"/>
    <x v="1"/>
    <x v="0"/>
  </r>
  <r>
    <d v="2025-09-10T00:00:00"/>
    <x v="5"/>
    <n v="49750"/>
    <n v="-500"/>
    <x v="1"/>
    <x v="1"/>
  </r>
  <r>
    <d v="2025-09-11T00:00:00"/>
    <x v="5"/>
    <n v="49150"/>
    <n v="-600"/>
    <x v="1"/>
    <x v="1"/>
  </r>
  <r>
    <d v="2025-09-12T00:00:00"/>
    <x v="5"/>
    <n v="48500"/>
    <n v="-650"/>
    <x v="1"/>
    <x v="1"/>
  </r>
  <r>
    <d v="2025-09-13T00:00:00"/>
    <x v="5"/>
    <n v="48500"/>
    <n v="0"/>
    <x v="1"/>
    <x v="1"/>
  </r>
  <r>
    <d v="2025-09-14T00:00:00"/>
    <x v="5"/>
    <n v="48500"/>
    <n v="0"/>
    <x v="1"/>
    <x v="1"/>
  </r>
  <r>
    <d v="2025-09-15T00:00:00"/>
    <x v="5"/>
    <n v="48000"/>
    <n v="-500"/>
    <x v="1"/>
    <x v="0"/>
  </r>
  <r>
    <d v="2025-09-16T00:00:00"/>
    <x v="5"/>
    <n v="49900"/>
    <n v="1900"/>
    <x v="1"/>
    <x v="0"/>
  </r>
  <r>
    <d v="2025-09-17T00:00:00"/>
    <x v="5"/>
    <n v="49500"/>
    <n v="-400"/>
    <x v="1"/>
    <x v="0"/>
  </r>
  <r>
    <d v="2025-09-18T00:00:00"/>
    <x v="5"/>
    <n v="49000"/>
    <n v="-500"/>
    <x v="1"/>
    <x v="0"/>
  </r>
  <r>
    <d v="2025-09-19T00:00:00"/>
    <x v="5"/>
    <n v="49000"/>
    <n v="0"/>
    <x v="1"/>
    <x v="1"/>
  </r>
  <r>
    <d v="2025-09-20T00:00:00"/>
    <x v="5"/>
    <n v="49000"/>
    <n v="0"/>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4">
  <r>
    <x v="0"/>
    <n v="36000"/>
    <n v="1"/>
    <n v="1"/>
    <x v="0"/>
    <n v="3"/>
    <s v="False"/>
    <m/>
    <m/>
    <m/>
    <m/>
    <m/>
    <m/>
    <n v="115.818"/>
    <n v="0"/>
    <n v="13689.231449999999"/>
    <n v="27.22"/>
    <n v="15.89"/>
    <n v="83.85"/>
    <n v="2"/>
    <m/>
    <n v="0"/>
  </r>
  <r>
    <x v="1"/>
    <n v="35500"/>
    <n v="2"/>
    <n v="1"/>
    <x v="0"/>
    <n v="4"/>
    <s v="False"/>
    <m/>
    <m/>
    <n v="36000"/>
    <m/>
    <m/>
    <n v="-500"/>
    <n v="115.818"/>
    <n v="0"/>
    <n v="13884.78613"/>
    <n v="25.74"/>
    <n v="6.3"/>
    <n v="84.54"/>
    <n v="3"/>
    <s v="-Rp500"/>
    <n v="-1.39"/>
  </r>
  <r>
    <x v="2"/>
    <n v="35500"/>
    <n v="3"/>
    <n v="1"/>
    <x v="0"/>
    <n v="5"/>
    <s v="False"/>
    <m/>
    <m/>
    <n v="35500"/>
    <m/>
    <m/>
    <n v="0"/>
    <n v="115.818"/>
    <n v="0"/>
    <n v="13884.78613"/>
    <n v="27.17"/>
    <n v="5.98"/>
    <n v="80.17"/>
    <n v="4"/>
    <s v="-Rp500"/>
    <n v="-1.39"/>
  </r>
  <r>
    <x v="3"/>
    <n v="35500"/>
    <n v="4"/>
    <n v="1"/>
    <x v="0"/>
    <n v="6"/>
    <s v="False"/>
    <m/>
    <m/>
    <n v="35500"/>
    <m/>
    <m/>
    <n v="0"/>
    <n v="115.818"/>
    <n v="0"/>
    <n v="13884.78613"/>
    <n v="27.08"/>
    <n v="10.94"/>
    <n v="84.39"/>
    <n v="5"/>
    <s v="-Rp500"/>
    <n v="-1.39"/>
  </r>
  <r>
    <x v="4"/>
    <n v="35500"/>
    <n v="5"/>
    <n v="1"/>
    <x v="0"/>
    <n v="0"/>
    <s v="False"/>
    <m/>
    <m/>
    <n v="35500"/>
    <m/>
    <m/>
    <n v="0"/>
    <n v="115.818"/>
    <n v="0"/>
    <n v="13934.316409999999"/>
    <n v="27.13"/>
    <n v="1.1200000000000001"/>
    <n v="76.09"/>
    <n v="6"/>
    <s v="Rp0"/>
    <n v="0"/>
  </r>
  <r>
    <x v="5"/>
    <n v="36000"/>
    <n v="6"/>
    <n v="1"/>
    <x v="0"/>
    <n v="1"/>
    <s v="False"/>
    <m/>
    <m/>
    <n v="35500"/>
    <m/>
    <m/>
    <n v="500"/>
    <n v="115.818"/>
    <n v="0"/>
    <n v="13926.5"/>
    <n v="26.67"/>
    <n v="22.5"/>
    <n v="81.650000000000006"/>
    <n v="7"/>
    <s v="Rp500"/>
    <n v="1.41"/>
  </r>
  <r>
    <x v="6"/>
    <n v="36000"/>
    <n v="7"/>
    <n v="1"/>
    <x v="0"/>
    <n v="2"/>
    <s v="False"/>
    <n v="35714.285714285717"/>
    <m/>
    <n v="36000"/>
    <m/>
    <m/>
    <n v="0"/>
    <n v="115.818"/>
    <n v="0"/>
    <n v="13867.23633"/>
    <n v="26.12"/>
    <n v="12.1"/>
    <n v="87.27"/>
    <n v="8"/>
    <s v="Rp0"/>
    <n v="0"/>
  </r>
  <r>
    <x v="7"/>
    <n v="36000"/>
    <n v="8"/>
    <n v="1"/>
    <x v="0"/>
    <n v="3"/>
    <s v="False"/>
    <n v="35714.285714285717"/>
    <m/>
    <n v="36000"/>
    <n v="36000"/>
    <m/>
    <n v="0"/>
    <n v="115.818"/>
    <n v="0"/>
    <n v="13886.93945"/>
    <n v="26.64"/>
    <n v="7.82"/>
    <n v="84.93"/>
    <n v="9"/>
    <s v="Rp0"/>
    <n v="0"/>
  </r>
  <r>
    <x v="8"/>
    <n v="36000"/>
    <n v="9"/>
    <n v="1"/>
    <x v="0"/>
    <n v="4"/>
    <s v="False"/>
    <n v="35785.714285714283"/>
    <m/>
    <n v="36000"/>
    <n v="35500"/>
    <m/>
    <n v="0"/>
    <n v="115.818"/>
    <n v="0"/>
    <n v="13827.56055"/>
    <n v="26.76"/>
    <n v="14.01"/>
    <n v="87.64"/>
    <n v="10"/>
    <s v="Rp0"/>
    <n v="0"/>
  </r>
  <r>
    <x v="9"/>
    <n v="36000"/>
    <n v="10"/>
    <n v="1"/>
    <x v="0"/>
    <n v="5"/>
    <s v="False"/>
    <n v="35857.142857142855"/>
    <m/>
    <n v="36000"/>
    <n v="35500"/>
    <m/>
    <n v="0"/>
    <n v="115.818"/>
    <n v="0"/>
    <n v="13827.56055"/>
    <n v="27.01"/>
    <n v="7.98"/>
    <n v="84.03"/>
    <n v="11"/>
    <s v="Rp0"/>
    <n v="0"/>
  </r>
  <r>
    <x v="10"/>
    <n v="36000"/>
    <n v="11"/>
    <n v="1"/>
    <x v="0"/>
    <n v="6"/>
    <s v="False"/>
    <n v="35928.571428571428"/>
    <m/>
    <n v="36000"/>
    <n v="35500"/>
    <m/>
    <n v="0"/>
    <n v="115.818"/>
    <n v="0"/>
    <n v="13827.56055"/>
    <n v="26.38"/>
    <n v="9.66"/>
    <n v="86.08"/>
    <n v="12"/>
    <s v="Rp0"/>
    <n v="0"/>
  </r>
  <r>
    <x v="11"/>
    <n v="39000"/>
    <n v="12"/>
    <n v="1"/>
    <x v="0"/>
    <n v="0"/>
    <s v="False"/>
    <n v="36428.571428571428"/>
    <m/>
    <n v="36000"/>
    <n v="35500"/>
    <m/>
    <n v="3000"/>
    <n v="115.818"/>
    <n v="0"/>
    <n v="13522.434569999999"/>
    <n v="26.63"/>
    <n v="0.78"/>
    <n v="84.52"/>
    <n v="13"/>
    <s v="Rp3000"/>
    <n v="8.33"/>
  </r>
  <r>
    <x v="12"/>
    <n v="39000"/>
    <n v="13"/>
    <n v="1"/>
    <x v="0"/>
    <n v="1"/>
    <s v="False"/>
    <n v="36857.142857142855"/>
    <m/>
    <n v="39000"/>
    <n v="36000"/>
    <m/>
    <n v="0"/>
    <n v="115.818"/>
    <n v="0"/>
    <n v="13665.304690000001"/>
    <n v="27.3"/>
    <n v="5.62"/>
    <n v="81.92"/>
    <n v="14"/>
    <s v="Rp0"/>
    <n v="0"/>
  </r>
  <r>
    <x v="13"/>
    <n v="42500"/>
    <n v="14"/>
    <n v="1"/>
    <x v="0"/>
    <n v="2"/>
    <s v="False"/>
    <n v="37785.714285714283"/>
    <m/>
    <n v="39000"/>
    <n v="36000"/>
    <m/>
    <n v="3500"/>
    <n v="115.818"/>
    <n v="0"/>
    <n v="13668.04004"/>
    <n v="27.41"/>
    <n v="1.61"/>
    <n v="81.8"/>
    <n v="15"/>
    <s v="Rp3500"/>
    <n v="8.9700000000000006"/>
  </r>
  <r>
    <x v="14"/>
    <n v="42000"/>
    <n v="15"/>
    <n v="1"/>
    <x v="0"/>
    <n v="3"/>
    <s v="False"/>
    <n v="38642.857142857145"/>
    <m/>
    <n v="42500"/>
    <n v="36000"/>
    <m/>
    <n v="-500"/>
    <n v="115.818"/>
    <n v="0"/>
    <n v="13665.096680000001"/>
    <n v="27.64"/>
    <n v="1.27"/>
    <n v="80.260000000000005"/>
    <n v="16"/>
    <s v="-Rp500"/>
    <n v="-1.18"/>
  </r>
  <r>
    <x v="15"/>
    <n v="43000"/>
    <n v="16"/>
    <n v="1"/>
    <x v="0"/>
    <n v="4"/>
    <s v="False"/>
    <n v="39642.857142857145"/>
    <m/>
    <n v="42000"/>
    <n v="36000"/>
    <m/>
    <n v="1000"/>
    <n v="115.818"/>
    <n v="0"/>
    <n v="13623"/>
    <n v="27.08"/>
    <n v="3.22"/>
    <n v="85.28"/>
    <n v="17"/>
    <s v="Rp1000"/>
    <n v="2.38"/>
  </r>
  <r>
    <x v="16"/>
    <n v="44000"/>
    <n v="19"/>
    <n v="1"/>
    <x v="0"/>
    <n v="0"/>
    <s v="False"/>
    <m/>
    <m/>
    <m/>
    <n v="39000"/>
    <m/>
    <m/>
    <n v="115.818"/>
    <n v="0"/>
    <n v="13456.98828"/>
    <n v="27.11"/>
    <n v="0.61"/>
    <n v="76.92"/>
    <n v="20"/>
    <s v="Rp1000"/>
    <n v="2.33"/>
  </r>
  <r>
    <x v="17"/>
    <n v="44000"/>
    <n v="20"/>
    <n v="1"/>
    <x v="0"/>
    <n v="1"/>
    <s v="False"/>
    <m/>
    <m/>
    <n v="44000"/>
    <n v="39000"/>
    <m/>
    <n v="0"/>
    <n v="115.818"/>
    <n v="0"/>
    <n v="13615"/>
    <n v="27.13"/>
    <n v="0.83"/>
    <n v="77.510000000000005"/>
    <n v="21"/>
    <s v="Rp0"/>
    <n v="0"/>
  </r>
  <r>
    <x v="18"/>
    <n v="43000"/>
    <n v="21"/>
    <n v="1"/>
    <x v="0"/>
    <n v="2"/>
    <s v="False"/>
    <m/>
    <m/>
    <n v="44000"/>
    <n v="42500"/>
    <m/>
    <n v="-1000"/>
    <n v="115.818"/>
    <n v="0"/>
    <n v="13651"/>
    <n v="26.97"/>
    <n v="0.31"/>
    <n v="76.760000000000005"/>
    <n v="22"/>
    <s v="-Rp1000"/>
    <n v="-2.27"/>
  </r>
  <r>
    <x v="19"/>
    <n v="43000"/>
    <n v="22"/>
    <n v="1"/>
    <x v="0"/>
    <n v="3"/>
    <s v="False"/>
    <m/>
    <m/>
    <n v="43000"/>
    <n v="42000"/>
    <m/>
    <n v="0"/>
    <n v="115.818"/>
    <n v="0"/>
    <n v="13626.38672"/>
    <n v="26.61"/>
    <n v="0.09"/>
    <n v="81.58"/>
    <n v="23"/>
    <s v="Rp0"/>
    <n v="0"/>
  </r>
  <r>
    <x v="20"/>
    <n v="43000"/>
    <n v="23"/>
    <n v="1"/>
    <x v="0"/>
    <n v="4"/>
    <s v="False"/>
    <m/>
    <m/>
    <n v="43000"/>
    <n v="43000"/>
    <m/>
    <n v="0"/>
    <n v="115.818"/>
    <n v="0"/>
    <n v="13609.188480000001"/>
    <n v="26.97"/>
    <n v="0.01"/>
    <n v="79.75"/>
    <n v="24"/>
    <s v="Rp0"/>
    <n v="0"/>
  </r>
  <r>
    <x v="21"/>
    <n v="45000"/>
    <n v="26"/>
    <n v="1"/>
    <x v="0"/>
    <n v="0"/>
    <s v="False"/>
    <m/>
    <m/>
    <m/>
    <n v="44000"/>
    <m/>
    <m/>
    <n v="115.818"/>
    <n v="0"/>
    <n v="13711.97363"/>
    <n v="27.65"/>
    <n v="0"/>
    <n v="75.62"/>
    <n v="27"/>
    <m/>
    <n v="0"/>
  </r>
  <r>
    <x v="22"/>
    <n v="44500"/>
    <n v="27"/>
    <n v="1"/>
    <x v="0"/>
    <n v="1"/>
    <s v="False"/>
    <m/>
    <m/>
    <n v="45000"/>
    <n v="44000"/>
    <m/>
    <n v="-500"/>
    <n v="115.818"/>
    <n v="0"/>
    <n v="13213.240229999999"/>
    <n v="27.32"/>
    <n v="0"/>
    <n v="75.430000000000007"/>
    <n v="28"/>
    <s v="-Rp500"/>
    <n v="-1.1100000000000001"/>
  </r>
  <r>
    <x v="23"/>
    <n v="46000"/>
    <n v="28"/>
    <n v="1"/>
    <x v="0"/>
    <n v="2"/>
    <s v="False"/>
    <m/>
    <m/>
    <n v="44500"/>
    <n v="43000"/>
    <m/>
    <n v="1500"/>
    <n v="115.818"/>
    <n v="0"/>
    <n v="13634"/>
    <n v="27.31"/>
    <n v="0.04"/>
    <n v="81.53"/>
    <n v="29"/>
    <s v="Rp1500"/>
    <n v="3.37"/>
  </r>
  <r>
    <x v="24"/>
    <n v="50000"/>
    <n v="29"/>
    <n v="1"/>
    <x v="0"/>
    <n v="3"/>
    <s v="False"/>
    <m/>
    <m/>
    <n v="46000"/>
    <n v="43000"/>
    <m/>
    <n v="4000"/>
    <n v="115.818"/>
    <n v="0"/>
    <n v="13614.014649999999"/>
    <n v="27.24"/>
    <n v="0.3"/>
    <n v="81.819999999999993"/>
    <n v="30"/>
    <s v="Rp4000"/>
    <n v="8.6999999999999993"/>
  </r>
  <r>
    <x v="25"/>
    <n v="50000"/>
    <n v="30"/>
    <n v="1"/>
    <x v="0"/>
    <n v="4"/>
    <s v="False"/>
    <m/>
    <m/>
    <n v="50000"/>
    <n v="43000"/>
    <m/>
    <n v="0"/>
    <n v="115.818"/>
    <n v="0"/>
    <n v="13643.18066"/>
    <n v="27.14"/>
    <n v="1.72"/>
    <n v="81.5"/>
    <n v="31"/>
    <s v="Rp0"/>
    <n v="0"/>
  </r>
  <r>
    <x v="26"/>
    <n v="50000"/>
    <n v="31"/>
    <n v="2"/>
    <x v="0"/>
    <n v="5"/>
    <s v="False"/>
    <m/>
    <m/>
    <n v="50000"/>
    <m/>
    <n v="36000"/>
    <n v="0"/>
    <n v="116.14"/>
    <n v="0.278022414"/>
    <n v="13643.18066"/>
    <n v="27.07"/>
    <n v="8.43"/>
    <n v="82.98"/>
    <n v="1"/>
    <s v="Rp0"/>
    <n v="0"/>
  </r>
  <r>
    <x v="27"/>
    <n v="50000"/>
    <n v="32"/>
    <n v="2"/>
    <x v="0"/>
    <n v="6"/>
    <s v="False"/>
    <n v="47928.571428571428"/>
    <m/>
    <n v="50000"/>
    <m/>
    <n v="35500"/>
    <n v="0"/>
    <n v="116.14"/>
    <n v="0.278022414"/>
    <n v="13643.18066"/>
    <n v="27.44"/>
    <n v="11.59"/>
    <n v="80.95"/>
    <n v="2"/>
    <s v="Rp0"/>
    <n v="0"/>
  </r>
  <r>
    <x v="28"/>
    <n v="56500"/>
    <n v="33"/>
    <n v="2"/>
    <x v="0"/>
    <n v="0"/>
    <s v="False"/>
    <n v="49571.428571428572"/>
    <m/>
    <n v="50000"/>
    <n v="45000"/>
    <n v="35500"/>
    <n v="6500"/>
    <n v="116.14"/>
    <n v="0.278022414"/>
    <n v="13633.12695"/>
    <n v="26.85"/>
    <n v="46.08"/>
    <n v="86.21"/>
    <n v="3"/>
    <s v="Rp6500"/>
    <n v="13"/>
  </r>
  <r>
    <x v="29"/>
    <n v="56750"/>
    <n v="34"/>
    <n v="2"/>
    <x v="0"/>
    <n v="1"/>
    <s v="False"/>
    <n v="51321.428571428572"/>
    <m/>
    <n v="56500"/>
    <n v="44500"/>
    <n v="35500"/>
    <n v="250"/>
    <n v="116.14"/>
    <n v="0.278022414"/>
    <n v="13735.5"/>
    <n v="26.98"/>
    <n v="5.24"/>
    <n v="80.97"/>
    <n v="4"/>
    <s v="Rp250"/>
    <n v="0.44"/>
  </r>
  <r>
    <x v="30"/>
    <n v="56500"/>
    <n v="35"/>
    <n v="2"/>
    <x v="0"/>
    <n v="2"/>
    <s v="False"/>
    <n v="52821.428571428572"/>
    <m/>
    <n v="56750"/>
    <n v="46000"/>
    <n v="35500"/>
    <n v="-250"/>
    <n v="116.14"/>
    <n v="0.278022414"/>
    <n v="13702.407230000001"/>
    <n v="27.15"/>
    <n v="0.37"/>
    <n v="79.489999999999995"/>
    <n v="5"/>
    <s v="-Rp250"/>
    <n v="-0.44"/>
  </r>
  <r>
    <x v="31"/>
    <n v="56500"/>
    <n v="36"/>
    <n v="2"/>
    <x v="0"/>
    <n v="3"/>
    <s v="False"/>
    <n v="53750"/>
    <m/>
    <n v="56500"/>
    <n v="50000"/>
    <n v="36000"/>
    <n v="0"/>
    <n v="116.14"/>
    <n v="0.278022414"/>
    <n v="13668.26758"/>
    <n v="26.89"/>
    <n v="0.02"/>
    <n v="80.86"/>
    <n v="6"/>
    <s v="Rp0"/>
    <n v="0"/>
  </r>
  <r>
    <x v="32"/>
    <n v="57750"/>
    <n v="37"/>
    <n v="2"/>
    <x v="0"/>
    <n v="4"/>
    <s v="False"/>
    <n v="54857.142857142855"/>
    <m/>
    <n v="56500"/>
    <n v="50000"/>
    <n v="36000"/>
    <n v="1250"/>
    <n v="116.14"/>
    <n v="0.278022414"/>
    <n v="13698"/>
    <n v="27.1"/>
    <n v="0.11"/>
    <n v="78.55"/>
    <n v="7"/>
    <s v="Rp1250"/>
    <n v="2.21"/>
  </r>
  <r>
    <x v="33"/>
    <n v="57750"/>
    <n v="38"/>
    <n v="2"/>
    <x v="0"/>
    <n v="5"/>
    <s v="False"/>
    <n v="55964.285714285717"/>
    <m/>
    <n v="57750"/>
    <n v="50000"/>
    <n v="36000"/>
    <n v="0"/>
    <n v="116.14"/>
    <n v="0.278022414"/>
    <n v="13698"/>
    <n v="27.08"/>
    <n v="1.5"/>
    <n v="80.400000000000006"/>
    <n v="8"/>
    <s v="Rp1250"/>
    <n v="2.21"/>
  </r>
  <r>
    <x v="34"/>
    <n v="57750"/>
    <n v="39"/>
    <n v="2"/>
    <x v="0"/>
    <n v="6"/>
    <s v="False"/>
    <n v="57071.428571428572"/>
    <m/>
    <n v="57750"/>
    <n v="50000"/>
    <n v="36000"/>
    <n v="0"/>
    <n v="116.14"/>
    <n v="0.278022414"/>
    <n v="13698"/>
    <n v="27.23"/>
    <n v="0.3"/>
    <n v="77.13"/>
    <n v="9"/>
    <s v="Rp1250"/>
    <n v="2.21"/>
  </r>
  <r>
    <x v="35"/>
    <n v="57500"/>
    <n v="40"/>
    <n v="2"/>
    <x v="0"/>
    <n v="0"/>
    <s v="False"/>
    <n v="57214.285714285717"/>
    <m/>
    <n v="57750"/>
    <n v="56500"/>
    <n v="36000"/>
    <n v="-250"/>
    <n v="116.14"/>
    <n v="0.278022414"/>
    <n v="13675.853520000001"/>
    <n v="27.02"/>
    <n v="1.67"/>
    <n v="76.150000000000006"/>
    <n v="10"/>
    <s v="-Rp250"/>
    <n v="-0.43"/>
  </r>
  <r>
    <x v="36"/>
    <n v="57500"/>
    <n v="41"/>
    <n v="2"/>
    <x v="0"/>
    <n v="1"/>
    <s v="False"/>
    <n v="57321.428571428572"/>
    <m/>
    <n v="57500"/>
    <n v="56750"/>
    <n v="36000"/>
    <n v="0"/>
    <n v="116.14"/>
    <n v="0.278022414"/>
    <n v="13691.589840000001"/>
    <n v="27"/>
    <n v="6.33"/>
    <n v="80.37"/>
    <n v="11"/>
    <s v="Rp0"/>
    <n v="0"/>
  </r>
  <r>
    <x v="37"/>
    <n v="56500"/>
    <n v="42"/>
    <n v="2"/>
    <x v="0"/>
    <n v="2"/>
    <s v="False"/>
    <n v="57321.428571428572"/>
    <m/>
    <n v="57500"/>
    <n v="56500"/>
    <n v="39000"/>
    <n v="-1000"/>
    <n v="116.14"/>
    <n v="0.278022414"/>
    <n v="13657.55371"/>
    <n v="27.09"/>
    <n v="8.69"/>
    <n v="80.48"/>
    <n v="12"/>
    <s v="-Rp1000"/>
    <n v="-1.74"/>
  </r>
  <r>
    <x v="38"/>
    <n v="55500"/>
    <n v="43"/>
    <n v="2"/>
    <x v="0"/>
    <n v="3"/>
    <s v="False"/>
    <n v="57178.571428571428"/>
    <m/>
    <n v="56500"/>
    <n v="56500"/>
    <n v="39000"/>
    <n v="-1000"/>
    <n v="116.14"/>
    <n v="0.278022414"/>
    <n v="13500.737300000001"/>
    <n v="26.54"/>
    <n v="7.58"/>
    <n v="85.13"/>
    <n v="13"/>
    <s v="-Rp1000"/>
    <n v="-1.77"/>
  </r>
  <r>
    <x v="39"/>
    <n v="55500"/>
    <n v="44"/>
    <n v="2"/>
    <x v="0"/>
    <n v="4"/>
    <s v="False"/>
    <n v="56857.142857142855"/>
    <m/>
    <n v="55500"/>
    <n v="57750"/>
    <n v="42500"/>
    <n v="0"/>
    <n v="116.14"/>
    <n v="0.278022414"/>
    <n v="13695.400390000001"/>
    <n v="26.91"/>
    <n v="2.79"/>
    <n v="86.02"/>
    <n v="14"/>
    <s v="Rp0"/>
    <n v="0"/>
  </r>
  <r>
    <x v="40"/>
    <n v="54000"/>
    <n v="47"/>
    <n v="2"/>
    <x v="0"/>
    <n v="0"/>
    <s v="False"/>
    <m/>
    <m/>
    <m/>
    <n v="57500"/>
    <m/>
    <m/>
    <n v="116.14"/>
    <n v="0.278022414"/>
    <n v="13681.29004"/>
    <n v="26.95"/>
    <n v="0.14000000000000001"/>
    <n v="80.819999999999993"/>
    <n v="17"/>
    <s v="-Rp1500"/>
    <n v="-2.7"/>
  </r>
  <r>
    <x v="41"/>
    <n v="54000"/>
    <n v="48"/>
    <n v="2"/>
    <x v="0"/>
    <n v="1"/>
    <s v="False"/>
    <m/>
    <m/>
    <n v="54000"/>
    <n v="57500"/>
    <m/>
    <n v="0"/>
    <n v="116.14"/>
    <n v="0.278022414"/>
    <n v="13649.24121"/>
    <n v="27.04"/>
    <n v="0.51"/>
    <n v="79.98"/>
    <n v="18"/>
    <s v="Rp0"/>
    <n v="0"/>
  </r>
  <r>
    <x v="42"/>
    <n v="54000"/>
    <n v="49"/>
    <n v="2"/>
    <x v="0"/>
    <n v="2"/>
    <s v="False"/>
    <m/>
    <m/>
    <n v="54000"/>
    <n v="56500"/>
    <n v="44000"/>
    <n v="0"/>
    <n v="116.14"/>
    <n v="0.278022414"/>
    <n v="13768"/>
    <n v="26.75"/>
    <n v="0.81"/>
    <n v="80.510000000000005"/>
    <n v="19"/>
    <s v="Rp0"/>
    <n v="0"/>
  </r>
  <r>
    <x v="43"/>
    <n v="51750"/>
    <n v="50"/>
    <n v="2"/>
    <x v="0"/>
    <n v="3"/>
    <s v="False"/>
    <m/>
    <m/>
    <n v="54000"/>
    <n v="55500"/>
    <n v="44000"/>
    <n v="-2250"/>
    <n v="116.14"/>
    <n v="0.278022414"/>
    <n v="13762"/>
    <n v="26.92"/>
    <n v="1.74"/>
    <n v="78.58"/>
    <n v="20"/>
    <s v="-Rp2250"/>
    <n v="-4.17"/>
  </r>
  <r>
    <x v="44"/>
    <n v="52250"/>
    <n v="51"/>
    <n v="2"/>
    <x v="0"/>
    <n v="4"/>
    <s v="False"/>
    <m/>
    <m/>
    <n v="51750"/>
    <n v="55500"/>
    <n v="43000"/>
    <n v="500"/>
    <n v="116.14"/>
    <n v="0.278022414"/>
    <n v="13703.48242"/>
    <n v="26.88"/>
    <n v="1.26"/>
    <n v="77.19"/>
    <n v="21"/>
    <s v="Rp500"/>
    <n v="0.97"/>
  </r>
  <r>
    <x v="45"/>
    <n v="48500"/>
    <n v="54"/>
    <n v="2"/>
    <x v="0"/>
    <n v="0"/>
    <s v="False"/>
    <m/>
    <m/>
    <m/>
    <n v="54000"/>
    <m/>
    <m/>
    <n v="116.14"/>
    <n v="0.278022414"/>
    <n v="13771.48633"/>
    <n v="27.11"/>
    <n v="1.51"/>
    <n v="82.96"/>
    <n v="24"/>
    <s v="-Rp3750"/>
    <n v="-7.18"/>
  </r>
  <r>
    <x v="46"/>
    <n v="47000"/>
    <n v="55"/>
    <n v="2"/>
    <x v="0"/>
    <n v="1"/>
    <s v="False"/>
    <m/>
    <m/>
    <n v="48500"/>
    <n v="54000"/>
    <m/>
    <n v="-1500"/>
    <n v="116.14"/>
    <n v="0.278022414"/>
    <n v="13879.929690000001"/>
    <n v="27.04"/>
    <n v="3.37"/>
    <n v="85.36"/>
    <n v="25"/>
    <s v="-Rp1500"/>
    <n v="-3.09"/>
  </r>
  <r>
    <x v="47"/>
    <n v="45500"/>
    <n v="56"/>
    <n v="2"/>
    <x v="0"/>
    <n v="2"/>
    <s v="False"/>
    <m/>
    <m/>
    <n v="47000"/>
    <n v="54000"/>
    <n v="45000"/>
    <n v="-1500"/>
    <n v="116.14"/>
    <n v="0.278022414"/>
    <n v="14056.5"/>
    <n v="27.16"/>
    <n v="0.36"/>
    <n v="81.93"/>
    <n v="26"/>
    <s v="-Rp1500"/>
    <n v="-3.19"/>
  </r>
  <r>
    <x v="48"/>
    <n v="45000"/>
    <n v="57"/>
    <n v="2"/>
    <x v="0"/>
    <n v="3"/>
    <s v="False"/>
    <m/>
    <m/>
    <n v="45500"/>
    <n v="51750"/>
    <n v="44500"/>
    <n v="-500"/>
    <n v="116.14"/>
    <n v="0.278022414"/>
    <n v="13931"/>
    <n v="27.36"/>
    <n v="0.03"/>
    <n v="77.28"/>
    <n v="27"/>
    <s v="-Rp500"/>
    <n v="-1.1000000000000001"/>
  </r>
  <r>
    <x v="49"/>
    <n v="45000"/>
    <n v="58"/>
    <n v="2"/>
    <x v="0"/>
    <n v="4"/>
    <s v="False"/>
    <m/>
    <m/>
    <n v="45000"/>
    <n v="52250"/>
    <n v="46000"/>
    <n v="0"/>
    <n v="116.14"/>
    <n v="0.278022414"/>
    <n v="14316"/>
    <n v="27.32"/>
    <n v="0.89"/>
    <n v="81.61"/>
    <n v="28"/>
    <s v="Rp0"/>
    <n v="0"/>
  </r>
  <r>
    <x v="50"/>
    <n v="45000"/>
    <n v="59"/>
    <n v="2"/>
    <x v="0"/>
    <n v="5"/>
    <s v="False"/>
    <m/>
    <m/>
    <n v="45000"/>
    <m/>
    <n v="50000"/>
    <n v="0"/>
    <n v="116.14"/>
    <n v="0.278022414"/>
    <n v="14316"/>
    <n v="27.32"/>
    <n v="3.95"/>
    <n v="85.87"/>
    <n v="29"/>
    <s v="Rp0"/>
    <n v="0"/>
  </r>
  <r>
    <x v="51"/>
    <n v="45000"/>
    <n v="60"/>
    <n v="3"/>
    <x v="0"/>
    <n v="6"/>
    <s v="False"/>
    <n v="45857.142857142855"/>
    <m/>
    <n v="45000"/>
    <m/>
    <n v="50000"/>
    <n v="0"/>
    <n v="116.251"/>
    <n v="9.5574306999999997E-2"/>
    <n v="14316"/>
    <n v="27.35"/>
    <n v="15.07"/>
    <n v="86.41"/>
    <n v="1"/>
    <s v="Rp0"/>
    <n v="0"/>
  </r>
  <r>
    <x v="52"/>
    <n v="45000"/>
    <n v="61"/>
    <n v="3"/>
    <x v="0"/>
    <n v="0"/>
    <s v="False"/>
    <n v="45357.142857142855"/>
    <m/>
    <n v="45000"/>
    <n v="48500"/>
    <n v="50000"/>
    <n v="0"/>
    <n v="116.251"/>
    <n v="9.5574306999999997E-2"/>
    <n v="13971.96191"/>
    <n v="26.96"/>
    <n v="32.54"/>
    <n v="89.39"/>
    <n v="2"/>
    <s v="Rp0"/>
    <n v="0"/>
  </r>
  <r>
    <x v="53"/>
    <n v="45000"/>
    <n v="62"/>
    <n v="3"/>
    <x v="0"/>
    <n v="1"/>
    <s v="False"/>
    <n v="45071.428571428572"/>
    <m/>
    <n v="45000"/>
    <n v="47000"/>
    <n v="50000"/>
    <n v="0"/>
    <n v="116.251"/>
    <n v="9.5574306999999997E-2"/>
    <n v="14220"/>
    <n v="26.73"/>
    <n v="11.37"/>
    <n v="88.19"/>
    <n v="3"/>
    <s v="Rp0"/>
    <n v="0"/>
  </r>
  <r>
    <x v="54"/>
    <n v="45000"/>
    <n v="63"/>
    <n v="3"/>
    <x v="0"/>
    <n v="2"/>
    <s v="False"/>
    <n v="45000"/>
    <m/>
    <n v="45000"/>
    <n v="45500"/>
    <n v="56500"/>
    <n v="0"/>
    <n v="116.251"/>
    <n v="9.5574306999999997E-2"/>
    <n v="14199.5"/>
    <n v="27.1"/>
    <n v="2.16"/>
    <n v="85.54"/>
    <n v="4"/>
    <s v="Rp0"/>
    <n v="0"/>
  </r>
  <r>
    <x v="55"/>
    <n v="44000"/>
    <n v="64"/>
    <n v="3"/>
    <x v="0"/>
    <n v="3"/>
    <s v="False"/>
    <n v="44857.142857142855"/>
    <m/>
    <n v="45000"/>
    <n v="45000"/>
    <n v="56750"/>
    <n v="-1000"/>
    <n v="116.251"/>
    <n v="9.5574306999999997E-2"/>
    <n v="14256"/>
    <n v="27.18"/>
    <n v="2.74"/>
    <n v="84.2"/>
    <n v="5"/>
    <s v="-Rp1000"/>
    <n v="-2.2200000000000002"/>
  </r>
  <r>
    <x v="56"/>
    <n v="43500"/>
    <n v="65"/>
    <n v="3"/>
    <x v="0"/>
    <n v="4"/>
    <s v="False"/>
    <n v="44642.857142857145"/>
    <m/>
    <n v="44000"/>
    <n v="45000"/>
    <n v="56500"/>
    <n v="-500"/>
    <n v="116.251"/>
    <n v="9.5574306999999997E-2"/>
    <n v="14309.599609999999"/>
    <n v="27.07"/>
    <n v="5.98"/>
    <n v="82.69"/>
    <n v="6"/>
    <s v="-Rp500"/>
    <n v="-1.1399999999999999"/>
  </r>
  <r>
    <x v="57"/>
    <n v="43500"/>
    <n v="66"/>
    <n v="3"/>
    <x v="0"/>
    <n v="5"/>
    <s v="False"/>
    <n v="44428.571428571428"/>
    <m/>
    <n v="43500"/>
    <n v="45000"/>
    <n v="56500"/>
    <n v="0"/>
    <n v="116.251"/>
    <n v="9.5574306999999997E-2"/>
    <n v="14309.599609999999"/>
    <n v="26.51"/>
    <n v="12.49"/>
    <n v="83.97"/>
    <n v="7"/>
    <s v="-Rp500"/>
    <n v="-1.1399999999999999"/>
  </r>
  <r>
    <x v="58"/>
    <n v="43500"/>
    <n v="67"/>
    <n v="3"/>
    <x v="0"/>
    <n v="6"/>
    <s v="False"/>
    <n v="44214.285714285717"/>
    <m/>
    <n v="43500"/>
    <n v="45000"/>
    <n v="57750"/>
    <n v="0"/>
    <n v="116.251"/>
    <n v="9.5574306999999997E-2"/>
    <n v="14309.599609999999"/>
    <n v="26.88"/>
    <n v="0.82"/>
    <n v="78.08"/>
    <n v="8"/>
    <s v="-Rp500"/>
    <n v="-1.1399999999999999"/>
  </r>
  <r>
    <x v="59"/>
    <n v="43500"/>
    <n v="68"/>
    <n v="3"/>
    <x v="0"/>
    <n v="0"/>
    <s v="False"/>
    <n v="44000"/>
    <m/>
    <n v="43500"/>
    <n v="45000"/>
    <n v="57750"/>
    <n v="0"/>
    <n v="116.251"/>
    <n v="9.5574306999999997E-2"/>
    <n v="14251.539059999999"/>
    <n v="27.1"/>
    <n v="7.0000000000000007E-2"/>
    <n v="78.55"/>
    <n v="9"/>
    <s v="Rp0"/>
    <n v="0"/>
  </r>
  <r>
    <x v="60"/>
    <n v="44500"/>
    <n v="69"/>
    <n v="3"/>
    <x v="0"/>
    <n v="1"/>
    <s v="False"/>
    <n v="43928.571428571428"/>
    <m/>
    <n v="43500"/>
    <n v="45000"/>
    <n v="57750"/>
    <n v="1000"/>
    <n v="116.251"/>
    <n v="9.5574306999999997E-2"/>
    <n v="14094.818359999999"/>
    <n v="27.05"/>
    <n v="0.13"/>
    <n v="78.7"/>
    <n v="10"/>
    <s v="Rp1000"/>
    <n v="2.2999999999999998"/>
  </r>
  <r>
    <x v="61"/>
    <n v="43500"/>
    <n v="70"/>
    <n v="3"/>
    <x v="0"/>
    <n v="2"/>
    <s v="False"/>
    <n v="43714.285714285717"/>
    <m/>
    <n v="44500"/>
    <n v="45000"/>
    <n v="57500"/>
    <n v="-1000"/>
    <n v="116.251"/>
    <n v="9.5574306999999997E-2"/>
    <n v="14272.900390000001"/>
    <n v="27.15"/>
    <n v="0.59"/>
    <n v="82.33"/>
    <n v="11"/>
    <s v="-Rp1000"/>
    <n v="-2.25"/>
  </r>
  <r>
    <x v="62"/>
    <n v="44000"/>
    <n v="71"/>
    <n v="3"/>
    <x v="0"/>
    <n v="3"/>
    <s v="False"/>
    <n v="43714.285714285717"/>
    <m/>
    <n v="43500"/>
    <n v="44000"/>
    <n v="57500"/>
    <n v="500"/>
    <n v="116.251"/>
    <n v="9.5574306999999997E-2"/>
    <n v="14526"/>
    <n v="27.28"/>
    <n v="2.67"/>
    <n v="81.400000000000006"/>
    <n v="12"/>
    <s v="Rp500"/>
    <n v="1.1499999999999999"/>
  </r>
  <r>
    <x v="63"/>
    <n v="42750"/>
    <n v="72"/>
    <n v="3"/>
    <x v="0"/>
    <n v="4"/>
    <s v="False"/>
    <n v="43607.142857142855"/>
    <m/>
    <n v="44000"/>
    <n v="43500"/>
    <n v="56500"/>
    <n v="-1250"/>
    <n v="116.251"/>
    <n v="9.5574306999999997E-2"/>
    <n v="14850"/>
    <n v="27.54"/>
    <n v="0.06"/>
    <n v="70.52"/>
    <n v="13"/>
    <s v="-Rp1250"/>
    <n v="-2.84"/>
  </r>
  <r>
    <x v="64"/>
    <n v="42750"/>
    <n v="73"/>
    <n v="3"/>
    <x v="0"/>
    <n v="5"/>
    <s v="False"/>
    <n v="43500"/>
    <m/>
    <n v="42750"/>
    <n v="43500"/>
    <n v="55500"/>
    <n v="0"/>
    <n v="116.251"/>
    <n v="9.5574306999999997E-2"/>
    <n v="14850"/>
    <n v="26.87"/>
    <n v="0.22"/>
    <n v="79.44"/>
    <n v="14"/>
    <s v="-Rp1250"/>
    <n v="-2.84"/>
  </r>
  <r>
    <x v="65"/>
    <n v="42750"/>
    <n v="74"/>
    <n v="3"/>
    <x v="0"/>
    <n v="6"/>
    <s v="False"/>
    <n v="43392.857142857145"/>
    <m/>
    <n v="42750"/>
    <n v="43500"/>
    <n v="55500"/>
    <n v="0"/>
    <n v="116.251"/>
    <n v="9.5574306999999997E-2"/>
    <n v="14850"/>
    <n v="26.67"/>
    <n v="0.08"/>
    <n v="79.98"/>
    <n v="15"/>
    <s v="-Rp1250"/>
    <n v="-2.84"/>
  </r>
  <r>
    <x v="66"/>
    <n v="44500"/>
    <n v="75"/>
    <n v="3"/>
    <x v="0"/>
    <n v="0"/>
    <s v="False"/>
    <n v="43535.714285714283"/>
    <m/>
    <n v="42750"/>
    <n v="43500"/>
    <m/>
    <n v="1750"/>
    <n v="116.251"/>
    <n v="9.5574306999999997E-2"/>
    <n v="14635.02246"/>
    <n v="27"/>
    <n v="0.67"/>
    <n v="78.62"/>
    <n v="16"/>
    <s v="Rp1750"/>
    <n v="4.09"/>
  </r>
  <r>
    <x v="67"/>
    <n v="44500"/>
    <n v="76"/>
    <n v="3"/>
    <x v="0"/>
    <n v="1"/>
    <s v="False"/>
    <n v="43535.714285714283"/>
    <m/>
    <n v="44500"/>
    <n v="44500"/>
    <m/>
    <n v="0"/>
    <n v="116.251"/>
    <n v="9.5574306999999997E-2"/>
    <n v="15192"/>
    <n v="27.12"/>
    <n v="1.91"/>
    <n v="80.36"/>
    <n v="17"/>
    <s v="Rp0"/>
    <n v="0"/>
  </r>
  <r>
    <x v="68"/>
    <n v="45500"/>
    <n v="77"/>
    <n v="3"/>
    <x v="0"/>
    <n v="2"/>
    <s v="False"/>
    <n v="43821.428571428572"/>
    <m/>
    <n v="44500"/>
    <n v="43500"/>
    <n v="54000"/>
    <n v="1000"/>
    <n v="116.251"/>
    <n v="9.5574306999999997E-2"/>
    <n v="14955.78809"/>
    <n v="26.92"/>
    <n v="2.33"/>
    <n v="80.739999999999995"/>
    <n v="18"/>
    <s v="Rp1000"/>
    <n v="2.25"/>
  </r>
  <r>
    <x v="69"/>
    <n v="45250"/>
    <n v="78"/>
    <n v="3"/>
    <x v="0"/>
    <n v="3"/>
    <s v="False"/>
    <n v="44000"/>
    <m/>
    <n v="45500"/>
    <n v="44000"/>
    <n v="54000"/>
    <n v="-250"/>
    <n v="116.251"/>
    <n v="9.5574306999999997E-2"/>
    <n v="15474.5"/>
    <n v="26.97"/>
    <n v="12.67"/>
    <n v="83.96"/>
    <n v="19"/>
    <s v="-Rp250"/>
    <n v="-0.55000000000000004"/>
  </r>
  <r>
    <x v="70"/>
    <n v="45250"/>
    <n v="79"/>
    <n v="3"/>
    <x v="0"/>
    <n v="4"/>
    <s v="False"/>
    <n v="44357.142857142855"/>
    <m/>
    <n v="45250"/>
    <n v="42750"/>
    <n v="54000"/>
    <n v="0"/>
    <n v="116.251"/>
    <n v="9.5574306999999997E-2"/>
    <n v="15908"/>
    <n v="27.09"/>
    <n v="5.12"/>
    <n v="83.45"/>
    <n v="20"/>
    <s v="Rp0"/>
    <n v="0"/>
  </r>
  <r>
    <x v="71"/>
    <n v="45250"/>
    <n v="80"/>
    <n v="3"/>
    <x v="0"/>
    <n v="5"/>
    <s v="False"/>
    <n v="44714.285714285717"/>
    <m/>
    <n v="45250"/>
    <n v="42750"/>
    <n v="51750"/>
    <n v="0"/>
    <n v="116.251"/>
    <n v="9.5574306999999997E-2"/>
    <n v="15908"/>
    <n v="27.13"/>
    <n v="4.55"/>
    <n v="83.97"/>
    <n v="21"/>
    <s v="Rp0"/>
    <n v="0"/>
  </r>
  <r>
    <x v="72"/>
    <n v="45250"/>
    <n v="81"/>
    <n v="3"/>
    <x v="0"/>
    <n v="6"/>
    <s v="False"/>
    <n v="45071.428571428572"/>
    <m/>
    <n v="45250"/>
    <n v="42750"/>
    <n v="52250"/>
    <n v="0"/>
    <n v="116.251"/>
    <n v="9.5574306999999997E-2"/>
    <n v="15908"/>
    <n v="26.92"/>
    <n v="7"/>
    <n v="81.09"/>
    <n v="22"/>
    <s v="Rp0"/>
    <n v="0"/>
  </r>
  <r>
    <x v="73"/>
    <n v="44500"/>
    <n v="82"/>
    <n v="3"/>
    <x v="0"/>
    <n v="0"/>
    <s v="False"/>
    <n v="45071.428571428572"/>
    <m/>
    <n v="45250"/>
    <n v="44500"/>
    <m/>
    <n v="-750"/>
    <n v="116.251"/>
    <n v="9.5574306999999997E-2"/>
    <n v="15766.247069999999"/>
    <n v="27.16"/>
    <n v="2.86"/>
    <n v="74.5"/>
    <n v="23"/>
    <s v="-Rp750"/>
    <n v="-1.66"/>
  </r>
  <r>
    <x v="74"/>
    <n v="44500"/>
    <n v="83"/>
    <n v="3"/>
    <x v="0"/>
    <n v="1"/>
    <s v="False"/>
    <n v="45071.428571428572"/>
    <n v="44625"/>
    <n v="44500"/>
    <n v="44500"/>
    <m/>
    <n v="0"/>
    <n v="116.251"/>
    <n v="9.5574306999999997E-2"/>
    <n v="16504.800780000001"/>
    <n v="26.74"/>
    <n v="4.88"/>
    <n v="81.8"/>
    <n v="24"/>
    <s v="Rp0"/>
    <n v="0"/>
  </r>
  <r>
    <x v="75"/>
    <n v="45750"/>
    <n v="85"/>
    <n v="3"/>
    <x v="0"/>
    <n v="3"/>
    <s v="False"/>
    <m/>
    <m/>
    <m/>
    <n v="45250"/>
    <n v="47000"/>
    <m/>
    <n v="116.251"/>
    <n v="9.5574306999999997E-2"/>
    <n v="16447.720700000002"/>
    <n v="27.06"/>
    <n v="3.39"/>
    <n v="84.02"/>
    <n v="26"/>
    <m/>
    <n v="0"/>
  </r>
  <r>
    <x v="76"/>
    <n v="45750"/>
    <n v="86"/>
    <n v="3"/>
    <x v="0"/>
    <n v="4"/>
    <s v="False"/>
    <m/>
    <m/>
    <n v="45750"/>
    <n v="45250"/>
    <n v="45500"/>
    <n v="0"/>
    <n v="116.251"/>
    <n v="9.5574306999999997E-2"/>
    <n v="16218.63672"/>
    <n v="27.06"/>
    <n v="4.08"/>
    <n v="86.06"/>
    <n v="27"/>
    <s v="Rp0"/>
    <n v="0"/>
  </r>
  <r>
    <x v="77"/>
    <n v="45750"/>
    <n v="87"/>
    <n v="3"/>
    <x v="0"/>
    <n v="5"/>
    <s v="False"/>
    <m/>
    <m/>
    <n v="45750"/>
    <n v="45250"/>
    <n v="45000"/>
    <n v="0"/>
    <n v="116.251"/>
    <n v="9.5574306999999997E-2"/>
    <n v="16218.63672"/>
    <n v="26.98"/>
    <n v="10.51"/>
    <n v="85.36"/>
    <n v="28"/>
    <s v="Rp0"/>
    <n v="0"/>
  </r>
  <r>
    <x v="78"/>
    <n v="45750"/>
    <n v="88"/>
    <n v="3"/>
    <x v="0"/>
    <n v="6"/>
    <s v="False"/>
    <m/>
    <m/>
    <n v="45750"/>
    <n v="45250"/>
    <n v="45000"/>
    <n v="0"/>
    <n v="116.251"/>
    <n v="9.5574306999999997E-2"/>
    <n v="16218.63672"/>
    <n v="26.5"/>
    <n v="35.75"/>
    <n v="85.93"/>
    <n v="29"/>
    <s v="Rp0"/>
    <n v="0"/>
  </r>
  <r>
    <x v="79"/>
    <n v="47000"/>
    <n v="89"/>
    <n v="3"/>
    <x v="0"/>
    <n v="0"/>
    <s v="False"/>
    <m/>
    <m/>
    <n v="45750"/>
    <n v="44500"/>
    <n v="45000"/>
    <n v="1250"/>
    <n v="116.251"/>
    <n v="9.5574306999999997E-2"/>
    <n v="16005.33496"/>
    <n v="26.68"/>
    <n v="28.58"/>
    <n v="85.74"/>
    <n v="30"/>
    <m/>
    <n v="0"/>
  </r>
  <r>
    <x v="80"/>
    <n v="46500"/>
    <n v="90"/>
    <n v="3"/>
    <x v="0"/>
    <n v="1"/>
    <s v="False"/>
    <m/>
    <m/>
    <n v="47000"/>
    <n v="44500"/>
    <n v="45000"/>
    <n v="-500"/>
    <n v="116.251"/>
    <n v="9.5574306999999997E-2"/>
    <n v="16346.96191"/>
    <n v="26.74"/>
    <n v="22.43"/>
    <n v="84.42"/>
    <n v="31"/>
    <s v="-Rp500"/>
    <n v="-1.06"/>
  </r>
  <r>
    <x v="81"/>
    <n v="46500"/>
    <n v="91"/>
    <n v="4"/>
    <x v="1"/>
    <n v="2"/>
    <s v="False"/>
    <n v="46142.857142857145"/>
    <m/>
    <n v="46500"/>
    <m/>
    <n v="45000"/>
    <n v="0"/>
    <n v="116.3398"/>
    <n v="7.638644E-2"/>
    <n v="16277.943359999999"/>
    <n v="26.71"/>
    <n v="8.34"/>
    <n v="83.3"/>
    <n v="1"/>
    <s v="Rp0"/>
    <n v="0"/>
  </r>
  <r>
    <x v="82"/>
    <n v="45000"/>
    <n v="92"/>
    <n v="4"/>
    <x v="1"/>
    <n v="3"/>
    <s v="False"/>
    <n v="46035.714285714283"/>
    <m/>
    <n v="46500"/>
    <n v="45750"/>
    <n v="45000"/>
    <n v="-1500"/>
    <n v="116.3398"/>
    <n v="7.638644E-2"/>
    <n v="16412.808590000001"/>
    <n v="26.9"/>
    <n v="0.59"/>
    <n v="81.680000000000007"/>
    <n v="2"/>
    <s v="-Rp1500"/>
    <n v="-3.23"/>
  </r>
  <r>
    <x v="83"/>
    <n v="45000"/>
    <n v="93"/>
    <n v="4"/>
    <x v="1"/>
    <n v="4"/>
    <s v="False"/>
    <n v="45928.571428571428"/>
    <m/>
    <n v="45000"/>
    <n v="45750"/>
    <n v="45000"/>
    <n v="0"/>
    <n v="116.3398"/>
    <n v="7.638644E-2"/>
    <n v="16441.26367"/>
    <n v="27.05"/>
    <n v="1.23"/>
    <n v="82.96"/>
    <n v="3"/>
    <s v="Rp0"/>
    <n v="0"/>
  </r>
  <r>
    <x v="84"/>
    <n v="45000"/>
    <n v="94"/>
    <n v="4"/>
    <x v="1"/>
    <n v="5"/>
    <s v="False"/>
    <n v="45821.428571428572"/>
    <m/>
    <n v="45000"/>
    <n v="45750"/>
    <n v="44000"/>
    <n v="0"/>
    <n v="116.3398"/>
    <n v="7.638644E-2"/>
    <n v="16441.26367"/>
    <n v="26.94"/>
    <n v="8.49"/>
    <n v="83.53"/>
    <n v="4"/>
    <s v="Rp0"/>
    <n v="0"/>
  </r>
  <r>
    <x v="85"/>
    <n v="44250"/>
    <n v="96"/>
    <n v="4"/>
    <x v="1"/>
    <n v="0"/>
    <s v="False"/>
    <m/>
    <m/>
    <m/>
    <n v="47000"/>
    <n v="43500"/>
    <m/>
    <n v="116.3398"/>
    <n v="7.638644E-2"/>
    <n v="16418"/>
    <n v="27.15"/>
    <n v="1.66"/>
    <n v="83.43"/>
    <n v="6"/>
    <m/>
    <n v="0"/>
  </r>
  <r>
    <x v="86"/>
    <n v="44000"/>
    <n v="97"/>
    <n v="4"/>
    <x v="1"/>
    <n v="1"/>
    <s v="False"/>
    <m/>
    <m/>
    <n v="44250"/>
    <n v="46500"/>
    <n v="43500"/>
    <n v="-250"/>
    <n v="116.3398"/>
    <n v="7.638644E-2"/>
    <n v="16364.648440000001"/>
    <n v="27.61"/>
    <n v="0.88"/>
    <n v="79.41"/>
    <n v="7"/>
    <s v="-Rp250"/>
    <n v="-0.56000000000000005"/>
  </r>
  <r>
    <x v="87"/>
    <n v="44000"/>
    <n v="98"/>
    <n v="4"/>
    <x v="1"/>
    <n v="2"/>
    <s v="False"/>
    <m/>
    <m/>
    <n v="44000"/>
    <n v="46500"/>
    <n v="43500"/>
    <n v="0"/>
    <n v="116.3398"/>
    <n v="7.638644E-2"/>
    <n v="16225"/>
    <n v="27.34"/>
    <n v="0.16"/>
    <n v="77.150000000000006"/>
    <n v="8"/>
    <s v="Rp0"/>
    <n v="0"/>
  </r>
  <r>
    <x v="88"/>
    <n v="44000"/>
    <n v="99"/>
    <n v="4"/>
    <x v="1"/>
    <n v="3"/>
    <s v="False"/>
    <m/>
    <m/>
    <n v="44000"/>
    <n v="45000"/>
    <n v="44500"/>
    <n v="0"/>
    <n v="116.3398"/>
    <n v="7.638644E-2"/>
    <n v="16159.37695"/>
    <n v="27.21"/>
    <n v="0.02"/>
    <n v="77.180000000000007"/>
    <n v="9"/>
    <s v="Rp0"/>
    <n v="0"/>
  </r>
  <r>
    <x v="89"/>
    <n v="43000"/>
    <n v="103"/>
    <n v="4"/>
    <x v="1"/>
    <n v="0"/>
    <s v="True"/>
    <m/>
    <m/>
    <m/>
    <n v="44250"/>
    <n v="42750"/>
    <m/>
    <n v="116.3398"/>
    <n v="7.638644E-2"/>
    <n v="15800"/>
    <n v="26.94"/>
    <n v="0.01"/>
    <n v="77.87"/>
    <n v="13"/>
    <m/>
    <n v="0"/>
  </r>
  <r>
    <x v="90"/>
    <n v="43000"/>
    <n v="104"/>
    <n v="4"/>
    <x v="1"/>
    <n v="1"/>
    <s v="False"/>
    <m/>
    <m/>
    <n v="43000"/>
    <n v="44000"/>
    <n v="42750"/>
    <n v="0"/>
    <n v="116.3398"/>
    <n v="7.638644E-2"/>
    <n v="15751"/>
    <n v="27.31"/>
    <n v="0.38"/>
    <n v="80.239999999999995"/>
    <n v="14"/>
    <s v="Rp0"/>
    <n v="0"/>
  </r>
  <r>
    <x v="91"/>
    <n v="42000"/>
    <n v="105"/>
    <n v="4"/>
    <x v="1"/>
    <n v="2"/>
    <s v="False"/>
    <m/>
    <m/>
    <n v="43000"/>
    <n v="44000"/>
    <n v="44500"/>
    <n v="-1000"/>
    <n v="116.3398"/>
    <n v="7.638644E-2"/>
    <n v="15578.346680000001"/>
    <n v="27.23"/>
    <n v="8.7100000000000009"/>
    <n v="81.02"/>
    <n v="15"/>
    <s v="-Rp1000"/>
    <n v="-2.33"/>
  </r>
  <r>
    <x v="92"/>
    <n v="42000"/>
    <n v="106"/>
    <n v="4"/>
    <x v="1"/>
    <n v="3"/>
    <s v="False"/>
    <m/>
    <m/>
    <n v="42000"/>
    <n v="44000"/>
    <n v="44500"/>
    <n v="0"/>
    <n v="116.3398"/>
    <n v="7.638644E-2"/>
    <n v="15887.5"/>
    <n v="27.78"/>
    <n v="1.87"/>
    <n v="79.760000000000005"/>
    <n v="16"/>
    <s v="Rp0"/>
    <n v="0"/>
  </r>
  <r>
    <x v="93"/>
    <n v="40000"/>
    <n v="107"/>
    <n v="4"/>
    <x v="1"/>
    <n v="4"/>
    <s v="False"/>
    <m/>
    <m/>
    <n v="42000"/>
    <m/>
    <n v="45500"/>
    <n v="-2000"/>
    <n v="116.3398"/>
    <n v="7.638644E-2"/>
    <n v="15568.33887"/>
    <n v="27.35"/>
    <n v="1.52"/>
    <n v="84.89"/>
    <n v="17"/>
    <s v="-Rp2000"/>
    <n v="-4.76"/>
  </r>
  <r>
    <x v="94"/>
    <n v="41500"/>
    <n v="110"/>
    <n v="4"/>
    <x v="1"/>
    <n v="0"/>
    <s v="False"/>
    <m/>
    <m/>
    <m/>
    <n v="43000"/>
    <n v="45250"/>
    <m/>
    <n v="116.3398"/>
    <n v="7.638644E-2"/>
    <n v="15423"/>
    <n v="27.44"/>
    <n v="6.65"/>
    <n v="79.84"/>
    <n v="20"/>
    <m/>
    <n v="0"/>
  </r>
  <r>
    <x v="95"/>
    <n v="41500"/>
    <n v="111"/>
    <n v="4"/>
    <x v="1"/>
    <n v="1"/>
    <s v="False"/>
    <m/>
    <m/>
    <n v="41500"/>
    <n v="43000"/>
    <n v="45250"/>
    <n v="0"/>
    <n v="116.3398"/>
    <n v="7.638644E-2"/>
    <n v="15377.08008"/>
    <n v="27.59"/>
    <n v="4.16"/>
    <n v="79.650000000000006"/>
    <n v="21"/>
    <s v="Rp0"/>
    <n v="0"/>
  </r>
  <r>
    <x v="96"/>
    <n v="43000"/>
    <n v="112"/>
    <n v="4"/>
    <x v="1"/>
    <n v="2"/>
    <s v="False"/>
    <m/>
    <m/>
    <n v="41500"/>
    <n v="42000"/>
    <n v="44500"/>
    <n v="1500"/>
    <n v="116.3398"/>
    <n v="7.638644E-2"/>
    <n v="15394.67871"/>
    <n v="27.39"/>
    <n v="3.56"/>
    <n v="81.67"/>
    <n v="22"/>
    <s v="Rp1500"/>
    <n v="3.61"/>
  </r>
  <r>
    <x v="97"/>
    <n v="43000"/>
    <n v="113"/>
    <n v="4"/>
    <x v="1"/>
    <n v="3"/>
    <s v="False"/>
    <m/>
    <m/>
    <n v="43000"/>
    <n v="42000"/>
    <n v="44500"/>
    <n v="0"/>
    <n v="116.3398"/>
    <n v="7.638644E-2"/>
    <n v="15408.622069999999"/>
    <n v="27.26"/>
    <n v="7.19"/>
    <n v="81.23"/>
    <n v="23"/>
    <s v="Rp0"/>
    <n v="0"/>
  </r>
  <r>
    <x v="98"/>
    <n v="42000"/>
    <n v="114"/>
    <n v="4"/>
    <x v="1"/>
    <n v="4"/>
    <s v="False"/>
    <m/>
    <m/>
    <n v="43000"/>
    <n v="40000"/>
    <m/>
    <n v="-1000"/>
    <n v="116.3398"/>
    <n v="7.638644E-2"/>
    <n v="15665"/>
    <n v="27.48"/>
    <n v="6.17"/>
    <n v="81.62"/>
    <n v="24"/>
    <s v="-Rp1000"/>
    <n v="-2.33"/>
  </r>
  <r>
    <x v="99"/>
    <n v="41000"/>
    <n v="117"/>
    <n v="4"/>
    <x v="1"/>
    <n v="0"/>
    <s v="False"/>
    <m/>
    <m/>
    <m/>
    <n v="41500"/>
    <n v="45750"/>
    <m/>
    <n v="116.3398"/>
    <n v="7.638644E-2"/>
    <n v="15348.744140000001"/>
    <n v="27.02"/>
    <n v="14.31"/>
    <n v="85.57"/>
    <n v="27"/>
    <s v="-Rp1000"/>
    <n v="-2.38"/>
  </r>
  <r>
    <x v="100"/>
    <n v="42000"/>
    <n v="118"/>
    <n v="4"/>
    <x v="1"/>
    <n v="1"/>
    <s v="False"/>
    <m/>
    <m/>
    <n v="41000"/>
    <n v="41500"/>
    <n v="45750"/>
    <n v="1000"/>
    <n v="116.3398"/>
    <n v="7.638644E-2"/>
    <n v="15312.38574"/>
    <n v="26.39"/>
    <n v="8.49"/>
    <n v="83.98"/>
    <n v="28"/>
    <s v="Rp1000"/>
    <n v="2.44"/>
  </r>
  <r>
    <x v="101"/>
    <n v="43000"/>
    <n v="119"/>
    <n v="4"/>
    <x v="1"/>
    <n v="2"/>
    <s v="False"/>
    <m/>
    <m/>
    <n v="42000"/>
    <n v="43000"/>
    <n v="47000"/>
    <n v="1000"/>
    <n v="116.3398"/>
    <n v="7.638644E-2"/>
    <n v="15364.594730000001"/>
    <n v="26.68"/>
    <n v="9.94"/>
    <n v="83.11"/>
    <n v="29"/>
    <s v="Rp1000"/>
    <n v="2.38"/>
  </r>
  <r>
    <x v="102"/>
    <n v="43000"/>
    <n v="120"/>
    <n v="4"/>
    <x v="1"/>
    <n v="3"/>
    <s v="False"/>
    <m/>
    <m/>
    <n v="43000"/>
    <n v="43000"/>
    <n v="46500"/>
    <n v="0"/>
    <n v="116.3398"/>
    <n v="7.638644E-2"/>
    <n v="15234.63672"/>
    <n v="27.8"/>
    <n v="2.52"/>
    <n v="73.63"/>
    <n v="30"/>
    <s v="Rp0"/>
    <n v="0"/>
  </r>
  <r>
    <x v="103"/>
    <n v="54000"/>
    <n v="124"/>
    <n v="5"/>
    <x v="1"/>
    <n v="0"/>
    <s v="False"/>
    <m/>
    <m/>
    <m/>
    <n v="41000"/>
    <n v="45000"/>
    <m/>
    <n v="116.4175"/>
    <n v="6.6787118000000006E-2"/>
    <n v="14671"/>
    <n v="28.53"/>
    <n v="1.86"/>
    <n v="77.06"/>
    <n v="4"/>
    <m/>
    <n v="0"/>
  </r>
  <r>
    <x v="104"/>
    <n v="55250"/>
    <n v="125"/>
    <n v="5"/>
    <x v="1"/>
    <n v="1"/>
    <s v="False"/>
    <m/>
    <m/>
    <n v="54000"/>
    <n v="42000"/>
    <m/>
    <n v="1250"/>
    <n v="116.4175"/>
    <n v="6.6787118000000006E-2"/>
    <n v="15044"/>
    <n v="28.27"/>
    <n v="2.74"/>
    <n v="82.08"/>
    <n v="5"/>
    <s v="Rp1250"/>
    <n v="2.31"/>
  </r>
  <r>
    <x v="105"/>
    <n v="52000"/>
    <n v="126"/>
    <n v="5"/>
    <x v="1"/>
    <n v="2"/>
    <s v="False"/>
    <m/>
    <m/>
    <n v="55250"/>
    <n v="43000"/>
    <n v="44250"/>
    <n v="-3250"/>
    <n v="116.4175"/>
    <n v="6.6787118000000006E-2"/>
    <n v="15335"/>
    <n v="28.46"/>
    <n v="0.8"/>
    <n v="79.599999999999994"/>
    <n v="6"/>
    <s v="-Rp3250"/>
    <n v="-5.88"/>
  </r>
  <r>
    <x v="106"/>
    <n v="51500"/>
    <n v="128"/>
    <n v="5"/>
    <x v="1"/>
    <n v="4"/>
    <s v="False"/>
    <m/>
    <m/>
    <m/>
    <m/>
    <n v="44000"/>
    <m/>
    <n v="116.4175"/>
    <n v="6.6787118000000006E-2"/>
    <n v="15227"/>
    <n v="28.47"/>
    <n v="0.53"/>
    <n v="78.47"/>
    <n v="8"/>
    <m/>
    <n v="0"/>
  </r>
  <r>
    <x v="107"/>
    <n v="51500"/>
    <n v="129"/>
    <n v="5"/>
    <x v="1"/>
    <n v="5"/>
    <s v="False"/>
    <m/>
    <m/>
    <n v="51500"/>
    <m/>
    <n v="44000"/>
    <n v="0"/>
    <n v="116.4175"/>
    <n v="6.6787118000000006E-2"/>
    <n v="15227"/>
    <n v="28.36"/>
    <n v="1.46"/>
    <n v="80.41"/>
    <n v="9"/>
    <m/>
    <n v="0"/>
  </r>
  <r>
    <x v="108"/>
    <n v="51500"/>
    <n v="130"/>
    <n v="5"/>
    <x v="1"/>
    <n v="6"/>
    <s v="False"/>
    <m/>
    <m/>
    <n v="51500"/>
    <m/>
    <m/>
    <n v="0"/>
    <n v="116.4175"/>
    <n v="6.6787118000000006E-2"/>
    <n v="15227"/>
    <n v="27.47"/>
    <n v="13.83"/>
    <n v="84.83"/>
    <n v="10"/>
    <m/>
    <n v="0"/>
  </r>
  <r>
    <x v="109"/>
    <n v="53500"/>
    <n v="131"/>
    <n v="5"/>
    <x v="1"/>
    <n v="0"/>
    <s v="False"/>
    <m/>
    <m/>
    <n v="51500"/>
    <n v="54000"/>
    <m/>
    <n v="2000"/>
    <n v="116.4175"/>
    <n v="6.6787118000000006E-2"/>
    <n v="14721.398440000001"/>
    <n v="27.86"/>
    <n v="0.77"/>
    <n v="83.11"/>
    <n v="11"/>
    <s v="Rp2000"/>
    <n v="3.88"/>
  </r>
  <r>
    <x v="110"/>
    <n v="52500"/>
    <n v="132"/>
    <n v="5"/>
    <x v="1"/>
    <n v="1"/>
    <s v="False"/>
    <m/>
    <m/>
    <n v="53500"/>
    <n v="55250"/>
    <m/>
    <n v="-1000"/>
    <n v="116.4175"/>
    <n v="6.6787118000000006E-2"/>
    <n v="14848.700199999999"/>
    <n v="28.17"/>
    <n v="2"/>
    <n v="79.260000000000005"/>
    <n v="12"/>
    <s v="-Rp1000"/>
    <n v="-1.87"/>
  </r>
  <r>
    <x v="111"/>
    <n v="52500"/>
    <n v="133"/>
    <n v="5"/>
    <x v="1"/>
    <n v="2"/>
    <s v="False"/>
    <m/>
    <m/>
    <n v="52500"/>
    <n v="52000"/>
    <n v="43000"/>
    <n v="0"/>
    <n v="116.4175"/>
    <n v="6.6787118000000006E-2"/>
    <n v="14994"/>
    <n v="27.83"/>
    <n v="0.42"/>
    <n v="80.989999999999995"/>
    <n v="13"/>
    <s v="Rp0"/>
    <n v="0"/>
  </r>
  <r>
    <x v="112"/>
    <n v="54500"/>
    <n v="134"/>
    <n v="5"/>
    <x v="1"/>
    <n v="3"/>
    <s v="False"/>
    <n v="52500"/>
    <m/>
    <n v="52500"/>
    <m/>
    <n v="43000"/>
    <n v="2000"/>
    <n v="116.4175"/>
    <n v="6.6787118000000006E-2"/>
    <n v="14846.87305"/>
    <n v="28.13"/>
    <n v="0.61"/>
    <n v="80.55"/>
    <n v="14"/>
    <s v="Rp2000"/>
    <n v="3.81"/>
  </r>
  <r>
    <x v="113"/>
    <n v="54500"/>
    <n v="135"/>
    <n v="5"/>
    <x v="1"/>
    <n v="4"/>
    <s v="False"/>
    <n v="52928.571428571428"/>
    <m/>
    <n v="54500"/>
    <n v="51500"/>
    <n v="42000"/>
    <n v="0"/>
    <n v="116.4175"/>
    <n v="6.6787118000000006E-2"/>
    <n v="14810.12012"/>
    <n v="27.9"/>
    <n v="0.89"/>
    <n v="84.34"/>
    <n v="15"/>
    <s v="Rp0"/>
    <n v="0"/>
  </r>
  <r>
    <x v="114"/>
    <n v="56000"/>
    <n v="138"/>
    <n v="5"/>
    <x v="1"/>
    <n v="0"/>
    <s v="False"/>
    <m/>
    <m/>
    <m/>
    <n v="53500"/>
    <m/>
    <m/>
    <n v="116.4175"/>
    <n v="6.6787118000000006E-2"/>
    <n v="14853"/>
    <n v="28.07"/>
    <n v="10.37"/>
    <n v="83.45"/>
    <n v="18"/>
    <s v="Rp1500"/>
    <n v="2.75"/>
  </r>
  <r>
    <x v="115"/>
    <n v="56000"/>
    <n v="139"/>
    <n v="5"/>
    <x v="1"/>
    <n v="1"/>
    <s v="False"/>
    <m/>
    <m/>
    <n v="56000"/>
    <n v="52500"/>
    <m/>
    <n v="0"/>
    <n v="116.4175"/>
    <n v="6.6787118000000006E-2"/>
    <n v="14878"/>
    <n v="27.52"/>
    <n v="12.41"/>
    <n v="81.78"/>
    <n v="19"/>
    <s v="Rp0"/>
    <n v="0"/>
  </r>
  <r>
    <x v="116"/>
    <n v="60750"/>
    <n v="140"/>
    <n v="5"/>
    <x v="1"/>
    <n v="2"/>
    <s v="False"/>
    <m/>
    <m/>
    <n v="56000"/>
    <n v="52500"/>
    <n v="41500"/>
    <n v="4750"/>
    <n v="116.4175"/>
    <n v="6.6787118000000006E-2"/>
    <n v="14748.447270000001"/>
    <n v="27.51"/>
    <n v="3.92"/>
    <n v="78.81"/>
    <n v="20"/>
    <s v="Rp4750"/>
    <n v="8.48"/>
  </r>
  <r>
    <x v="117"/>
    <n v="69000"/>
    <n v="146"/>
    <n v="5"/>
    <x v="1"/>
    <n v="1"/>
    <s v="False"/>
    <m/>
    <m/>
    <m/>
    <n v="56000"/>
    <m/>
    <m/>
    <n v="116.4175"/>
    <n v="6.6787118000000006E-2"/>
    <n v="14501.757809999999"/>
    <n v="28.07"/>
    <n v="4.42"/>
    <n v="74.069999999999993"/>
    <n v="26"/>
    <m/>
    <n v="0"/>
  </r>
  <r>
    <x v="118"/>
    <n v="67000"/>
    <n v="147"/>
    <n v="5"/>
    <x v="1"/>
    <n v="2"/>
    <s v="False"/>
    <m/>
    <m/>
    <n v="69000"/>
    <n v="60750"/>
    <n v="41000"/>
    <n v="-2000"/>
    <n v="116.4175"/>
    <n v="6.6787118000000006E-2"/>
    <n v="14850"/>
    <n v="27.84"/>
    <n v="2.39"/>
    <n v="81.23"/>
    <n v="27"/>
    <s v="-Rp2000"/>
    <n v="-2.9"/>
  </r>
  <r>
    <x v="119"/>
    <n v="67000"/>
    <n v="148"/>
    <n v="5"/>
    <x v="1"/>
    <n v="3"/>
    <s v="False"/>
    <m/>
    <m/>
    <n v="67000"/>
    <m/>
    <n v="42000"/>
    <n v="0"/>
    <n v="116.4175"/>
    <n v="6.6787118000000006E-2"/>
    <n v="14888.5"/>
    <n v="27.5"/>
    <n v="4.8899999999999997"/>
    <n v="83.1"/>
    <n v="28"/>
    <s v="Rp0"/>
    <n v="0"/>
  </r>
  <r>
    <x v="120"/>
    <n v="67000"/>
    <n v="149"/>
    <n v="5"/>
    <x v="1"/>
    <n v="4"/>
    <s v="False"/>
    <m/>
    <m/>
    <n v="67000"/>
    <m/>
    <n v="43000"/>
    <n v="0"/>
    <n v="116.4175"/>
    <n v="6.6787118000000006E-2"/>
    <n v="14825"/>
    <n v="26.8"/>
    <n v="8.7899999999999991"/>
    <n v="84.8"/>
    <n v="29"/>
    <s v="Rp0"/>
    <n v="0"/>
  </r>
  <r>
    <x v="121"/>
    <n v="67000"/>
    <n v="150"/>
    <n v="5"/>
    <x v="1"/>
    <n v="5"/>
    <s v="False"/>
    <m/>
    <m/>
    <n v="67000"/>
    <m/>
    <n v="43000"/>
    <n v="0"/>
    <n v="116.4175"/>
    <n v="6.6787118000000006E-2"/>
    <n v="14825"/>
    <n v="26.55"/>
    <n v="3.3"/>
    <n v="85"/>
    <n v="30"/>
    <s v="Rp0"/>
    <n v="0"/>
  </r>
  <r>
    <x v="122"/>
    <n v="67000"/>
    <n v="151"/>
    <n v="5"/>
    <x v="1"/>
    <n v="6"/>
    <s v="False"/>
    <m/>
    <m/>
    <n v="67000"/>
    <m/>
    <m/>
    <n v="0"/>
    <n v="116.4175"/>
    <n v="6.6787118000000006E-2"/>
    <n v="14825"/>
    <n v="27.02"/>
    <n v="4.63"/>
    <n v="83.38"/>
    <n v="31"/>
    <s v="Rp0"/>
    <n v="0"/>
  </r>
  <r>
    <x v="123"/>
    <n v="80000"/>
    <n v="153"/>
    <n v="6"/>
    <x v="1"/>
    <n v="1"/>
    <s v="False"/>
    <m/>
    <m/>
    <m/>
    <n v="69000"/>
    <m/>
    <m/>
    <n v="116.6284"/>
    <n v="0.18115833100000001"/>
    <n v="14573.5"/>
    <n v="27.74"/>
    <n v="4.75"/>
    <n v="78.13"/>
    <n v="2"/>
    <m/>
    <n v="0"/>
  </r>
  <r>
    <x v="124"/>
    <n v="80000"/>
    <n v="154"/>
    <n v="6"/>
    <x v="1"/>
    <n v="2"/>
    <s v="False"/>
    <m/>
    <m/>
    <n v="80000"/>
    <n v="67000"/>
    <n v="54000"/>
    <n v="0"/>
    <n v="116.6284"/>
    <n v="0.18115833100000001"/>
    <n v="14343.82324"/>
    <n v="27.26"/>
    <n v="7.17"/>
    <n v="81.77"/>
    <n v="3"/>
    <s v="Rp0"/>
    <n v="0"/>
  </r>
  <r>
    <x v="125"/>
    <n v="75000"/>
    <n v="155"/>
    <n v="6"/>
    <x v="1"/>
    <n v="3"/>
    <s v="False"/>
    <m/>
    <m/>
    <n v="80000"/>
    <n v="67000"/>
    <n v="55250"/>
    <n v="-5000"/>
    <n v="116.6284"/>
    <n v="0.18115833100000001"/>
    <n v="14130"/>
    <n v="26.85"/>
    <n v="5.54"/>
    <n v="85.12"/>
    <n v="4"/>
    <s v="-Rp5000"/>
    <n v="-6.25"/>
  </r>
  <r>
    <x v="126"/>
    <n v="75000"/>
    <n v="156"/>
    <n v="6"/>
    <x v="1"/>
    <n v="4"/>
    <s v="False"/>
    <m/>
    <m/>
    <n v="75000"/>
    <n v="67000"/>
    <n v="52000"/>
    <n v="0"/>
    <n v="116.6284"/>
    <n v="0.18115833100000001"/>
    <n v="14085.447270000001"/>
    <n v="27.35"/>
    <n v="7.03"/>
    <n v="81.69"/>
    <n v="5"/>
    <s v="Rp0"/>
    <n v="0"/>
  </r>
  <r>
    <x v="127"/>
    <n v="75000"/>
    <n v="157"/>
    <n v="6"/>
    <x v="1"/>
    <n v="5"/>
    <s v="False"/>
    <m/>
    <m/>
    <n v="75000"/>
    <n v="67000"/>
    <m/>
    <n v="0"/>
    <n v="116.6284"/>
    <n v="0.18115833100000001"/>
    <n v="14085.447270000001"/>
    <n v="26.92"/>
    <n v="7.23"/>
    <n v="82.43"/>
    <n v="6"/>
    <s v="Rp0"/>
    <n v="0"/>
  </r>
  <r>
    <x v="128"/>
    <n v="75000"/>
    <n v="158"/>
    <n v="6"/>
    <x v="1"/>
    <n v="6"/>
    <s v="False"/>
    <m/>
    <m/>
    <n v="75000"/>
    <n v="67000"/>
    <n v="51500"/>
    <n v="0"/>
    <n v="116.6284"/>
    <n v="0.18115833100000001"/>
    <n v="14085.447270000001"/>
    <n v="26.34"/>
    <n v="41.89"/>
    <n v="84.17"/>
    <n v="7"/>
    <s v="Rp0"/>
    <n v="0"/>
  </r>
  <r>
    <x v="129"/>
    <n v="72000"/>
    <n v="159"/>
    <n v="6"/>
    <x v="1"/>
    <n v="0"/>
    <s v="False"/>
    <n v="76000"/>
    <m/>
    <n v="75000"/>
    <m/>
    <n v="51500"/>
    <n v="-3000"/>
    <n v="116.6284"/>
    <n v="0.18115833100000001"/>
    <n v="13863"/>
    <n v="26.56"/>
    <n v="10.220000000000001"/>
    <n v="81.99"/>
    <n v="8"/>
    <s v="-Rp3000"/>
    <n v="-4"/>
  </r>
  <r>
    <x v="130"/>
    <n v="69500"/>
    <n v="160"/>
    <n v="6"/>
    <x v="1"/>
    <n v="1"/>
    <s v="False"/>
    <n v="74500"/>
    <m/>
    <n v="72000"/>
    <n v="80000"/>
    <n v="51500"/>
    <n v="-2500"/>
    <n v="116.6284"/>
    <n v="0.18115833100000001"/>
    <n v="14070.799800000001"/>
    <n v="27.12"/>
    <n v="6.78"/>
    <n v="78.08"/>
    <n v="9"/>
    <s v="-Rp2500"/>
    <n v="-3.47"/>
  </r>
  <r>
    <x v="131"/>
    <n v="65750"/>
    <n v="161"/>
    <n v="6"/>
    <x v="1"/>
    <n v="2"/>
    <s v="False"/>
    <n v="72464.28571428571"/>
    <m/>
    <n v="69500"/>
    <n v="80000"/>
    <n v="53500"/>
    <n v="-3750"/>
    <n v="116.6284"/>
    <n v="0.18115833100000001"/>
    <n v="13852.103520000001"/>
    <n v="27.09"/>
    <n v="7.51"/>
    <n v="81.89"/>
    <n v="10"/>
    <s v="-Rp3750"/>
    <n v="-5.4"/>
  </r>
  <r>
    <x v="132"/>
    <n v="66500"/>
    <n v="162"/>
    <n v="6"/>
    <x v="1"/>
    <n v="3"/>
    <s v="False"/>
    <n v="71250"/>
    <m/>
    <n v="65750"/>
    <n v="75000"/>
    <n v="52500"/>
    <n v="750"/>
    <n v="116.6284"/>
    <n v="0.18115833100000001"/>
    <n v="13947.443359999999"/>
    <n v="26.64"/>
    <n v="14.2"/>
    <n v="83.46"/>
    <n v="11"/>
    <s v="Rp750"/>
    <n v="1.1399999999999999"/>
  </r>
  <r>
    <x v="133"/>
    <n v="65500"/>
    <n v="163"/>
    <n v="6"/>
    <x v="1"/>
    <n v="4"/>
    <s v="False"/>
    <n v="69892.857142857145"/>
    <m/>
    <n v="66500"/>
    <n v="75000"/>
    <n v="52500"/>
    <n v="-1000"/>
    <n v="116.6284"/>
    <n v="0.18115833100000001"/>
    <n v="14475"/>
    <n v="26.31"/>
    <n v="2.8"/>
    <n v="84.32"/>
    <n v="12"/>
    <s v="-Rp1000"/>
    <n v="-1.5"/>
  </r>
  <r>
    <x v="134"/>
    <n v="65500"/>
    <n v="164"/>
    <n v="6"/>
    <x v="1"/>
    <n v="5"/>
    <s v="False"/>
    <n v="68535.71428571429"/>
    <m/>
    <n v="65500"/>
    <n v="75000"/>
    <n v="54500"/>
    <n v="0"/>
    <n v="116.6284"/>
    <n v="0.18115833100000001"/>
    <n v="14475"/>
    <n v="26.58"/>
    <n v="7.26"/>
    <n v="85.35"/>
    <n v="13"/>
    <s v="-Rp1000"/>
    <n v="-1.5"/>
  </r>
  <r>
    <x v="135"/>
    <n v="65500"/>
    <n v="165"/>
    <n v="6"/>
    <x v="1"/>
    <n v="6"/>
    <s v="False"/>
    <n v="67178.571428571435"/>
    <m/>
    <n v="65500"/>
    <n v="75000"/>
    <n v="54500"/>
    <n v="0"/>
    <n v="116.6284"/>
    <n v="0.18115833100000001"/>
    <n v="14475"/>
    <n v="27.02"/>
    <n v="6.49"/>
    <n v="84.02"/>
    <n v="14"/>
    <s v="-Rp1000"/>
    <n v="-1.5"/>
  </r>
  <r>
    <x v="136"/>
    <n v="62500"/>
    <n v="166"/>
    <n v="6"/>
    <x v="1"/>
    <n v="0"/>
    <s v="False"/>
    <n v="65821.428571428565"/>
    <m/>
    <n v="65500"/>
    <n v="72000"/>
    <m/>
    <n v="-3000"/>
    <n v="116.6284"/>
    <n v="0.18115833100000001"/>
    <n v="14118"/>
    <n v="27.38"/>
    <n v="5"/>
    <n v="78.84"/>
    <n v="15"/>
    <s v="-Rp3000"/>
    <n v="-4.58"/>
  </r>
  <r>
    <x v="137"/>
    <n v="59000"/>
    <n v="167"/>
    <n v="6"/>
    <x v="1"/>
    <n v="1"/>
    <s v="False"/>
    <n v="64321.428571428572"/>
    <m/>
    <n v="62500"/>
    <n v="69500"/>
    <m/>
    <n v="-3500"/>
    <n v="116.6284"/>
    <n v="0.18115833100000001"/>
    <n v="13988.119140000001"/>
    <n v="27.69"/>
    <n v="1.54"/>
    <n v="75.59"/>
    <n v="16"/>
    <s v="-Rp3500"/>
    <n v="-5.6"/>
  </r>
  <r>
    <x v="138"/>
    <n v="54000"/>
    <n v="168"/>
    <n v="6"/>
    <x v="1"/>
    <n v="2"/>
    <s v="False"/>
    <n v="62642.857142857145"/>
    <m/>
    <n v="59000"/>
    <n v="65750"/>
    <n v="56000"/>
    <n v="-5000"/>
    <n v="116.6284"/>
    <n v="0.18115833100000001"/>
    <n v="14275"/>
    <n v="27.28"/>
    <n v="0.9"/>
    <n v="81.61"/>
    <n v="17"/>
    <s v="-Rp5000"/>
    <n v="-8.4700000000000006"/>
  </r>
  <r>
    <x v="139"/>
    <n v="54000"/>
    <n v="169"/>
    <n v="6"/>
    <x v="1"/>
    <n v="3"/>
    <s v="False"/>
    <n v="60857.142857142855"/>
    <m/>
    <n v="54000"/>
    <n v="66500"/>
    <n v="56000"/>
    <n v="0"/>
    <n v="116.6284"/>
    <n v="0.18115833100000001"/>
    <n v="14102.735350000001"/>
    <n v="26.84"/>
    <n v="7.54"/>
    <n v="85.88"/>
    <n v="18"/>
    <s v="Rp0"/>
    <n v="0"/>
  </r>
  <r>
    <x v="140"/>
    <n v="54000"/>
    <n v="170"/>
    <n v="6"/>
    <x v="1"/>
    <n v="4"/>
    <s v="False"/>
    <n v="59214.285714285717"/>
    <m/>
    <n v="54000"/>
    <n v="65500"/>
    <n v="60750"/>
    <n v="0"/>
    <n v="116.6284"/>
    <n v="0.18115833100000001"/>
    <n v="13997.69238"/>
    <n v="27.16"/>
    <n v="0.78"/>
    <n v="79.569999999999993"/>
    <n v="19"/>
    <s v="Rp0"/>
    <n v="0"/>
  </r>
  <r>
    <x v="141"/>
    <n v="50750"/>
    <n v="173"/>
    <n v="6"/>
    <x v="1"/>
    <n v="0"/>
    <s v="False"/>
    <m/>
    <m/>
    <m/>
    <n v="62500"/>
    <m/>
    <m/>
    <n v="116.6284"/>
    <n v="0.18115833100000001"/>
    <n v="14093"/>
    <n v="27.09"/>
    <n v="3.58"/>
    <n v="80.400000000000006"/>
    <n v="22"/>
    <m/>
    <n v="0"/>
  </r>
  <r>
    <x v="142"/>
    <n v="50750"/>
    <n v="174"/>
    <n v="6"/>
    <x v="1"/>
    <n v="1"/>
    <s v="False"/>
    <m/>
    <m/>
    <n v="50750"/>
    <n v="59000"/>
    <m/>
    <n v="0"/>
    <n v="116.6284"/>
    <n v="0.18115833100000001"/>
    <n v="14080.134770000001"/>
    <n v="27.06"/>
    <n v="7.19"/>
    <n v="83.94"/>
    <n v="23"/>
    <s v="Rp0"/>
    <n v="0"/>
  </r>
  <r>
    <x v="143"/>
    <n v="50000"/>
    <n v="175"/>
    <n v="6"/>
    <x v="1"/>
    <n v="2"/>
    <s v="False"/>
    <m/>
    <m/>
    <n v="50750"/>
    <n v="54000"/>
    <m/>
    <n v="-750"/>
    <n v="116.6284"/>
    <n v="0.18115833100000001"/>
    <n v="14113.177729999999"/>
    <n v="26.81"/>
    <n v="7.93"/>
    <n v="83.35"/>
    <n v="24"/>
    <s v="-Rp750"/>
    <n v="-1.48"/>
  </r>
  <r>
    <x v="144"/>
    <n v="50000"/>
    <n v="176"/>
    <n v="6"/>
    <x v="1"/>
    <n v="3"/>
    <s v="False"/>
    <m/>
    <m/>
    <n v="50000"/>
    <n v="54000"/>
    <n v="69000"/>
    <n v="0"/>
    <n v="116.6284"/>
    <n v="0.18115833100000001"/>
    <n v="14289.299800000001"/>
    <n v="26.74"/>
    <n v="5.71"/>
    <n v="83.8"/>
    <n v="25"/>
    <s v="Rp0"/>
    <n v="0"/>
  </r>
  <r>
    <x v="145"/>
    <n v="48000"/>
    <n v="177"/>
    <n v="6"/>
    <x v="1"/>
    <n v="4"/>
    <s v="False"/>
    <m/>
    <m/>
    <n v="50000"/>
    <n v="54000"/>
    <n v="67000"/>
    <n v="-2000"/>
    <n v="116.6284"/>
    <n v="0.18115833100000001"/>
    <n v="14376.200199999999"/>
    <n v="26.16"/>
    <n v="8.7200000000000006"/>
    <n v="82.36"/>
    <n v="26"/>
    <s v="-Rp2000"/>
    <n v="-4"/>
  </r>
  <r>
    <x v="146"/>
    <n v="48000"/>
    <n v="178"/>
    <n v="6"/>
    <x v="1"/>
    <n v="5"/>
    <s v="False"/>
    <m/>
    <m/>
    <n v="48000"/>
    <m/>
    <n v="67000"/>
    <n v="0"/>
    <n v="116.6284"/>
    <n v="0.18115833100000001"/>
    <n v="14376.200199999999"/>
    <n v="25.54"/>
    <n v="16.28"/>
    <n v="81.52"/>
    <n v="27"/>
    <s v="-Rp2000"/>
    <n v="-4"/>
  </r>
  <r>
    <x v="147"/>
    <n v="48000"/>
    <n v="179"/>
    <n v="6"/>
    <x v="1"/>
    <n v="6"/>
    <s v="False"/>
    <n v="49357.142857142855"/>
    <m/>
    <n v="48000"/>
    <m/>
    <n v="67000"/>
    <n v="0"/>
    <n v="116.6284"/>
    <n v="0.18115833100000001"/>
    <n v="14376.200199999999"/>
    <n v="26.26"/>
    <n v="13.51"/>
    <n v="79.89"/>
    <n v="28"/>
    <s v="-Rp2000"/>
    <n v="-4"/>
  </r>
  <r>
    <x v="148"/>
    <n v="46000"/>
    <n v="180"/>
    <n v="6"/>
    <x v="1"/>
    <n v="0"/>
    <s v="False"/>
    <n v="48678.571428571428"/>
    <m/>
    <n v="48000"/>
    <n v="50750"/>
    <n v="67000"/>
    <n v="-2000"/>
    <n v="116.6284"/>
    <n v="0.18115833100000001"/>
    <n v="14213"/>
    <n v="26.21"/>
    <n v="8.2899999999999991"/>
    <n v="84.37"/>
    <n v="29"/>
    <s v="-Rp2000"/>
    <n v="-4.17"/>
  </r>
  <r>
    <x v="149"/>
    <n v="47250"/>
    <n v="181"/>
    <n v="6"/>
    <x v="1"/>
    <n v="1"/>
    <s v="False"/>
    <n v="48178.571428571428"/>
    <m/>
    <n v="46000"/>
    <n v="50750"/>
    <n v="67000"/>
    <n v="1250"/>
    <n v="116.6284"/>
    <n v="0.18115833100000001"/>
    <n v="14470.200199999999"/>
    <n v="26.81"/>
    <n v="3.68"/>
    <n v="77.67"/>
    <n v="30"/>
    <s v="Rp1250"/>
    <n v="2.72"/>
  </r>
  <r>
    <x v="150"/>
    <n v="45500"/>
    <n v="182"/>
    <n v="7"/>
    <x v="1"/>
    <n v="2"/>
    <s v="False"/>
    <n v="47535.714285714283"/>
    <m/>
    <n v="47250"/>
    <n v="50000"/>
    <m/>
    <n v="-1750"/>
    <n v="116.5063"/>
    <n v="-0.104691482"/>
    <n v="14194.05078"/>
    <n v="26.22"/>
    <n v="13.3"/>
    <n v="81.48"/>
    <n v="1"/>
    <s v="-Rp1750"/>
    <n v="-3.7"/>
  </r>
  <r>
    <x v="151"/>
    <n v="43500"/>
    <n v="183"/>
    <n v="7"/>
    <x v="1"/>
    <n v="3"/>
    <s v="False"/>
    <n v="46607.142857142855"/>
    <m/>
    <n v="45500"/>
    <n v="50000"/>
    <n v="80000"/>
    <n v="-2000"/>
    <n v="116.5063"/>
    <n v="-0.104691482"/>
    <n v="14187.858399999999"/>
    <n v="25.6"/>
    <n v="13.1"/>
    <n v="84.93"/>
    <n v="2"/>
    <s v="-Rp2000"/>
    <n v="-4.4000000000000004"/>
  </r>
  <r>
    <x v="152"/>
    <n v="43750"/>
    <n v="184"/>
    <n v="7"/>
    <x v="1"/>
    <n v="4"/>
    <s v="False"/>
    <n v="46000"/>
    <m/>
    <n v="43500"/>
    <n v="48000"/>
    <n v="80000"/>
    <n v="250"/>
    <n v="116.5063"/>
    <n v="-0.104691482"/>
    <n v="14298.7793"/>
    <n v="25.93"/>
    <n v="8.7100000000000009"/>
    <n v="83.83"/>
    <n v="3"/>
    <s v="Rp250"/>
    <n v="0.56999999999999995"/>
  </r>
  <r>
    <x v="153"/>
    <n v="43750"/>
    <n v="185"/>
    <n v="7"/>
    <x v="1"/>
    <n v="5"/>
    <s v="False"/>
    <n v="45392.857142857145"/>
    <m/>
    <n v="43750"/>
    <n v="48000"/>
    <n v="75000"/>
    <n v="0"/>
    <n v="116.5063"/>
    <n v="-0.104691482"/>
    <n v="14298.7793"/>
    <n v="26.27"/>
    <n v="3.87"/>
    <n v="81.11"/>
    <n v="4"/>
    <s v="Rp250"/>
    <n v="0.56999999999999995"/>
  </r>
  <r>
    <x v="154"/>
    <n v="43750"/>
    <n v="186"/>
    <n v="7"/>
    <x v="1"/>
    <n v="6"/>
    <s v="False"/>
    <n v="44785.714285714283"/>
    <m/>
    <n v="43750"/>
    <n v="48000"/>
    <n v="75000"/>
    <n v="0"/>
    <n v="116.5063"/>
    <n v="-0.104691482"/>
    <n v="14298.7793"/>
    <n v="26.29"/>
    <n v="1.64"/>
    <n v="81.819999999999993"/>
    <n v="5"/>
    <s v="Rp250"/>
    <n v="0.56999999999999995"/>
  </r>
  <r>
    <x v="155"/>
    <n v="43500"/>
    <n v="187"/>
    <n v="7"/>
    <x v="1"/>
    <n v="0"/>
    <s v="False"/>
    <n v="44428.571428571428"/>
    <m/>
    <n v="43750"/>
    <n v="46000"/>
    <n v="75000"/>
    <n v="-250"/>
    <n v="116.5063"/>
    <n v="-0.104691482"/>
    <n v="14503"/>
    <n v="25.93"/>
    <n v="3.2"/>
    <n v="84.78"/>
    <n v="6"/>
    <m/>
    <n v="0"/>
  </r>
  <r>
    <x v="156"/>
    <n v="43500"/>
    <n v="188"/>
    <n v="7"/>
    <x v="1"/>
    <n v="1"/>
    <s v="False"/>
    <n v="43892.857142857145"/>
    <m/>
    <n v="43500"/>
    <n v="47250"/>
    <n v="75000"/>
    <n v="0"/>
    <n v="116.5063"/>
    <n v="-0.104691482"/>
    <n v="14206.50879"/>
    <n v="26.38"/>
    <n v="6.72"/>
    <n v="83.75"/>
    <n v="7"/>
    <s v="Rp0"/>
    <n v="0"/>
  </r>
  <r>
    <x v="157"/>
    <n v="43250"/>
    <n v="189"/>
    <n v="7"/>
    <x v="1"/>
    <n v="2"/>
    <s v="False"/>
    <n v="43571.428571428572"/>
    <m/>
    <n v="43500"/>
    <n v="45500"/>
    <n v="72000"/>
    <n v="-250"/>
    <n v="116.5063"/>
    <n v="-0.104691482"/>
    <n v="14483.5"/>
    <n v="26.55"/>
    <n v="6.23"/>
    <n v="80.819999999999993"/>
    <n v="8"/>
    <s v="-Rp250"/>
    <n v="-0.56999999999999995"/>
  </r>
  <r>
    <x v="158"/>
    <n v="42000"/>
    <n v="190"/>
    <n v="7"/>
    <x v="1"/>
    <n v="3"/>
    <s v="False"/>
    <n v="43357.142857142855"/>
    <m/>
    <n v="43250"/>
    <n v="43500"/>
    <n v="69500"/>
    <n v="-1250"/>
    <n v="116.5063"/>
    <n v="-0.104691482"/>
    <n v="14349.565430000001"/>
    <n v="26.18"/>
    <n v="5.14"/>
    <n v="84.22"/>
    <n v="9"/>
    <s v="-Rp1250"/>
    <n v="-2.89"/>
  </r>
  <r>
    <x v="159"/>
    <n v="42000"/>
    <n v="191"/>
    <n v="7"/>
    <x v="1"/>
    <n v="4"/>
    <s v="False"/>
    <n v="43107.142857142855"/>
    <m/>
    <n v="42000"/>
    <n v="43750"/>
    <n v="65750"/>
    <n v="0"/>
    <n v="116.5063"/>
    <n v="-0.104691482"/>
    <n v="14545.700199999999"/>
    <n v="25.85"/>
    <n v="8.7200000000000006"/>
    <n v="85.3"/>
    <n v="10"/>
    <s v="Rp0"/>
    <n v="0"/>
  </r>
  <r>
    <x v="160"/>
    <n v="42000"/>
    <n v="192"/>
    <n v="7"/>
    <x v="1"/>
    <n v="5"/>
    <s v="False"/>
    <n v="42857.142857142855"/>
    <m/>
    <n v="42000"/>
    <n v="43750"/>
    <n v="66500"/>
    <n v="0"/>
    <n v="116.5063"/>
    <n v="-0.104691482"/>
    <n v="14545.700199999999"/>
    <n v="26.49"/>
    <n v="8.33"/>
    <n v="78.27"/>
    <n v="11"/>
    <s v="Rp0"/>
    <n v="0"/>
  </r>
  <r>
    <x v="161"/>
    <n v="42000"/>
    <n v="193"/>
    <n v="7"/>
    <x v="1"/>
    <n v="6"/>
    <s v="False"/>
    <n v="42607.142857142855"/>
    <m/>
    <n v="42000"/>
    <n v="43750"/>
    <n v="65500"/>
    <n v="0"/>
    <n v="116.5063"/>
    <n v="-0.104691482"/>
    <n v="14545.700199999999"/>
    <n v="26.85"/>
    <n v="4"/>
    <n v="77.28"/>
    <n v="12"/>
    <s v="Rp0"/>
    <n v="0"/>
  </r>
  <r>
    <x v="162"/>
    <n v="40000"/>
    <n v="194"/>
    <n v="7"/>
    <x v="1"/>
    <n v="0"/>
    <s v="False"/>
    <n v="42107.142857142855"/>
    <m/>
    <n v="42000"/>
    <n v="43500"/>
    <n v="65500"/>
    <n v="-2000"/>
    <n v="116.5063"/>
    <n v="-0.104691482"/>
    <n v="14428"/>
    <n v="26.64"/>
    <n v="13.79"/>
    <n v="79.349999999999994"/>
    <n v="13"/>
    <s v="-Rp2000"/>
    <n v="-4.76"/>
  </r>
  <r>
    <x v="163"/>
    <n v="40000"/>
    <n v="195"/>
    <n v="7"/>
    <x v="1"/>
    <n v="1"/>
    <s v="False"/>
    <n v="41607.142857142855"/>
    <m/>
    <n v="40000"/>
    <n v="43500"/>
    <n v="65500"/>
    <n v="0"/>
    <n v="116.5063"/>
    <n v="-0.104691482"/>
    <n v="14584"/>
    <n v="26.18"/>
    <n v="7.93"/>
    <n v="83.62"/>
    <n v="14"/>
    <s v="Rp0"/>
    <n v="0"/>
  </r>
  <r>
    <x v="164"/>
    <n v="40000"/>
    <n v="196"/>
    <n v="7"/>
    <x v="1"/>
    <n v="2"/>
    <s v="False"/>
    <n v="41142.857142857145"/>
    <m/>
    <n v="40000"/>
    <n v="43250"/>
    <n v="62500"/>
    <n v="0"/>
    <n v="116.5063"/>
    <n v="-0.104691482"/>
    <n v="14715.400390000001"/>
    <n v="26.39"/>
    <n v="7.12"/>
    <n v="82.03"/>
    <n v="15"/>
    <s v="Rp0"/>
    <n v="0"/>
  </r>
  <r>
    <x v="165"/>
    <n v="40000"/>
    <n v="197"/>
    <n v="7"/>
    <x v="1"/>
    <n v="3"/>
    <s v="False"/>
    <n v="40857.142857142855"/>
    <m/>
    <n v="40000"/>
    <n v="42000"/>
    <n v="59000"/>
    <n v="0"/>
    <n v="116.5063"/>
    <n v="-0.104691482"/>
    <n v="14561.17188"/>
    <n v="27.06"/>
    <n v="2.95"/>
    <n v="77.959999999999994"/>
    <n v="16"/>
    <s v="Rp0"/>
    <n v="0"/>
  </r>
  <r>
    <x v="166"/>
    <n v="40000"/>
    <n v="198"/>
    <n v="7"/>
    <x v="1"/>
    <n v="4"/>
    <s v="False"/>
    <n v="40571.428571428572"/>
    <m/>
    <n v="40000"/>
    <n v="42000"/>
    <n v="54000"/>
    <n v="0"/>
    <n v="116.5063"/>
    <n v="-0.104691482"/>
    <n v="14552.20996"/>
    <n v="27.22"/>
    <n v="1.37"/>
    <n v="76.73"/>
    <n v="17"/>
    <s v="Rp0"/>
    <n v="0"/>
  </r>
  <r>
    <x v="167"/>
    <n v="40000"/>
    <n v="201"/>
    <n v="7"/>
    <x v="1"/>
    <n v="0"/>
    <s v="False"/>
    <m/>
    <m/>
    <m/>
    <n v="40000"/>
    <m/>
    <m/>
    <n v="116.5063"/>
    <n v="-0.104691482"/>
    <n v="14688"/>
    <n v="27.21"/>
    <n v="3.36"/>
    <n v="82.59"/>
    <n v="20"/>
    <s v="Rp0"/>
    <n v="0"/>
  </r>
  <r>
    <x v="168"/>
    <n v="40000"/>
    <n v="202"/>
    <n v="7"/>
    <x v="1"/>
    <n v="1"/>
    <s v="False"/>
    <m/>
    <m/>
    <n v="40000"/>
    <n v="40000"/>
    <m/>
    <n v="0"/>
    <n v="116.5063"/>
    <n v="-0.104691482"/>
    <n v="14949.299800000001"/>
    <n v="26.4"/>
    <n v="5.13"/>
    <n v="85.96"/>
    <n v="21"/>
    <s v="Rp0"/>
    <n v="0"/>
  </r>
  <r>
    <x v="169"/>
    <n v="40000"/>
    <n v="203"/>
    <n v="7"/>
    <x v="1"/>
    <n v="2"/>
    <s v="False"/>
    <m/>
    <m/>
    <n v="40000"/>
    <n v="40000"/>
    <n v="50750"/>
    <n v="0"/>
    <n v="116.5063"/>
    <n v="-0.104691482"/>
    <n v="14626.862300000001"/>
    <n v="26.24"/>
    <n v="17.079999999999998"/>
    <n v="86.58"/>
    <n v="22"/>
    <s v="Rp0"/>
    <n v="0"/>
  </r>
  <r>
    <x v="170"/>
    <n v="40000"/>
    <n v="204"/>
    <n v="7"/>
    <x v="1"/>
    <n v="3"/>
    <s v="False"/>
    <m/>
    <m/>
    <n v="40000"/>
    <n v="40000"/>
    <n v="50750"/>
    <n v="0"/>
    <n v="116.5063"/>
    <n v="-0.104691482"/>
    <n v="14630"/>
    <n v="26.57"/>
    <n v="16.61"/>
    <n v="80"/>
    <n v="23"/>
    <s v="Rp0"/>
    <n v="0"/>
  </r>
  <r>
    <x v="171"/>
    <n v="39000"/>
    <n v="205"/>
    <n v="7"/>
    <x v="1"/>
    <n v="4"/>
    <s v="False"/>
    <m/>
    <m/>
    <n v="40000"/>
    <n v="40000"/>
    <n v="50000"/>
    <n v="-1000"/>
    <n v="116.5063"/>
    <n v="-0.104691482"/>
    <n v="14578.9043"/>
    <n v="26.91"/>
    <n v="6.22"/>
    <n v="81.96"/>
    <n v="24"/>
    <s v="-Rp1000"/>
    <n v="-2.5"/>
  </r>
  <r>
    <x v="172"/>
    <n v="36750"/>
    <n v="208"/>
    <n v="7"/>
    <x v="1"/>
    <n v="0"/>
    <s v="False"/>
    <m/>
    <m/>
    <m/>
    <n v="40000"/>
    <n v="48000"/>
    <m/>
    <n v="116.5063"/>
    <n v="-0.104691482"/>
    <n v="14603"/>
    <n v="26.1"/>
    <n v="4.67"/>
    <n v="83.25"/>
    <n v="27"/>
    <s v="-Rp2250"/>
    <n v="-5.77"/>
  </r>
  <r>
    <x v="173"/>
    <n v="36750"/>
    <n v="209"/>
    <n v="7"/>
    <x v="1"/>
    <n v="1"/>
    <s v="False"/>
    <m/>
    <m/>
    <n v="36750"/>
    <n v="40000"/>
    <n v="48000"/>
    <n v="0"/>
    <n v="116.5063"/>
    <n v="-0.104691482"/>
    <n v="14614.5"/>
    <n v="26.6"/>
    <n v="3.41"/>
    <n v="81.23"/>
    <n v="28"/>
    <s v="Rp0"/>
    <n v="0"/>
  </r>
  <r>
    <x v="174"/>
    <n v="35750"/>
    <n v="210"/>
    <n v="7"/>
    <x v="1"/>
    <n v="2"/>
    <s v="False"/>
    <m/>
    <m/>
    <n v="36750"/>
    <n v="40000"/>
    <n v="46000"/>
    <n v="-1000"/>
    <n v="116.5063"/>
    <n v="-0.104691482"/>
    <n v="14633.5"/>
    <n v="25.94"/>
    <n v="20.83"/>
    <n v="86.46"/>
    <n v="29"/>
    <s v="-Rp1000"/>
    <n v="-2.72"/>
  </r>
  <r>
    <x v="175"/>
    <n v="35750"/>
    <n v="211"/>
    <n v="7"/>
    <x v="1"/>
    <n v="3"/>
    <s v="False"/>
    <m/>
    <m/>
    <n v="35750"/>
    <n v="40000"/>
    <n v="47250"/>
    <n v="0"/>
    <n v="116.5063"/>
    <n v="-0.104691482"/>
    <n v="14458.344730000001"/>
    <n v="25.99"/>
    <n v="7.5"/>
    <n v="87.02"/>
    <n v="30"/>
    <s v="Rp0"/>
    <n v="0"/>
  </r>
  <r>
    <x v="176"/>
    <n v="34750"/>
    <n v="215"/>
    <n v="8"/>
    <x v="1"/>
    <n v="0"/>
    <s v="False"/>
    <m/>
    <m/>
    <m/>
    <n v="36750"/>
    <n v="43750"/>
    <m/>
    <n v="116.4508"/>
    <n v="-4.7636908999999998E-2"/>
    <n v="14593"/>
    <n v="26.29"/>
    <n v="3.3"/>
    <n v="84.74"/>
    <n v="3"/>
    <m/>
    <n v="0"/>
  </r>
  <r>
    <x v="177"/>
    <n v="34750"/>
    <n v="216"/>
    <n v="8"/>
    <x v="1"/>
    <n v="1"/>
    <s v="False"/>
    <m/>
    <m/>
    <n v="34750"/>
    <n v="36750"/>
    <n v="43750"/>
    <n v="0"/>
    <n v="116.4508"/>
    <n v="-4.7636908999999998E-2"/>
    <n v="14540.920899999999"/>
    <n v="26.37"/>
    <n v="12.14"/>
    <n v="85.15"/>
    <n v="4"/>
    <s v="Rp0"/>
    <n v="0"/>
  </r>
  <r>
    <x v="178"/>
    <n v="33250"/>
    <n v="217"/>
    <n v="8"/>
    <x v="1"/>
    <n v="2"/>
    <s v="False"/>
    <m/>
    <m/>
    <n v="34750"/>
    <n v="35750"/>
    <n v="43500"/>
    <n v="-1500"/>
    <n v="116.4508"/>
    <n v="-4.7636908999999998E-2"/>
    <n v="14720"/>
    <n v="26.52"/>
    <n v="1.94"/>
    <n v="83.74"/>
    <n v="5"/>
    <s v="-Rp1500"/>
    <n v="-4.32"/>
  </r>
  <r>
    <x v="179"/>
    <n v="33250"/>
    <n v="218"/>
    <n v="8"/>
    <x v="1"/>
    <n v="3"/>
    <s v="False"/>
    <m/>
    <m/>
    <n v="33250"/>
    <n v="35750"/>
    <n v="43500"/>
    <n v="0"/>
    <n v="116.4508"/>
    <n v="-4.7636908999999998E-2"/>
    <n v="14307.64258"/>
    <n v="26.62"/>
    <n v="0.59"/>
    <n v="81.58"/>
    <n v="6"/>
    <s v="Rp0"/>
    <n v="0"/>
  </r>
  <r>
    <x v="180"/>
    <n v="33250"/>
    <n v="219"/>
    <n v="8"/>
    <x v="1"/>
    <n v="4"/>
    <s v="False"/>
    <m/>
    <m/>
    <n v="33250"/>
    <m/>
    <n v="43250"/>
    <n v="0"/>
    <n v="116.4508"/>
    <n v="-4.7636908999999998E-2"/>
    <n v="14568.45703"/>
    <n v="26.58"/>
    <n v="2.81"/>
    <n v="81.040000000000006"/>
    <n v="7"/>
    <s v="Rp0"/>
    <n v="0"/>
  </r>
  <r>
    <x v="181"/>
    <n v="33250"/>
    <n v="220"/>
    <n v="8"/>
    <x v="1"/>
    <n v="5"/>
    <s v="False"/>
    <m/>
    <m/>
    <n v="33250"/>
    <m/>
    <n v="42000"/>
    <n v="0"/>
    <n v="116.4508"/>
    <n v="-4.7636908999999998E-2"/>
    <n v="14568.45703"/>
    <n v="26.49"/>
    <n v="0.8"/>
    <n v="83.8"/>
    <n v="8"/>
    <s v="Rp0"/>
    <n v="0"/>
  </r>
  <r>
    <x v="182"/>
    <n v="33250"/>
    <n v="221"/>
    <n v="8"/>
    <x v="1"/>
    <n v="6"/>
    <s v="False"/>
    <n v="33678.571428571428"/>
    <m/>
    <n v="33250"/>
    <m/>
    <n v="42000"/>
    <n v="0"/>
    <n v="116.4508"/>
    <n v="-4.7636908999999998E-2"/>
    <n v="14568.45703"/>
    <n v="26.76"/>
    <n v="0.82"/>
    <n v="83"/>
    <n v="9"/>
    <s v="Rp0"/>
    <n v="0"/>
  </r>
  <r>
    <x v="183"/>
    <n v="35500"/>
    <n v="222"/>
    <n v="8"/>
    <x v="1"/>
    <n v="0"/>
    <s v="False"/>
    <n v="33785.714285714283"/>
    <m/>
    <n v="33250"/>
    <n v="34750"/>
    <n v="42000"/>
    <n v="2250"/>
    <n v="116.4508"/>
    <n v="-4.7636908999999998E-2"/>
    <n v="14618"/>
    <n v="26.41"/>
    <n v="1.67"/>
    <n v="81.94"/>
    <n v="10"/>
    <s v="Rp2250"/>
    <n v="6.77"/>
  </r>
  <r>
    <x v="184"/>
    <n v="35500"/>
    <n v="223"/>
    <n v="8"/>
    <x v="1"/>
    <n v="1"/>
    <s v="False"/>
    <n v="33892.857142857145"/>
    <m/>
    <n v="35500"/>
    <n v="34750"/>
    <n v="42000"/>
    <n v="0"/>
    <n v="116.4508"/>
    <n v="-4.7636908999999998E-2"/>
    <n v="14823.799800000001"/>
    <n v="26.46"/>
    <n v="3.17"/>
    <n v="82.9"/>
    <n v="11"/>
    <s v="Rp0"/>
    <n v="0"/>
  </r>
  <r>
    <x v="185"/>
    <n v="38000"/>
    <n v="224"/>
    <n v="8"/>
    <x v="1"/>
    <n v="2"/>
    <s v="False"/>
    <n v="34571.428571428572"/>
    <m/>
    <n v="35500"/>
    <n v="33250"/>
    <n v="40000"/>
    <n v="2500"/>
    <n v="116.4508"/>
    <n v="-4.7636908999999998E-2"/>
    <n v="14858.5"/>
    <n v="27.1"/>
    <n v="0.77"/>
    <n v="79.89"/>
    <n v="12"/>
    <s v="Rp2500"/>
    <n v="7.04"/>
  </r>
  <r>
    <x v="186"/>
    <n v="37500"/>
    <n v="225"/>
    <n v="8"/>
    <x v="1"/>
    <n v="3"/>
    <s v="False"/>
    <n v="35178.571428571428"/>
    <m/>
    <n v="38000"/>
    <n v="33250"/>
    <n v="40000"/>
    <n v="-500"/>
    <n v="116.4508"/>
    <n v="-4.7636908999999998E-2"/>
    <n v="14670.809569999999"/>
    <n v="27.33"/>
    <n v="1.1000000000000001"/>
    <n v="77.88"/>
    <n v="13"/>
    <s v="-Rp500"/>
    <n v="-1.32"/>
  </r>
  <r>
    <x v="187"/>
    <n v="39500"/>
    <n v="226"/>
    <n v="8"/>
    <x v="1"/>
    <n v="4"/>
    <s v="False"/>
    <n v="36071.428571428572"/>
    <m/>
    <n v="37500"/>
    <n v="33250"/>
    <n v="40000"/>
    <n v="2000"/>
    <n v="116.4508"/>
    <n v="-4.7636908999999998E-2"/>
    <n v="14673.497069999999"/>
    <n v="26.49"/>
    <n v="1.19"/>
    <n v="80.260000000000005"/>
    <n v="14"/>
    <s v="Rp2000"/>
    <n v="5.33"/>
  </r>
  <r>
    <x v="188"/>
    <n v="40000"/>
    <n v="230"/>
    <n v="8"/>
    <x v="1"/>
    <n v="1"/>
    <s v="False"/>
    <m/>
    <m/>
    <m/>
    <n v="35500"/>
    <m/>
    <m/>
    <n v="116.4508"/>
    <n v="-4.7636908999999998E-2"/>
    <n v="14969.400390000001"/>
    <n v="26.75"/>
    <n v="0.51"/>
    <n v="79.11"/>
    <n v="18"/>
    <m/>
    <n v="0"/>
  </r>
  <r>
    <x v="189"/>
    <n v="40000"/>
    <n v="231"/>
    <n v="8"/>
    <x v="1"/>
    <n v="2"/>
    <s v="False"/>
    <m/>
    <m/>
    <n v="40000"/>
    <n v="38000"/>
    <n v="40000"/>
    <n v="0"/>
    <n v="116.4508"/>
    <n v="-4.7636908999999998E-2"/>
    <n v="14598.072270000001"/>
    <n v="26.96"/>
    <n v="0.23"/>
    <n v="76"/>
    <n v="19"/>
    <s v="Rp0"/>
    <n v="0"/>
  </r>
  <r>
    <x v="190"/>
    <n v="36500"/>
    <n v="236"/>
    <n v="8"/>
    <x v="1"/>
    <n v="0"/>
    <s v="False"/>
    <m/>
    <m/>
    <m/>
    <m/>
    <m/>
    <m/>
    <n v="116.4508"/>
    <n v="-4.7636908999999998E-2"/>
    <n v="14764"/>
    <n v="26.71"/>
    <n v="0.72"/>
    <n v="82.33"/>
    <n v="24"/>
    <m/>
    <n v="0"/>
  </r>
  <r>
    <x v="191"/>
    <n v="35500"/>
    <n v="237"/>
    <n v="8"/>
    <x v="1"/>
    <n v="1"/>
    <s v="False"/>
    <m/>
    <m/>
    <n v="36500"/>
    <n v="40000"/>
    <m/>
    <n v="-1000"/>
    <n v="116.4508"/>
    <n v="-4.7636908999999998E-2"/>
    <n v="14629.400390000001"/>
    <n v="26.36"/>
    <n v="0.89"/>
    <n v="84.86"/>
    <n v="25"/>
    <s v="-Rp1000"/>
    <n v="-2.74"/>
  </r>
  <r>
    <x v="192"/>
    <n v="35000"/>
    <n v="238"/>
    <n v="8"/>
    <x v="1"/>
    <n v="2"/>
    <s v="False"/>
    <m/>
    <m/>
    <n v="35500"/>
    <n v="40000"/>
    <n v="36750"/>
    <n v="-500"/>
    <n v="116.4508"/>
    <n v="-4.7636908999999998E-2"/>
    <n v="14607.700199999999"/>
    <n v="26.6"/>
    <n v="0.63"/>
    <n v="81.86"/>
    <n v="26"/>
    <s v="-Rp500"/>
    <n v="-1.41"/>
  </r>
  <r>
    <x v="193"/>
    <n v="35000"/>
    <n v="239"/>
    <n v="8"/>
    <x v="1"/>
    <n v="3"/>
    <s v="False"/>
    <m/>
    <m/>
    <n v="35000"/>
    <m/>
    <n v="36750"/>
    <n v="0"/>
    <n v="116.4508"/>
    <n v="-4.7636908999999998E-2"/>
    <n v="14447.382809999999"/>
    <n v="26.41"/>
    <n v="0.35"/>
    <n v="83.78"/>
    <n v="27"/>
    <s v="Rp0"/>
    <n v="0"/>
  </r>
  <r>
    <x v="194"/>
    <n v="35000"/>
    <n v="240"/>
    <n v="8"/>
    <x v="1"/>
    <n v="4"/>
    <s v="False"/>
    <m/>
    <m/>
    <n v="35000"/>
    <m/>
    <n v="35750"/>
    <n v="0"/>
    <n v="116.4508"/>
    <n v="-4.7636908999999998E-2"/>
    <n v="14446.003909999999"/>
    <n v="26.8"/>
    <n v="1.42"/>
    <n v="82.31"/>
    <n v="28"/>
    <s v="Rp0"/>
    <n v="0"/>
  </r>
  <r>
    <x v="195"/>
    <n v="35000"/>
    <n v="241"/>
    <n v="8"/>
    <x v="1"/>
    <n v="5"/>
    <s v="False"/>
    <m/>
    <m/>
    <n v="35000"/>
    <m/>
    <n v="35750"/>
    <n v="0"/>
    <n v="116.4508"/>
    <n v="-4.7636908999999998E-2"/>
    <n v="14446.003909999999"/>
    <n v="26.53"/>
    <n v="5.0199999999999996"/>
    <n v="84.07"/>
    <n v="29"/>
    <s v="Rp0"/>
    <n v="0"/>
  </r>
  <r>
    <x v="196"/>
    <n v="35000"/>
    <n v="242"/>
    <n v="8"/>
    <x v="1"/>
    <n v="6"/>
    <s v="False"/>
    <n v="35285.714285714283"/>
    <m/>
    <n v="35000"/>
    <m/>
    <m/>
    <n v="0"/>
    <n v="116.4508"/>
    <n v="-4.7636908999999998E-2"/>
    <n v="14446.003909999999"/>
    <n v="26.55"/>
    <n v="5.72"/>
    <n v="82.09"/>
    <n v="30"/>
    <s v="Rp0"/>
    <n v="0"/>
  </r>
  <r>
    <x v="197"/>
    <n v="34000"/>
    <n v="243"/>
    <n v="8"/>
    <x v="1"/>
    <n v="0"/>
    <s v="False"/>
    <n v="34928.571428571428"/>
    <m/>
    <n v="35000"/>
    <n v="36500"/>
    <m/>
    <n v="-1000"/>
    <n v="116.4508"/>
    <n v="-4.7636908999999998E-2"/>
    <n v="14618"/>
    <n v="26.07"/>
    <n v="6.68"/>
    <n v="85"/>
    <n v="31"/>
    <s v="-Rp1000"/>
    <n v="-2.86"/>
  </r>
  <r>
    <x v="198"/>
    <n v="34000"/>
    <n v="244"/>
    <n v="9"/>
    <x v="1"/>
    <n v="1"/>
    <s v="False"/>
    <n v="34714.285714285717"/>
    <m/>
    <n v="34000"/>
    <n v="35500"/>
    <m/>
    <n v="0"/>
    <n v="116.39530000000001"/>
    <n v="-4.7659611999999997E-2"/>
    <n v="14599.700199999999"/>
    <n v="26.77"/>
    <n v="2.41"/>
    <n v="83.61"/>
    <n v="1"/>
    <s v="Rp0"/>
    <n v="0"/>
  </r>
  <r>
    <x v="199"/>
    <n v="34000"/>
    <n v="245"/>
    <n v="9"/>
    <x v="1"/>
    <n v="2"/>
    <s v="False"/>
    <n v="34571.428571428572"/>
    <m/>
    <n v="34000"/>
    <n v="35000"/>
    <n v="34750"/>
    <n v="0"/>
    <n v="116.39530000000001"/>
    <n v="-4.7659611999999997E-2"/>
    <n v="14818.599609999999"/>
    <n v="26.3"/>
    <n v="9.4"/>
    <n v="82.69"/>
    <n v="2"/>
    <s v="Rp0"/>
    <n v="0"/>
  </r>
  <r>
    <x v="200"/>
    <n v="32000"/>
    <n v="246"/>
    <n v="9"/>
    <x v="1"/>
    <n v="3"/>
    <s v="False"/>
    <n v="34142.857142857145"/>
    <m/>
    <n v="34000"/>
    <n v="35000"/>
    <n v="34750"/>
    <n v="-2000"/>
    <n v="116.39530000000001"/>
    <n v="-4.7659611999999997E-2"/>
    <n v="14565.14746"/>
    <n v="25.64"/>
    <n v="3.29"/>
    <n v="85"/>
    <n v="3"/>
    <s v="-Rp2000"/>
    <n v="-5.88"/>
  </r>
  <r>
    <x v="201"/>
    <n v="33000"/>
    <n v="247"/>
    <n v="9"/>
    <x v="1"/>
    <n v="4"/>
    <s v="False"/>
    <n v="33857.142857142855"/>
    <m/>
    <n v="32000"/>
    <n v="35000"/>
    <n v="33250"/>
    <n v="1000"/>
    <n v="116.39530000000001"/>
    <n v="-4.7659611999999997E-2"/>
    <n v="14545.987300000001"/>
    <n v="26.24"/>
    <n v="0.72"/>
    <n v="84.11"/>
    <n v="4"/>
    <s v="Rp1000"/>
    <n v="3.13"/>
  </r>
  <r>
    <x v="202"/>
    <n v="33000"/>
    <n v="248"/>
    <n v="9"/>
    <x v="1"/>
    <n v="5"/>
    <s v="False"/>
    <n v="33571.428571428572"/>
    <m/>
    <n v="33000"/>
    <n v="35000"/>
    <n v="33250"/>
    <n v="0"/>
    <n v="116.39530000000001"/>
    <n v="-4.7659611999999997E-2"/>
    <n v="14545.987300000001"/>
    <n v="27.07"/>
    <n v="0.5"/>
    <n v="81.680000000000007"/>
    <n v="5"/>
    <s v="Rp1000"/>
    <n v="3.13"/>
  </r>
  <r>
    <x v="203"/>
    <n v="33000"/>
    <n v="249"/>
    <n v="9"/>
    <x v="1"/>
    <n v="6"/>
    <s v="False"/>
    <n v="33285.714285714283"/>
    <m/>
    <n v="33000"/>
    <n v="35000"/>
    <n v="33250"/>
    <n v="0"/>
    <n v="116.39530000000001"/>
    <n v="-4.7659611999999997E-2"/>
    <n v="14545.987300000001"/>
    <n v="27.09"/>
    <n v="3.93"/>
    <n v="82.09"/>
    <n v="6"/>
    <s v="Rp1000"/>
    <n v="3.13"/>
  </r>
  <r>
    <x v="204"/>
    <n v="34750"/>
    <n v="250"/>
    <n v="9"/>
    <x v="1"/>
    <n v="0"/>
    <s v="False"/>
    <n v="33392.857142857145"/>
    <m/>
    <n v="33000"/>
    <n v="34000"/>
    <n v="33250"/>
    <n v="1750"/>
    <n v="116.39530000000001"/>
    <n v="-4.7659611999999997E-2"/>
    <n v="14741"/>
    <n v="26.71"/>
    <n v="7.24"/>
    <n v="83.8"/>
    <n v="7"/>
    <s v="Rp1750"/>
    <n v="5.3"/>
  </r>
  <r>
    <x v="205"/>
    <n v="35500"/>
    <n v="251"/>
    <n v="9"/>
    <x v="1"/>
    <n v="1"/>
    <s v="False"/>
    <n v="33607.142857142855"/>
    <m/>
    <n v="34750"/>
    <n v="34000"/>
    <n v="33250"/>
    <n v="750"/>
    <n v="116.39530000000001"/>
    <n v="-4.7659611999999997E-2"/>
    <n v="14795"/>
    <n v="26.45"/>
    <n v="4.28"/>
    <n v="81.78"/>
    <n v="8"/>
    <s v="Rp750"/>
    <n v="2.16"/>
  </r>
  <r>
    <x v="206"/>
    <n v="36000"/>
    <n v="252"/>
    <n v="9"/>
    <x v="1"/>
    <n v="2"/>
    <s v="False"/>
    <n v="33892.857142857145"/>
    <m/>
    <n v="35500"/>
    <n v="34000"/>
    <n v="35500"/>
    <n v="500"/>
    <n v="116.39530000000001"/>
    <n v="-4.7659611999999997E-2"/>
    <n v="14915.200199999999"/>
    <n v="26.68"/>
    <n v="2.54"/>
    <n v="80.47"/>
    <n v="9"/>
    <s v="Rp500"/>
    <n v="1.41"/>
  </r>
  <r>
    <x v="207"/>
    <n v="36000"/>
    <n v="253"/>
    <n v="9"/>
    <x v="1"/>
    <n v="3"/>
    <s v="False"/>
    <n v="34464.285714285717"/>
    <m/>
    <n v="36000"/>
    <n v="32000"/>
    <n v="35500"/>
    <n v="0"/>
    <n v="116.39530000000001"/>
    <n v="-4.7659611999999997E-2"/>
    <n v="14874.200199999999"/>
    <n v="27.32"/>
    <n v="2.2799999999999998"/>
    <n v="78.28"/>
    <n v="10"/>
    <s v="Rp0"/>
    <n v="0"/>
  </r>
  <r>
    <x v="208"/>
    <n v="36500"/>
    <n v="254"/>
    <n v="9"/>
    <x v="1"/>
    <n v="4"/>
    <s v="False"/>
    <n v="34964.285714285717"/>
    <m/>
    <n v="36000"/>
    <n v="33000"/>
    <n v="38000"/>
    <n v="500"/>
    <n v="116.39530000000001"/>
    <n v="-4.7659611999999997E-2"/>
    <n v="14857.4707"/>
    <n v="26.55"/>
    <n v="2.81"/>
    <n v="84.91"/>
    <n v="11"/>
    <s v="Rp500"/>
    <n v="1.39"/>
  </r>
  <r>
    <x v="209"/>
    <n v="36500"/>
    <n v="255"/>
    <n v="9"/>
    <x v="1"/>
    <n v="5"/>
    <s v="False"/>
    <n v="35464.285714285717"/>
    <m/>
    <n v="36500"/>
    <n v="33000"/>
    <n v="37500"/>
    <n v="0"/>
    <n v="116.39530000000001"/>
    <n v="-4.7659611999999997E-2"/>
    <n v="14857.4707"/>
    <n v="26.64"/>
    <n v="3.75"/>
    <n v="85.07"/>
    <n v="12"/>
    <s v="Rp500"/>
    <n v="1.39"/>
  </r>
  <r>
    <x v="210"/>
    <n v="36500"/>
    <n v="256"/>
    <n v="9"/>
    <x v="1"/>
    <n v="6"/>
    <s v="False"/>
    <n v="35964.285714285717"/>
    <m/>
    <n v="36500"/>
    <n v="33000"/>
    <n v="39500"/>
    <n v="0"/>
    <n v="116.39530000000001"/>
    <n v="-4.7659611999999997E-2"/>
    <n v="14857.4707"/>
    <n v="26.26"/>
    <n v="29.38"/>
    <n v="83.7"/>
    <n v="13"/>
    <s v="Rp500"/>
    <n v="1.39"/>
  </r>
  <r>
    <x v="211"/>
    <n v="35750"/>
    <n v="257"/>
    <n v="9"/>
    <x v="1"/>
    <n v="0"/>
    <s v="False"/>
    <n v="36107.142857142855"/>
    <m/>
    <n v="36500"/>
    <n v="34750"/>
    <m/>
    <n v="-750"/>
    <n v="116.39530000000001"/>
    <n v="-4.7659611999999997E-2"/>
    <n v="14883"/>
    <n v="26.6"/>
    <n v="17.55"/>
    <n v="82.69"/>
    <n v="14"/>
    <s v="-Rp750"/>
    <n v="-2.0499999999999998"/>
  </r>
  <r>
    <x v="212"/>
    <n v="36000"/>
    <n v="258"/>
    <n v="9"/>
    <x v="1"/>
    <n v="1"/>
    <s v="False"/>
    <n v="36178.571428571428"/>
    <m/>
    <n v="35750"/>
    <n v="35500"/>
    <m/>
    <n v="250"/>
    <n v="116.39530000000001"/>
    <n v="-4.7659611999999997E-2"/>
    <n v="14983.5"/>
    <n v="26.34"/>
    <n v="5.62"/>
    <n v="83.5"/>
    <n v="15"/>
    <s v="Rp250"/>
    <n v="0.7"/>
  </r>
  <r>
    <x v="213"/>
    <n v="36000"/>
    <n v="259"/>
    <n v="9"/>
    <x v="1"/>
    <n v="2"/>
    <s v="False"/>
    <n v="36178.571428571428"/>
    <m/>
    <n v="36000"/>
    <n v="36000"/>
    <m/>
    <n v="0"/>
    <n v="116.39530000000001"/>
    <n v="-4.7659611999999997E-2"/>
    <n v="14869.599609999999"/>
    <n v="26.13"/>
    <n v="9.07"/>
    <n v="79.150000000000006"/>
    <n v="16"/>
    <s v="Rp0"/>
    <n v="0"/>
  </r>
  <r>
    <x v="214"/>
    <n v="35000"/>
    <n v="260"/>
    <n v="9"/>
    <x v="1"/>
    <n v="3"/>
    <s v="False"/>
    <n v="36035.714285714283"/>
    <m/>
    <n v="36000"/>
    <n v="36000"/>
    <n v="40000"/>
    <n v="-1000"/>
    <n v="116.39530000000001"/>
    <n v="-4.7659611999999997E-2"/>
    <n v="14812.58691"/>
    <n v="26.83"/>
    <n v="0.44"/>
    <n v="74.28"/>
    <n v="17"/>
    <s v="-Rp1000"/>
    <n v="-2.78"/>
  </r>
  <r>
    <x v="215"/>
    <n v="35000"/>
    <n v="261"/>
    <n v="9"/>
    <x v="1"/>
    <n v="4"/>
    <s v="False"/>
    <n v="35821.428571428572"/>
    <m/>
    <n v="35000"/>
    <n v="36500"/>
    <n v="40000"/>
    <n v="0"/>
    <n v="116.39530000000001"/>
    <n v="-4.7659611999999997E-2"/>
    <n v="14788"/>
    <n v="26.62"/>
    <n v="1.22"/>
    <n v="82.55"/>
    <n v="18"/>
    <s v="Rp0"/>
    <n v="0"/>
  </r>
  <r>
    <x v="216"/>
    <n v="33000"/>
    <n v="264"/>
    <n v="9"/>
    <x v="1"/>
    <n v="0"/>
    <s v="False"/>
    <m/>
    <m/>
    <m/>
    <n v="35750"/>
    <m/>
    <m/>
    <n v="116.39530000000001"/>
    <n v="-4.7659611999999997E-2"/>
    <n v="14728"/>
    <n v="27.79"/>
    <n v="0.47"/>
    <n v="78.290000000000006"/>
    <n v="21"/>
    <s v="-Rp2000"/>
    <n v="-5.71"/>
  </r>
  <r>
    <x v="217"/>
    <n v="33000"/>
    <n v="265"/>
    <n v="9"/>
    <x v="1"/>
    <n v="1"/>
    <s v="False"/>
    <m/>
    <m/>
    <n v="33000"/>
    <n v="36000"/>
    <m/>
    <n v="0"/>
    <n v="116.39530000000001"/>
    <n v="-4.7659611999999997E-2"/>
    <n v="14839.200199999999"/>
    <n v="27.39"/>
    <n v="3.86"/>
    <n v="81.27"/>
    <n v="22"/>
    <s v="Rp0"/>
    <n v="0"/>
  </r>
  <r>
    <x v="218"/>
    <n v="32500"/>
    <n v="266"/>
    <n v="9"/>
    <x v="1"/>
    <n v="2"/>
    <s v="False"/>
    <m/>
    <m/>
    <n v="33000"/>
    <n v="36000"/>
    <n v="36500"/>
    <n v="-500"/>
    <n v="116.39530000000001"/>
    <n v="-4.7659611999999997E-2"/>
    <n v="14742.585940000001"/>
    <n v="26.78"/>
    <n v="5.2"/>
    <n v="83.22"/>
    <n v="23"/>
    <s v="-Rp500"/>
    <n v="-1.52"/>
  </r>
  <r>
    <x v="219"/>
    <n v="32500"/>
    <n v="267"/>
    <n v="9"/>
    <x v="1"/>
    <n v="3"/>
    <s v="False"/>
    <m/>
    <m/>
    <n v="32500"/>
    <n v="35000"/>
    <n v="35500"/>
    <n v="0"/>
    <n v="116.39530000000001"/>
    <n v="-4.7659611999999997E-2"/>
    <n v="14803.985350000001"/>
    <n v="26.77"/>
    <n v="12.71"/>
    <n v="79.09"/>
    <n v="24"/>
    <s v="Rp0"/>
    <n v="0"/>
  </r>
  <r>
    <x v="220"/>
    <n v="32500"/>
    <n v="268"/>
    <n v="9"/>
    <x v="1"/>
    <n v="4"/>
    <s v="False"/>
    <m/>
    <m/>
    <n v="32500"/>
    <n v="35000"/>
    <n v="35000"/>
    <n v="0"/>
    <n v="116.39530000000001"/>
    <n v="-4.7659611999999997E-2"/>
    <n v="14839.57813"/>
    <n v="26.94"/>
    <n v="20.239999999999998"/>
    <n v="77.87"/>
    <n v="25"/>
    <s v="Rp0"/>
    <n v="0"/>
  </r>
  <r>
    <x v="221"/>
    <n v="32500"/>
    <n v="269"/>
    <n v="9"/>
    <x v="1"/>
    <n v="5"/>
    <s v="False"/>
    <m/>
    <m/>
    <n v="32500"/>
    <m/>
    <n v="35000"/>
    <n v="0"/>
    <n v="116.39530000000001"/>
    <n v="-4.7659611999999997E-2"/>
    <n v="14839.57813"/>
    <n v="26.65"/>
    <n v="3.21"/>
    <n v="81.99"/>
    <n v="26"/>
    <s v="Rp0"/>
    <n v="0"/>
  </r>
  <r>
    <x v="222"/>
    <n v="32500"/>
    <n v="270"/>
    <n v="9"/>
    <x v="1"/>
    <n v="6"/>
    <s v="False"/>
    <n v="32642.857142857141"/>
    <m/>
    <n v="32500"/>
    <m/>
    <n v="35000"/>
    <n v="0"/>
    <n v="116.39530000000001"/>
    <n v="-4.7659611999999997E-2"/>
    <n v="14839.57813"/>
    <n v="26.9"/>
    <n v="1.71"/>
    <n v="80.31"/>
    <n v="27"/>
    <s v="Rp0"/>
    <n v="0"/>
  </r>
  <r>
    <x v="223"/>
    <n v="32000"/>
    <n v="271"/>
    <n v="9"/>
    <x v="1"/>
    <n v="0"/>
    <s v="False"/>
    <n v="32500"/>
    <m/>
    <n v="32500"/>
    <n v="33000"/>
    <n v="35000"/>
    <n v="-500"/>
    <n v="116.39530000000001"/>
    <n v="-4.7659611999999997E-2"/>
    <n v="14863"/>
    <n v="27.2"/>
    <n v="3.57"/>
    <n v="81.08"/>
    <n v="28"/>
    <s v="-Rp500"/>
    <n v="-1.54"/>
  </r>
  <r>
    <x v="224"/>
    <n v="32000"/>
    <n v="272"/>
    <n v="9"/>
    <x v="1"/>
    <n v="1"/>
    <s v="False"/>
    <n v="32357.142857142859"/>
    <m/>
    <n v="32000"/>
    <n v="33000"/>
    <n v="35000"/>
    <n v="0"/>
    <n v="116.39530000000001"/>
    <n v="-4.7659611999999997E-2"/>
    <n v="14893.599609999999"/>
    <n v="26.41"/>
    <n v="9.49"/>
    <n v="87.68"/>
    <n v="29"/>
    <s v="Rp0"/>
    <n v="0"/>
  </r>
  <r>
    <x v="225"/>
    <n v="30500"/>
    <n v="273"/>
    <n v="9"/>
    <x v="1"/>
    <n v="2"/>
    <s v="False"/>
    <n v="32071.428571428572"/>
    <m/>
    <n v="32000"/>
    <n v="32500"/>
    <n v="34000"/>
    <n v="-1500"/>
    <n v="116.39530000000001"/>
    <n v="-4.7659611999999997E-2"/>
    <n v="14910"/>
    <n v="26.48"/>
    <n v="2.84"/>
    <n v="81.78"/>
    <n v="30"/>
    <s v="-Rp1500"/>
    <n v="-4.6900000000000004"/>
  </r>
  <r>
    <x v="226"/>
    <n v="30500"/>
    <n v="274"/>
    <n v="10"/>
    <x v="0"/>
    <n v="3"/>
    <s v="False"/>
    <n v="31785.714285714286"/>
    <m/>
    <n v="30500"/>
    <n v="32500"/>
    <n v="34000"/>
    <n v="0"/>
    <n v="116.473"/>
    <n v="6.6755273000000004E-2"/>
    <n v="14879"/>
    <n v="27.07"/>
    <n v="1.03"/>
    <n v="80.849999999999994"/>
    <n v="1"/>
    <s v="Rp0"/>
    <n v="0"/>
  </r>
  <r>
    <x v="227"/>
    <n v="30500"/>
    <n v="275"/>
    <n v="10"/>
    <x v="0"/>
    <n v="4"/>
    <s v="False"/>
    <n v="31500"/>
    <m/>
    <n v="30500"/>
    <n v="32500"/>
    <n v="34000"/>
    <n v="0"/>
    <n v="116.473"/>
    <n v="6.6755273000000004E-2"/>
    <n v="14817.558590000001"/>
    <n v="27.08"/>
    <n v="5.09"/>
    <n v="82.08"/>
    <n v="2"/>
    <s v="Rp0"/>
    <n v="0"/>
  </r>
  <r>
    <x v="228"/>
    <n v="30500"/>
    <n v="276"/>
    <n v="10"/>
    <x v="0"/>
    <n v="5"/>
    <s v="False"/>
    <n v="31214.285714285714"/>
    <m/>
    <n v="30500"/>
    <n v="32500"/>
    <n v="32000"/>
    <n v="0"/>
    <n v="116.473"/>
    <n v="6.6755273000000004E-2"/>
    <n v="14817.558590000001"/>
    <n v="26.15"/>
    <n v="4.3899999999999997"/>
    <n v="82.8"/>
    <n v="3"/>
    <s v="Rp0"/>
    <n v="0"/>
  </r>
  <r>
    <x v="229"/>
    <n v="30500"/>
    <n v="277"/>
    <n v="10"/>
    <x v="0"/>
    <n v="6"/>
    <s v="False"/>
    <n v="30928.571428571428"/>
    <m/>
    <n v="30500"/>
    <n v="32500"/>
    <n v="33000"/>
    <n v="0"/>
    <n v="116.473"/>
    <n v="6.6755273000000004E-2"/>
    <n v="14817.558590000001"/>
    <n v="26.75"/>
    <n v="7.96"/>
    <n v="80.92"/>
    <n v="4"/>
    <s v="Rp0"/>
    <n v="0"/>
  </r>
  <r>
    <x v="230"/>
    <n v="32000"/>
    <n v="278"/>
    <n v="10"/>
    <x v="0"/>
    <n v="0"/>
    <s v="False"/>
    <n v="30928.571428571428"/>
    <m/>
    <n v="30500"/>
    <n v="32000"/>
    <n v="33000"/>
    <n v="1500"/>
    <n v="116.473"/>
    <n v="6.6755273000000004E-2"/>
    <n v="14853"/>
    <n v="27.24"/>
    <n v="27.13"/>
    <n v="80.81"/>
    <n v="5"/>
    <s v="Rp1500"/>
    <n v="4.92"/>
  </r>
  <r>
    <x v="231"/>
    <n v="32500"/>
    <n v="279"/>
    <n v="10"/>
    <x v="0"/>
    <n v="1"/>
    <s v="False"/>
    <n v="31000"/>
    <m/>
    <n v="32000"/>
    <n v="32000"/>
    <n v="33000"/>
    <n v="500"/>
    <n v="116.473"/>
    <n v="6.6755273000000004E-2"/>
    <n v="14780.18262"/>
    <n v="26.88"/>
    <n v="3.49"/>
    <n v="82.45"/>
    <n v="6"/>
    <s v="Rp500"/>
    <n v="1.56"/>
  </r>
  <r>
    <x v="232"/>
    <n v="33500"/>
    <n v="280"/>
    <n v="10"/>
    <x v="0"/>
    <n v="2"/>
    <s v="False"/>
    <n v="31428.571428571428"/>
    <m/>
    <n v="32500"/>
    <n v="30500"/>
    <n v="34750"/>
    <n v="1000"/>
    <n v="116.473"/>
    <n v="6.6755273000000004E-2"/>
    <n v="14773"/>
    <n v="25.99"/>
    <n v="6.59"/>
    <n v="83.72"/>
    <n v="7"/>
    <s v="Rp1000"/>
    <n v="3.08"/>
  </r>
  <r>
    <x v="233"/>
    <n v="33500"/>
    <n v="281"/>
    <n v="10"/>
    <x v="0"/>
    <n v="3"/>
    <s v="False"/>
    <n v="31857.142857142859"/>
    <m/>
    <n v="33500"/>
    <n v="30500"/>
    <n v="35500"/>
    <n v="0"/>
    <n v="116.473"/>
    <n v="6.6755273000000004E-2"/>
    <n v="14715.5"/>
    <n v="26.43"/>
    <n v="2.4500000000000002"/>
    <n v="81.89"/>
    <n v="8"/>
    <s v="Rp0"/>
    <n v="0"/>
  </r>
  <r>
    <x v="234"/>
    <n v="35500"/>
    <n v="282"/>
    <n v="10"/>
    <x v="0"/>
    <n v="4"/>
    <s v="False"/>
    <n v="32571.428571428572"/>
    <m/>
    <n v="33500"/>
    <n v="30500"/>
    <n v="36000"/>
    <n v="2000"/>
    <n v="116.473"/>
    <n v="6.6755273000000004E-2"/>
    <n v="14676.996090000001"/>
    <n v="27.39"/>
    <n v="9.83"/>
    <n v="77.91"/>
    <n v="9"/>
    <s v="Rp2000"/>
    <n v="5.97"/>
  </r>
  <r>
    <x v="235"/>
    <n v="35500"/>
    <n v="283"/>
    <n v="10"/>
    <x v="0"/>
    <n v="5"/>
    <s v="False"/>
    <n v="33285.714285714283"/>
    <m/>
    <n v="35500"/>
    <n v="30500"/>
    <n v="36000"/>
    <n v="0"/>
    <n v="116.473"/>
    <n v="6.6755273000000004E-2"/>
    <n v="14676.996090000001"/>
    <n v="27.42"/>
    <n v="4.83"/>
    <n v="80.459999999999994"/>
    <n v="10"/>
    <s v="Rp2000"/>
    <n v="5.97"/>
  </r>
  <r>
    <x v="236"/>
    <n v="35500"/>
    <n v="284"/>
    <n v="10"/>
    <x v="0"/>
    <n v="6"/>
    <s v="False"/>
    <n v="34000"/>
    <m/>
    <n v="35500"/>
    <n v="30500"/>
    <n v="36500"/>
    <n v="0"/>
    <n v="116.473"/>
    <n v="6.6755273000000004E-2"/>
    <n v="14676.996090000001"/>
    <n v="26.84"/>
    <n v="25.57"/>
    <n v="85.22"/>
    <n v="11"/>
    <s v="Rp2000"/>
    <n v="5.97"/>
  </r>
  <r>
    <x v="237"/>
    <n v="40000"/>
    <n v="285"/>
    <n v="10"/>
    <x v="0"/>
    <n v="0"/>
    <s v="False"/>
    <n v="35142.857142857145"/>
    <m/>
    <n v="35500"/>
    <n v="32000"/>
    <n v="36500"/>
    <n v="4500"/>
    <n v="116.473"/>
    <n v="6.6755273000000004E-2"/>
    <n v="14693"/>
    <n v="26.93"/>
    <n v="8.56"/>
    <n v="82.08"/>
    <n v="12"/>
    <s v="Rp4500"/>
    <n v="12.68"/>
  </r>
  <r>
    <x v="238"/>
    <n v="40000"/>
    <n v="286"/>
    <n v="10"/>
    <x v="0"/>
    <n v="1"/>
    <s v="False"/>
    <n v="36214.285714285717"/>
    <m/>
    <n v="40000"/>
    <n v="32500"/>
    <n v="36500"/>
    <n v="0"/>
    <n v="116.473"/>
    <n v="6.6755273000000004E-2"/>
    <n v="14484.992190000001"/>
    <n v="26.68"/>
    <n v="5.4"/>
    <n v="83.28"/>
    <n v="13"/>
    <s v="Rp0"/>
    <n v="0"/>
  </r>
  <r>
    <x v="239"/>
    <n v="40000"/>
    <n v="287"/>
    <n v="10"/>
    <x v="0"/>
    <n v="2"/>
    <s v="False"/>
    <n v="37142.857142857145"/>
    <m/>
    <n v="40000"/>
    <n v="33500"/>
    <n v="35750"/>
    <n v="0"/>
    <n v="116.473"/>
    <n v="6.6755273000000004E-2"/>
    <n v="14793"/>
    <n v="27.12"/>
    <n v="11.21"/>
    <n v="77.650000000000006"/>
    <n v="14"/>
    <s v="Rp0"/>
    <n v="0"/>
  </r>
  <r>
    <x v="240"/>
    <n v="40000"/>
    <n v="288"/>
    <n v="10"/>
    <x v="0"/>
    <n v="3"/>
    <s v="False"/>
    <n v="38071.428571428572"/>
    <m/>
    <n v="40000"/>
    <n v="33500"/>
    <n v="36000"/>
    <n v="0"/>
    <n v="116.473"/>
    <n v="6.6755273000000004E-2"/>
    <n v="14681.462890000001"/>
    <n v="26.8"/>
    <n v="6.81"/>
    <n v="82.43"/>
    <n v="15"/>
    <s v="Rp0"/>
    <n v="0"/>
  </r>
  <r>
    <x v="241"/>
    <n v="40000"/>
    <n v="289"/>
    <n v="10"/>
    <x v="0"/>
    <n v="4"/>
    <s v="False"/>
    <n v="38714.285714285717"/>
    <m/>
    <n v="40000"/>
    <n v="35500"/>
    <n v="36000"/>
    <n v="0"/>
    <n v="116.473"/>
    <n v="6.6755273000000004E-2"/>
    <n v="14652.5"/>
    <n v="27.15"/>
    <n v="10.11"/>
    <n v="77.760000000000005"/>
    <n v="16"/>
    <s v="Rp0"/>
    <n v="0"/>
  </r>
  <r>
    <x v="242"/>
    <n v="40000"/>
    <n v="292"/>
    <n v="10"/>
    <x v="0"/>
    <n v="0"/>
    <s v="False"/>
    <m/>
    <m/>
    <m/>
    <n v="40000"/>
    <m/>
    <m/>
    <n v="116.473"/>
    <n v="6.6755273000000004E-2"/>
    <n v="14693"/>
    <n v="27.46"/>
    <n v="4.57"/>
    <n v="80.290000000000006"/>
    <n v="19"/>
    <s v="Rp0"/>
    <n v="0"/>
  </r>
  <r>
    <x v="243"/>
    <n v="40000"/>
    <n v="293"/>
    <n v="10"/>
    <x v="0"/>
    <n v="1"/>
    <s v="False"/>
    <m/>
    <m/>
    <n v="40000"/>
    <n v="40000"/>
    <m/>
    <n v="0"/>
    <n v="116.473"/>
    <n v="6.6755273000000004E-2"/>
    <n v="14708"/>
    <n v="27.49"/>
    <n v="3.3"/>
    <n v="80.64"/>
    <n v="20"/>
    <s v="Rp0"/>
    <n v="0"/>
  </r>
  <r>
    <x v="244"/>
    <n v="40000"/>
    <n v="294"/>
    <n v="10"/>
    <x v="0"/>
    <n v="2"/>
    <s v="False"/>
    <m/>
    <m/>
    <n v="40000"/>
    <n v="40000"/>
    <n v="33000"/>
    <n v="0"/>
    <n v="116.473"/>
    <n v="6.6755273000000004E-2"/>
    <n v="14688"/>
    <n v="27.49"/>
    <n v="0.42"/>
    <n v="78.13"/>
    <n v="21"/>
    <s v="Rp0"/>
    <n v="0"/>
  </r>
  <r>
    <x v="245"/>
    <n v="40000"/>
    <n v="295"/>
    <n v="10"/>
    <x v="0"/>
    <n v="3"/>
    <s v="False"/>
    <m/>
    <m/>
    <n v="40000"/>
    <n v="40000"/>
    <n v="33000"/>
    <n v="0"/>
    <n v="116.473"/>
    <n v="6.6755273000000004E-2"/>
    <n v="14639.775390000001"/>
    <n v="27.71"/>
    <n v="0.08"/>
    <n v="69.36"/>
    <n v="22"/>
    <s v="Rp0"/>
    <n v="0"/>
  </r>
  <r>
    <x v="246"/>
    <n v="40000"/>
    <n v="296"/>
    <n v="10"/>
    <x v="0"/>
    <n v="4"/>
    <s v="False"/>
    <m/>
    <m/>
    <n v="40000"/>
    <n v="40000"/>
    <n v="32500"/>
    <n v="0"/>
    <n v="116.473"/>
    <n v="6.6755273000000004E-2"/>
    <n v="14639.85254"/>
    <n v="27.4"/>
    <n v="0.22"/>
    <n v="75.62"/>
    <n v="23"/>
    <s v="Rp0"/>
    <n v="0"/>
  </r>
  <r>
    <x v="247"/>
    <n v="41500"/>
    <n v="299"/>
    <n v="10"/>
    <x v="0"/>
    <n v="0"/>
    <s v="False"/>
    <m/>
    <m/>
    <m/>
    <n v="40000"/>
    <n v="32500"/>
    <m/>
    <n v="116.473"/>
    <n v="6.6755273000000004E-2"/>
    <n v="14642.782230000001"/>
    <n v="27.7"/>
    <n v="0.99"/>
    <n v="78.16"/>
    <n v="26"/>
    <s v="Rp1500"/>
    <n v="3.75"/>
  </r>
  <r>
    <x v="248"/>
    <n v="41000"/>
    <n v="300"/>
    <n v="10"/>
    <x v="0"/>
    <n v="1"/>
    <s v="False"/>
    <m/>
    <m/>
    <n v="41500"/>
    <n v="40000"/>
    <n v="32500"/>
    <n v="-500"/>
    <n v="116.473"/>
    <n v="6.6755273000000004E-2"/>
    <n v="14724.200199999999"/>
    <n v="27.48"/>
    <n v="1.93"/>
    <n v="81.040000000000006"/>
    <n v="27"/>
    <s v="-Rp500"/>
    <n v="-1.2"/>
  </r>
  <r>
    <x v="249"/>
    <n v="39000"/>
    <n v="306"/>
    <n v="11"/>
    <x v="0"/>
    <n v="0"/>
    <s v="False"/>
    <m/>
    <m/>
    <m/>
    <n v="41500"/>
    <n v="30500"/>
    <m/>
    <n v="116.7949"/>
    <n v="0.27637306499999997"/>
    <n v="14586.16992"/>
    <n v="27.9"/>
    <n v="1.19"/>
    <n v="76.22"/>
    <n v="2"/>
    <m/>
    <n v="0"/>
  </r>
  <r>
    <x v="250"/>
    <n v="39000"/>
    <n v="307"/>
    <n v="11"/>
    <x v="0"/>
    <n v="1"/>
    <s v="False"/>
    <m/>
    <m/>
    <n v="39000"/>
    <n v="41000"/>
    <n v="30500"/>
    <n v="0"/>
    <n v="116.7949"/>
    <n v="0.27637306499999997"/>
    <n v="14603.95801"/>
    <n v="26.41"/>
    <n v="17.64"/>
    <n v="84.63"/>
    <n v="3"/>
    <s v="Rp0"/>
    <n v="0"/>
  </r>
  <r>
    <x v="251"/>
    <n v="39500"/>
    <n v="308"/>
    <n v="11"/>
    <x v="0"/>
    <n v="2"/>
    <s v="False"/>
    <m/>
    <m/>
    <n v="39000"/>
    <m/>
    <n v="32000"/>
    <n v="500"/>
    <n v="116.7949"/>
    <n v="0.27637306499999997"/>
    <n v="14540.89258"/>
    <n v="27.04"/>
    <n v="6.63"/>
    <n v="81.81"/>
    <n v="4"/>
    <s v="Rp500"/>
    <n v="1.28"/>
  </r>
  <r>
    <x v="252"/>
    <n v="39500"/>
    <n v="309"/>
    <n v="11"/>
    <x v="0"/>
    <n v="3"/>
    <s v="False"/>
    <m/>
    <m/>
    <n v="39500"/>
    <m/>
    <n v="32500"/>
    <n v="0"/>
    <n v="116.7949"/>
    <n v="0.27637306499999997"/>
    <n v="14360"/>
    <n v="27.41"/>
    <n v="3.72"/>
    <n v="79.900000000000006"/>
    <n v="5"/>
    <s v="Rp0"/>
    <n v="0"/>
  </r>
  <r>
    <x v="253"/>
    <n v="41500"/>
    <n v="310"/>
    <n v="11"/>
    <x v="0"/>
    <n v="4"/>
    <s v="False"/>
    <m/>
    <m/>
    <n v="39500"/>
    <m/>
    <n v="33500"/>
    <n v="2000"/>
    <n v="116.7949"/>
    <n v="0.27637306499999997"/>
    <n v="14256"/>
    <n v="27.29"/>
    <n v="3.84"/>
    <n v="80.209999999999994"/>
    <n v="6"/>
    <s v="Rp2000"/>
    <n v="5.0599999999999996"/>
  </r>
  <r>
    <x v="254"/>
    <n v="41500"/>
    <n v="311"/>
    <n v="11"/>
    <x v="0"/>
    <n v="5"/>
    <s v="False"/>
    <m/>
    <m/>
    <n v="41500"/>
    <m/>
    <n v="33500"/>
    <n v="0"/>
    <n v="116.7949"/>
    <n v="0.27637306499999997"/>
    <n v="14256"/>
    <n v="27.22"/>
    <n v="5.61"/>
    <n v="83.14"/>
    <n v="7"/>
    <s v="Rp2000"/>
    <n v="5.0599999999999996"/>
  </r>
  <r>
    <x v="255"/>
    <n v="41500"/>
    <n v="312"/>
    <n v="11"/>
    <x v="0"/>
    <n v="6"/>
    <s v="False"/>
    <n v="40214.285714285717"/>
    <m/>
    <n v="41500"/>
    <m/>
    <n v="35500"/>
    <n v="0"/>
    <n v="116.7949"/>
    <n v="0.27637306499999997"/>
    <n v="14256"/>
    <n v="27.15"/>
    <n v="22.98"/>
    <n v="83.58"/>
    <n v="8"/>
    <s v="Rp2000"/>
    <n v="5.0599999999999996"/>
  </r>
  <r>
    <x v="256"/>
    <n v="43000"/>
    <n v="313"/>
    <n v="11"/>
    <x v="0"/>
    <n v="0"/>
    <s v="False"/>
    <n v="40785.714285714283"/>
    <m/>
    <n v="41500"/>
    <n v="39000"/>
    <n v="35500"/>
    <n v="1500"/>
    <n v="116.7949"/>
    <n v="0.27637306499999997"/>
    <n v="14198.67188"/>
    <n v="27.75"/>
    <n v="0.78"/>
    <n v="75.900000000000006"/>
    <n v="9"/>
    <s v="Rp1500"/>
    <n v="3.61"/>
  </r>
  <r>
    <x v="257"/>
    <n v="44000"/>
    <n v="314"/>
    <n v="11"/>
    <x v="0"/>
    <n v="1"/>
    <s v="False"/>
    <n v="41500"/>
    <m/>
    <n v="43000"/>
    <n v="39000"/>
    <n v="35500"/>
    <n v="1000"/>
    <n v="116.7949"/>
    <n v="0.27637306499999997"/>
    <n v="14256.360350000001"/>
    <n v="27.67"/>
    <n v="0.12"/>
    <n v="73.17"/>
    <n v="10"/>
    <s v="Rp1000"/>
    <n v="2.33"/>
  </r>
  <r>
    <x v="258"/>
    <n v="45000"/>
    <n v="315"/>
    <n v="11"/>
    <x v="0"/>
    <n v="2"/>
    <s v="False"/>
    <n v="42285.714285714283"/>
    <m/>
    <n v="44000"/>
    <n v="39500"/>
    <n v="40000"/>
    <n v="1000"/>
    <n v="116.7949"/>
    <n v="0.27637306499999997"/>
    <n v="14041.54492"/>
    <n v="27.49"/>
    <n v="3.2"/>
    <n v="78.77"/>
    <n v="11"/>
    <s v="Rp1000"/>
    <n v="2.27"/>
  </r>
  <r>
    <x v="259"/>
    <n v="45000"/>
    <n v="316"/>
    <n v="11"/>
    <x v="0"/>
    <n v="3"/>
    <s v="False"/>
    <n v="43071.428571428572"/>
    <m/>
    <n v="45000"/>
    <n v="39500"/>
    <n v="40000"/>
    <n v="0"/>
    <n v="116.7949"/>
    <n v="0.27637306499999997"/>
    <n v="13878.98926"/>
    <n v="27.51"/>
    <n v="1.95"/>
    <n v="80.22"/>
    <n v="12"/>
    <s v="Rp0"/>
    <n v="0"/>
  </r>
  <r>
    <x v="260"/>
    <n v="45000"/>
    <n v="317"/>
    <n v="11"/>
    <x v="0"/>
    <n v="4"/>
    <s v="False"/>
    <n v="43571.428571428572"/>
    <m/>
    <n v="45000"/>
    <n v="41500"/>
    <n v="40000"/>
    <n v="0"/>
    <n v="116.7949"/>
    <n v="0.27637306499999997"/>
    <n v="14133.49121"/>
    <n v="27.53"/>
    <n v="0.57999999999999996"/>
    <n v="81.7"/>
    <n v="13"/>
    <s v="Rp0"/>
    <n v="0"/>
  </r>
  <r>
    <x v="261"/>
    <n v="45000"/>
    <n v="318"/>
    <n v="11"/>
    <x v="0"/>
    <n v="5"/>
    <s v="False"/>
    <n v="44071.428571428572"/>
    <m/>
    <n v="45000"/>
    <n v="41500"/>
    <n v="40000"/>
    <n v="0"/>
    <n v="116.7949"/>
    <n v="0.27637306499999997"/>
    <n v="14133.49121"/>
    <n v="27.41"/>
    <n v="4.6500000000000004"/>
    <n v="82.6"/>
    <n v="14"/>
    <s v="Rp0"/>
    <n v="0"/>
  </r>
  <r>
    <x v="262"/>
    <n v="44000"/>
    <n v="320"/>
    <n v="11"/>
    <x v="0"/>
    <n v="0"/>
    <s v="False"/>
    <m/>
    <m/>
    <m/>
    <n v="43000"/>
    <m/>
    <m/>
    <n v="116.7949"/>
    <n v="0.27637306499999997"/>
    <n v="14135.559569999999"/>
    <n v="27.1"/>
    <n v="3.9"/>
    <n v="82.45"/>
    <n v="16"/>
    <s v="-Rp1000"/>
    <n v="-2.2200000000000002"/>
  </r>
  <r>
    <x v="263"/>
    <n v="44000"/>
    <n v="321"/>
    <n v="11"/>
    <x v="0"/>
    <n v="1"/>
    <s v="False"/>
    <m/>
    <m/>
    <n v="44000"/>
    <n v="44000"/>
    <m/>
    <n v="0"/>
    <n v="116.7949"/>
    <n v="0.27637306499999997"/>
    <n v="14089.200199999999"/>
    <n v="26.5"/>
    <n v="3.07"/>
    <n v="84.62"/>
    <n v="17"/>
    <s v="Rp0"/>
    <n v="0"/>
  </r>
  <r>
    <x v="264"/>
    <n v="41000"/>
    <n v="322"/>
    <n v="11"/>
    <x v="0"/>
    <n v="2"/>
    <s v="False"/>
    <m/>
    <m/>
    <n v="44000"/>
    <n v="45000"/>
    <n v="40000"/>
    <n v="-3000"/>
    <n v="116.7949"/>
    <n v="0.27637306499999997"/>
    <n v="14026.45117"/>
    <n v="26.96"/>
    <n v="3.17"/>
    <n v="84.23"/>
    <n v="18"/>
    <s v="-Rp3000"/>
    <n v="-6.82"/>
  </r>
  <r>
    <x v="265"/>
    <n v="41000"/>
    <n v="323"/>
    <n v="11"/>
    <x v="0"/>
    <n v="3"/>
    <s v="False"/>
    <m/>
    <m/>
    <n v="41000"/>
    <n v="45000"/>
    <n v="40000"/>
    <n v="0"/>
    <n v="116.7949"/>
    <n v="0.27637306499999997"/>
    <n v="14110.200199999999"/>
    <n v="27.53"/>
    <n v="1.8"/>
    <n v="73.150000000000006"/>
    <n v="19"/>
    <s v="Rp0"/>
    <n v="0"/>
  </r>
  <r>
    <x v="266"/>
    <n v="43000"/>
    <n v="324"/>
    <n v="11"/>
    <x v="0"/>
    <n v="4"/>
    <s v="False"/>
    <m/>
    <m/>
    <n v="41000"/>
    <n v="45000"/>
    <n v="40000"/>
    <n v="2000"/>
    <n v="116.7949"/>
    <n v="0.27637306499999997"/>
    <n v="14189.900390000001"/>
    <n v="27.63"/>
    <n v="2.57"/>
    <n v="74.39"/>
    <n v="20"/>
    <s v="Rp2000"/>
    <n v="4.88"/>
  </r>
  <r>
    <x v="267"/>
    <n v="43000"/>
    <n v="325"/>
    <n v="11"/>
    <x v="0"/>
    <n v="5"/>
    <s v="False"/>
    <m/>
    <m/>
    <n v="43000"/>
    <n v="45000"/>
    <n v="40000"/>
    <n v="0"/>
    <n v="116.7949"/>
    <n v="0.27637306499999997"/>
    <n v="14189.900390000001"/>
    <n v="27"/>
    <n v="7.75"/>
    <n v="82.05"/>
    <n v="21"/>
    <s v="Rp2000"/>
    <n v="4.88"/>
  </r>
  <r>
    <x v="268"/>
    <n v="43000"/>
    <n v="326"/>
    <n v="11"/>
    <x v="0"/>
    <n v="6"/>
    <s v="False"/>
    <n v="42714.285714285717"/>
    <m/>
    <n v="43000"/>
    <m/>
    <n v="40000"/>
    <n v="0"/>
    <n v="116.7949"/>
    <n v="0.27637306499999997"/>
    <n v="14189.900390000001"/>
    <n v="27.16"/>
    <n v="1.78"/>
    <n v="80.12"/>
    <n v="22"/>
    <s v="Rp2000"/>
    <n v="4.88"/>
  </r>
  <r>
    <x v="269"/>
    <n v="43500"/>
    <n v="327"/>
    <n v="11"/>
    <x v="0"/>
    <n v="0"/>
    <s v="False"/>
    <n v="42642.857142857145"/>
    <m/>
    <n v="43000"/>
    <n v="44000"/>
    <m/>
    <n v="500"/>
    <n v="116.7949"/>
    <n v="0.27637306499999997"/>
    <n v="14150.99121"/>
    <n v="27.25"/>
    <n v="6.14"/>
    <n v="82.37"/>
    <n v="23"/>
    <s v="Rp500"/>
    <n v="1.1599999999999999"/>
  </r>
  <r>
    <x v="270"/>
    <n v="43500"/>
    <n v="328"/>
    <n v="11"/>
    <x v="0"/>
    <n v="1"/>
    <s v="False"/>
    <n v="42571.428571428572"/>
    <m/>
    <n v="43500"/>
    <n v="44000"/>
    <m/>
    <n v="0"/>
    <n v="116.7949"/>
    <n v="0.27637306499999997"/>
    <n v="14164.60547"/>
    <n v="27.4"/>
    <n v="17.52"/>
    <n v="82.13"/>
    <n v="24"/>
    <s v="Rp0"/>
    <n v="0"/>
  </r>
  <r>
    <x v="271"/>
    <n v="43500"/>
    <n v="329"/>
    <n v="11"/>
    <x v="0"/>
    <n v="2"/>
    <s v="False"/>
    <n v="42928.571428571428"/>
    <m/>
    <n v="43500"/>
    <n v="41000"/>
    <n v="41500"/>
    <n v="0"/>
    <n v="116.7949"/>
    <n v="0.27637306499999997"/>
    <n v="14121.799800000001"/>
    <n v="27.2"/>
    <n v="2.14"/>
    <n v="83.47"/>
    <n v="25"/>
    <s v="Rp0"/>
    <n v="0"/>
  </r>
  <r>
    <x v="272"/>
    <n v="43500"/>
    <n v="330"/>
    <n v="11"/>
    <x v="0"/>
    <n v="3"/>
    <s v="False"/>
    <n v="43285.714285714283"/>
    <m/>
    <n v="43500"/>
    <n v="41000"/>
    <n v="41000"/>
    <n v="0"/>
    <n v="116.7949"/>
    <n v="0.27637306499999997"/>
    <n v="14127.4707"/>
    <n v="26.85"/>
    <n v="2.23"/>
    <n v="84.42"/>
    <n v="26"/>
    <s v="Rp0"/>
    <n v="0"/>
  </r>
  <r>
    <x v="273"/>
    <n v="41750"/>
    <n v="331"/>
    <n v="11"/>
    <x v="0"/>
    <n v="4"/>
    <s v="False"/>
    <n v="43107.142857142855"/>
    <m/>
    <n v="43500"/>
    <n v="43000"/>
    <m/>
    <n v="-1750"/>
    <n v="116.7949"/>
    <n v="0.27637306499999997"/>
    <n v="13897.668949999999"/>
    <n v="26.67"/>
    <n v="5.9"/>
    <n v="85.94"/>
    <n v="27"/>
    <s v="-Rp1750"/>
    <n v="-4.0199999999999996"/>
  </r>
  <r>
    <x v="274"/>
    <n v="41750"/>
    <n v="332"/>
    <n v="11"/>
    <x v="0"/>
    <n v="5"/>
    <s v="False"/>
    <n v="42928.571428571428"/>
    <m/>
    <n v="41750"/>
    <n v="43000"/>
    <m/>
    <n v="0"/>
    <n v="116.7949"/>
    <n v="0.27637306499999997"/>
    <n v="13897.668949999999"/>
    <n v="26.75"/>
    <n v="5.46"/>
    <n v="82.37"/>
    <n v="28"/>
    <s v="-Rp1750"/>
    <n v="-4.0199999999999996"/>
  </r>
  <r>
    <x v="275"/>
    <n v="41750"/>
    <n v="333"/>
    <n v="11"/>
    <x v="0"/>
    <n v="6"/>
    <s v="False"/>
    <n v="42750"/>
    <m/>
    <n v="41750"/>
    <n v="43000"/>
    <m/>
    <n v="0"/>
    <n v="116.7949"/>
    <n v="0.27637306499999997"/>
    <n v="13897.668949999999"/>
    <n v="26.48"/>
    <n v="20.45"/>
    <n v="84.48"/>
    <n v="29"/>
    <s v="-Rp1750"/>
    <n v="-4.0199999999999996"/>
  </r>
  <r>
    <x v="276"/>
    <n v="42000"/>
    <n v="334"/>
    <n v="11"/>
    <x v="0"/>
    <n v="0"/>
    <s v="False"/>
    <n v="42535.714285714283"/>
    <m/>
    <n v="41750"/>
    <n v="43500"/>
    <m/>
    <n v="250"/>
    <n v="116.7949"/>
    <n v="0.27637306499999997"/>
    <n v="14061.64453"/>
    <n v="26.74"/>
    <n v="21.61"/>
    <n v="84.92"/>
    <n v="30"/>
    <s v="Rp250"/>
    <n v="0.6"/>
  </r>
  <r>
    <x v="277"/>
    <n v="42000"/>
    <n v="335"/>
    <n v="12"/>
    <x v="0"/>
    <n v="1"/>
    <s v="False"/>
    <n v="42321.428571428572"/>
    <m/>
    <n v="42000"/>
    <n v="43500"/>
    <m/>
    <n v="0"/>
    <n v="117.3167"/>
    <n v="0.44676608299999998"/>
    <n v="14094.93555"/>
    <n v="27.01"/>
    <n v="12.28"/>
    <n v="82.6"/>
    <n v="1"/>
    <s v="Rp0"/>
    <n v="0"/>
  </r>
  <r>
    <x v="278"/>
    <n v="42000"/>
    <n v="336"/>
    <n v="12"/>
    <x v="0"/>
    <n v="2"/>
    <s v="False"/>
    <n v="42107.142857142855"/>
    <m/>
    <n v="42000"/>
    <n v="43500"/>
    <n v="39000"/>
    <n v="0"/>
    <n v="117.3167"/>
    <n v="0.44676608299999998"/>
    <n v="14175"/>
    <n v="27.35"/>
    <n v="6.01"/>
    <n v="80.92"/>
    <n v="2"/>
    <s v="Rp0"/>
    <n v="0"/>
  </r>
  <r>
    <x v="279"/>
    <n v="42000"/>
    <n v="337"/>
    <n v="12"/>
    <x v="0"/>
    <n v="3"/>
    <s v="False"/>
    <n v="41892.857142857145"/>
    <m/>
    <n v="42000"/>
    <n v="43500"/>
    <n v="39000"/>
    <n v="0"/>
    <n v="117.3167"/>
    <n v="0.44676608299999998"/>
    <n v="14076.41992"/>
    <n v="27.16"/>
    <n v="5.53"/>
    <n v="83.11"/>
    <n v="3"/>
    <s v="Rp0"/>
    <n v="0"/>
  </r>
  <r>
    <x v="280"/>
    <n v="42000"/>
    <n v="338"/>
    <n v="12"/>
    <x v="0"/>
    <n v="4"/>
    <s v="False"/>
    <n v="41928.571428571428"/>
    <m/>
    <n v="42000"/>
    <n v="41750"/>
    <n v="39500"/>
    <n v="0"/>
    <n v="117.3167"/>
    <n v="0.44676608299999998"/>
    <n v="14092.79883"/>
    <n v="27.88"/>
    <n v="1.94"/>
    <n v="77.91"/>
    <n v="4"/>
    <s v="Rp0"/>
    <n v="0"/>
  </r>
  <r>
    <x v="281"/>
    <n v="42000"/>
    <n v="339"/>
    <n v="12"/>
    <x v="0"/>
    <n v="5"/>
    <s v="False"/>
    <n v="41964.285714285717"/>
    <m/>
    <n v="42000"/>
    <n v="41750"/>
    <n v="39500"/>
    <n v="0"/>
    <n v="117.3167"/>
    <n v="0.44676608299999998"/>
    <n v="14092.79883"/>
    <n v="27.3"/>
    <n v="2.41"/>
    <n v="82.68"/>
    <n v="5"/>
    <s v="Rp0"/>
    <n v="0"/>
  </r>
  <r>
    <x v="282"/>
    <n v="42000"/>
    <n v="340"/>
    <n v="12"/>
    <x v="0"/>
    <n v="6"/>
    <s v="False"/>
    <n v="42000"/>
    <m/>
    <n v="42000"/>
    <n v="41750"/>
    <n v="41500"/>
    <n v="0"/>
    <n v="117.3167"/>
    <n v="0.44676608299999998"/>
    <n v="14092.79883"/>
    <n v="27.2"/>
    <n v="1.58"/>
    <n v="83.66"/>
    <n v="6"/>
    <s v="Rp0"/>
    <n v="0"/>
  </r>
  <r>
    <x v="283"/>
    <n v="42500"/>
    <n v="341"/>
    <n v="12"/>
    <x v="0"/>
    <n v="0"/>
    <s v="False"/>
    <n v="42071.428571428572"/>
    <m/>
    <n v="42000"/>
    <n v="42000"/>
    <n v="41500"/>
    <n v="500"/>
    <n v="117.3167"/>
    <n v="0.44676608299999998"/>
    <n v="14076.490229999999"/>
    <n v="27.59"/>
    <n v="4.3099999999999996"/>
    <n v="79.010000000000005"/>
    <n v="7"/>
    <s v="Rp500"/>
    <n v="1.19"/>
  </r>
  <r>
    <x v="284"/>
    <n v="42500"/>
    <n v="342"/>
    <n v="12"/>
    <x v="0"/>
    <n v="1"/>
    <s v="False"/>
    <n v="42142.857142857145"/>
    <m/>
    <n v="42500"/>
    <n v="42000"/>
    <n v="41500"/>
    <n v="0"/>
    <n v="117.3167"/>
    <n v="0.44676608299999998"/>
    <n v="14143"/>
    <n v="26.89"/>
    <n v="6.39"/>
    <n v="84.6"/>
    <n v="8"/>
    <s v="Rp0"/>
    <n v="0"/>
  </r>
  <r>
    <x v="285"/>
    <n v="42500"/>
    <n v="344"/>
    <n v="12"/>
    <x v="0"/>
    <n v="3"/>
    <s v="False"/>
    <m/>
    <m/>
    <m/>
    <n v="42000"/>
    <n v="44000"/>
    <m/>
    <n v="117.3167"/>
    <n v="0.44676608299999998"/>
    <n v="14150"/>
    <n v="26.93"/>
    <n v="5.09"/>
    <n v="81.64"/>
    <n v="10"/>
    <m/>
    <n v="0"/>
  </r>
  <r>
    <x v="286"/>
    <n v="42500"/>
    <n v="345"/>
    <n v="12"/>
    <x v="0"/>
    <n v="4"/>
    <s v="False"/>
    <m/>
    <m/>
    <n v="42500"/>
    <n v="42000"/>
    <n v="45000"/>
    <n v="0"/>
    <n v="117.3167"/>
    <n v="0.44676608299999998"/>
    <n v="14082.592769999999"/>
    <n v="27.68"/>
    <n v="0.26"/>
    <n v="77.569999999999993"/>
    <n v="11"/>
    <s v="Rp0"/>
    <n v="0"/>
  </r>
  <r>
    <x v="287"/>
    <n v="42500"/>
    <n v="346"/>
    <n v="12"/>
    <x v="0"/>
    <n v="5"/>
    <s v="False"/>
    <m/>
    <m/>
    <n v="42500"/>
    <n v="42000"/>
    <n v="45000"/>
    <n v="0"/>
    <n v="117.3167"/>
    <n v="0.44676608299999998"/>
    <n v="14082.592769999999"/>
    <n v="27.05"/>
    <n v="4.1500000000000004"/>
    <n v="83.29"/>
    <n v="12"/>
    <s v="Rp0"/>
    <n v="0"/>
  </r>
  <r>
    <x v="288"/>
    <n v="42500"/>
    <n v="347"/>
    <n v="12"/>
    <x v="0"/>
    <n v="6"/>
    <s v="False"/>
    <m/>
    <m/>
    <n v="42500"/>
    <n v="42000"/>
    <n v="45000"/>
    <n v="0"/>
    <n v="117.3167"/>
    <n v="0.44676608299999998"/>
    <n v="14082.592769999999"/>
    <n v="27.07"/>
    <n v="3.22"/>
    <n v="80.66"/>
    <n v="13"/>
    <s v="Rp0"/>
    <n v="0"/>
  </r>
  <r>
    <x v="289"/>
    <n v="40500"/>
    <n v="348"/>
    <n v="12"/>
    <x v="0"/>
    <n v="0"/>
    <s v="False"/>
    <m/>
    <m/>
    <n v="42500"/>
    <n v="42500"/>
    <n v="45000"/>
    <n v="-2000"/>
    <n v="117.3167"/>
    <n v="0.44676608299999998"/>
    <n v="14069.157230000001"/>
    <n v="26.09"/>
    <n v="18.79"/>
    <n v="87.48"/>
    <n v="14"/>
    <s v="-Rp2000"/>
    <n v="-4.71"/>
  </r>
  <r>
    <x v="290"/>
    <n v="40500"/>
    <n v="349"/>
    <n v="12"/>
    <x v="0"/>
    <n v="1"/>
    <s v="False"/>
    <m/>
    <m/>
    <n v="40500"/>
    <n v="42500"/>
    <m/>
    <n v="0"/>
    <n v="117.3167"/>
    <n v="0.44676608299999998"/>
    <n v="14221.900390000001"/>
    <n v="26.44"/>
    <n v="6.61"/>
    <n v="80.3"/>
    <n v="15"/>
    <s v="Rp0"/>
    <n v="0"/>
  </r>
  <r>
    <x v="291"/>
    <n v="39500"/>
    <n v="350"/>
    <n v="12"/>
    <x v="0"/>
    <n v="2"/>
    <s v="False"/>
    <n v="41500"/>
    <m/>
    <n v="40500"/>
    <m/>
    <n v="44000"/>
    <n v="-1000"/>
    <n v="117.3167"/>
    <n v="0.44676608299999998"/>
    <n v="14190"/>
    <n v="26.44"/>
    <n v="6.33"/>
    <n v="84.26"/>
    <n v="16"/>
    <s v="-Rp1000"/>
    <n v="-2.4700000000000002"/>
  </r>
  <r>
    <x v="292"/>
    <n v="42000"/>
    <n v="351"/>
    <n v="12"/>
    <x v="0"/>
    <n v="3"/>
    <s v="False"/>
    <n v="41428.571428571428"/>
    <m/>
    <n v="39500"/>
    <n v="42500"/>
    <n v="44000"/>
    <n v="2500"/>
    <n v="117.3167"/>
    <n v="0.44676608299999998"/>
    <n v="14070.537109999999"/>
    <n v="26.79"/>
    <n v="5.51"/>
    <n v="83.71"/>
    <n v="17"/>
    <s v="Rp2500"/>
    <n v="6.33"/>
  </r>
  <r>
    <x v="293"/>
    <n v="42000"/>
    <n v="352"/>
    <n v="12"/>
    <x v="0"/>
    <n v="4"/>
    <s v="False"/>
    <n v="41357.142857142855"/>
    <m/>
    <n v="42000"/>
    <n v="42500"/>
    <n v="41000"/>
    <n v="0"/>
    <n v="117.3167"/>
    <n v="0.44676608299999998"/>
    <n v="14083.85059"/>
    <n v="27.24"/>
    <n v="4.57"/>
    <n v="83.63"/>
    <n v="18"/>
    <s v="Rp0"/>
    <n v="0"/>
  </r>
  <r>
    <x v="294"/>
    <n v="40000"/>
    <n v="355"/>
    <n v="12"/>
    <x v="0"/>
    <n v="0"/>
    <s v="False"/>
    <m/>
    <m/>
    <m/>
    <n v="40500"/>
    <n v="43000"/>
    <m/>
    <n v="117.3167"/>
    <n v="0.44676608299999998"/>
    <n v="14068.9375"/>
    <n v="26.24"/>
    <n v="12.12"/>
    <n v="84.77"/>
    <n v="21"/>
    <m/>
    <n v="0"/>
  </r>
  <r>
    <x v="295"/>
    <n v="40000"/>
    <n v="356"/>
    <n v="12"/>
    <x v="0"/>
    <n v="1"/>
    <s v="False"/>
    <m/>
    <m/>
    <n v="40000"/>
    <n v="40500"/>
    <n v="43000"/>
    <n v="0"/>
    <n v="117.3167"/>
    <n v="0.44676608299999998"/>
    <n v="14100.731449999999"/>
    <n v="26.74"/>
    <n v="5.61"/>
    <n v="84.96"/>
    <n v="22"/>
    <s v="Rp0"/>
    <n v="0"/>
  </r>
  <r>
    <x v="296"/>
    <n v="40000"/>
    <n v="357"/>
    <n v="12"/>
    <x v="0"/>
    <n v="2"/>
    <s v="False"/>
    <m/>
    <m/>
    <n v="40000"/>
    <n v="39500"/>
    <n v="43500"/>
    <n v="0"/>
    <n v="117.3167"/>
    <n v="0.44676608299999998"/>
    <n v="14324.200199999999"/>
    <n v="26.75"/>
    <n v="9.81"/>
    <n v="86.23"/>
    <n v="23"/>
    <s v="Rp0"/>
    <n v="0"/>
  </r>
  <r>
    <x v="297"/>
    <n v="37000"/>
    <n v="362"/>
    <n v="12"/>
    <x v="0"/>
    <n v="0"/>
    <s v="False"/>
    <m/>
    <m/>
    <m/>
    <n v="40000"/>
    <n v="41750"/>
    <m/>
    <n v="117.3167"/>
    <n v="0.44676608299999998"/>
    <n v="13911.143550000001"/>
    <n v="26.11"/>
    <n v="11.45"/>
    <n v="86.09"/>
    <n v="28"/>
    <m/>
    <n v="0"/>
  </r>
  <r>
    <x v="298"/>
    <n v="37000"/>
    <n v="363"/>
    <n v="12"/>
    <x v="0"/>
    <n v="1"/>
    <s v="False"/>
    <m/>
    <m/>
    <n v="37000"/>
    <n v="40000"/>
    <n v="41750"/>
    <n v="0"/>
    <n v="117.3167"/>
    <n v="0.44676608299999998"/>
    <n v="14126.12012"/>
    <n v="26.41"/>
    <n v="4.34"/>
    <n v="83.47"/>
    <n v="29"/>
    <s v="Rp0"/>
    <n v="0"/>
  </r>
  <r>
    <x v="299"/>
    <n v="36000"/>
    <n v="364"/>
    <n v="12"/>
    <x v="0"/>
    <n v="2"/>
    <s v="False"/>
    <m/>
    <m/>
    <n v="37000"/>
    <n v="40000"/>
    <n v="42000"/>
    <n v="-1000"/>
    <n v="117.3167"/>
    <n v="0.44676608299999998"/>
    <n v="14069.909180000001"/>
    <n v="26.2"/>
    <n v="4.57"/>
    <n v="86.35"/>
    <n v="30"/>
    <s v="-Rp1000"/>
    <n v="-2.7"/>
  </r>
  <r>
    <x v="300"/>
    <n v="36000"/>
    <n v="369"/>
    <n v="1"/>
    <x v="0"/>
    <n v="0"/>
    <s v="False"/>
    <m/>
    <m/>
    <m/>
    <n v="37000"/>
    <n v="42000"/>
    <m/>
    <n v="117.6164"/>
    <n v="0.25546235099999998"/>
    <n v="14022.500980000001"/>
    <n v="26"/>
    <n v="8.6999999999999993"/>
    <n v="86.37"/>
    <n v="4"/>
    <m/>
    <n v="0"/>
  </r>
  <r>
    <x v="301"/>
    <n v="34000"/>
    <n v="370"/>
    <n v="1"/>
    <x v="0"/>
    <n v="1"/>
    <s v="False"/>
    <m/>
    <m/>
    <n v="36000"/>
    <n v="37000"/>
    <n v="42000"/>
    <n v="-2000"/>
    <n v="117.6164"/>
    <n v="0.25546235099999998"/>
    <n v="13931.400390000001"/>
    <n v="26.45"/>
    <n v="8.1"/>
    <n v="86.87"/>
    <n v="5"/>
    <s v="-Rp2000"/>
    <n v="-5.56"/>
  </r>
  <r>
    <x v="302"/>
    <n v="34000"/>
    <n v="371"/>
    <n v="1"/>
    <x v="0"/>
    <n v="2"/>
    <s v="False"/>
    <m/>
    <m/>
    <n v="34000"/>
    <n v="36000"/>
    <n v="42500"/>
    <n v="0"/>
    <n v="117.6164"/>
    <n v="0.25546235099999998"/>
    <n v="13930"/>
    <n v="26.08"/>
    <n v="29.1"/>
    <n v="87.36"/>
    <n v="6"/>
    <s v="Rp0"/>
    <n v="0"/>
  </r>
  <r>
    <x v="303"/>
    <n v="34000"/>
    <n v="372"/>
    <n v="1"/>
    <x v="0"/>
    <n v="3"/>
    <s v="False"/>
    <m/>
    <m/>
    <n v="34000"/>
    <m/>
    <n v="42500"/>
    <n v="0"/>
    <n v="117.6164"/>
    <n v="0.25546235099999998"/>
    <n v="13951.5"/>
    <n v="25.73"/>
    <n v="14"/>
    <n v="87.15"/>
    <n v="7"/>
    <s v="Rp0"/>
    <n v="0"/>
  </r>
  <r>
    <x v="304"/>
    <n v="34250"/>
    <n v="373"/>
    <n v="1"/>
    <x v="0"/>
    <n v="4"/>
    <s v="False"/>
    <m/>
    <m/>
    <n v="34000"/>
    <m/>
    <m/>
    <n v="250"/>
    <n v="117.6164"/>
    <n v="0.25546235099999998"/>
    <n v="13892.97754"/>
    <n v="26.26"/>
    <n v="3.26"/>
    <n v="84.45"/>
    <n v="8"/>
    <s v="Rp250"/>
    <n v="0.74"/>
  </r>
  <r>
    <x v="305"/>
    <n v="34250"/>
    <n v="374"/>
    <n v="1"/>
    <x v="0"/>
    <n v="5"/>
    <s v="False"/>
    <m/>
    <m/>
    <n v="34250"/>
    <m/>
    <n v="42500"/>
    <n v="0"/>
    <n v="117.6164"/>
    <n v="0.25546235099999998"/>
    <n v="13892.97754"/>
    <n v="26.59"/>
    <n v="0.7"/>
    <n v="84.13"/>
    <n v="9"/>
    <s v="Rp250"/>
    <n v="0.74"/>
  </r>
  <r>
    <x v="306"/>
    <n v="34250"/>
    <n v="375"/>
    <n v="1"/>
    <x v="0"/>
    <n v="6"/>
    <s v="False"/>
    <n v="34392.857142857145"/>
    <m/>
    <n v="34250"/>
    <m/>
    <n v="42500"/>
    <n v="0"/>
    <n v="117.6164"/>
    <n v="0.25546235099999998"/>
    <n v="13892.97754"/>
    <n v="27.1"/>
    <n v="0.35"/>
    <n v="82.78"/>
    <n v="10"/>
    <s v="Rp250"/>
    <n v="0.74"/>
  </r>
  <r>
    <x v="307"/>
    <n v="34000"/>
    <n v="376"/>
    <n v="1"/>
    <x v="0"/>
    <n v="0"/>
    <s v="False"/>
    <n v="34107.142857142855"/>
    <m/>
    <n v="34250"/>
    <n v="36000"/>
    <n v="42500"/>
    <n v="-250"/>
    <n v="117.6164"/>
    <n v="0.25546235099999998"/>
    <n v="13861.39258"/>
    <n v="27.24"/>
    <n v="2.02"/>
    <n v="81.58"/>
    <n v="11"/>
    <s v="-Rp250"/>
    <n v="-0.73"/>
  </r>
  <r>
    <x v="308"/>
    <n v="34000"/>
    <n v="377"/>
    <n v="1"/>
    <x v="0"/>
    <n v="1"/>
    <s v="False"/>
    <n v="34107.142857142855"/>
    <m/>
    <n v="34000"/>
    <n v="34000"/>
    <n v="42500"/>
    <n v="0"/>
    <n v="117.6164"/>
    <n v="0.25546235099999998"/>
    <n v="14088.735350000001"/>
    <n v="26.47"/>
    <n v="5.65"/>
    <n v="84.68"/>
    <n v="12"/>
    <s v="Rp0"/>
    <n v="0"/>
  </r>
  <r>
    <x v="309"/>
    <n v="34000"/>
    <n v="378"/>
    <n v="1"/>
    <x v="0"/>
    <n v="2"/>
    <s v="False"/>
    <n v="34107.142857142855"/>
    <m/>
    <n v="34000"/>
    <n v="34000"/>
    <n v="40500"/>
    <n v="0"/>
    <n v="117.6164"/>
    <n v="0.25546235099999998"/>
    <n v="14031.07813"/>
    <n v="26.64"/>
    <n v="5.09"/>
    <n v="84.83"/>
    <n v="13"/>
    <s v="Rp0"/>
    <n v="0"/>
  </r>
  <r>
    <x v="310"/>
    <n v="34000"/>
    <n v="379"/>
    <n v="1"/>
    <x v="0"/>
    <n v="3"/>
    <s v="False"/>
    <n v="34107.142857142855"/>
    <m/>
    <n v="34000"/>
    <n v="34000"/>
    <n v="40500"/>
    <n v="0"/>
    <n v="117.6164"/>
    <n v="0.25546235099999998"/>
    <n v="14166"/>
    <n v="27.01"/>
    <n v="4.01"/>
    <n v="81.99"/>
    <n v="14"/>
    <s v="Rp0"/>
    <n v="0"/>
  </r>
  <r>
    <x v="311"/>
    <n v="34000"/>
    <n v="380"/>
    <n v="1"/>
    <x v="0"/>
    <n v="4"/>
    <s v="False"/>
    <n v="34071.428571428572"/>
    <m/>
    <n v="34000"/>
    <n v="34250"/>
    <n v="39500"/>
    <n v="0"/>
    <n v="117.6164"/>
    <n v="0.25546235099999998"/>
    <n v="14063.14746"/>
    <n v="26.66"/>
    <n v="19.25"/>
    <n v="88.33"/>
    <n v="15"/>
    <s v="Rp0"/>
    <n v="0"/>
  </r>
  <r>
    <x v="312"/>
    <n v="33000"/>
    <n v="383"/>
    <n v="1"/>
    <x v="0"/>
    <n v="0"/>
    <s v="False"/>
    <m/>
    <m/>
    <m/>
    <n v="34000"/>
    <m/>
    <m/>
    <n v="117.6164"/>
    <n v="0.25546235099999998"/>
    <n v="13880.7793"/>
    <n v="26.23"/>
    <n v="7.08"/>
    <n v="85.46"/>
    <n v="18"/>
    <s v="-Rp1000"/>
    <n v="-2.94"/>
  </r>
  <r>
    <x v="313"/>
    <n v="33000"/>
    <n v="384"/>
    <n v="1"/>
    <x v="0"/>
    <n v="1"/>
    <s v="False"/>
    <m/>
    <m/>
    <n v="33000"/>
    <n v="34000"/>
    <m/>
    <n v="0"/>
    <n v="117.6164"/>
    <n v="0.25546235099999998"/>
    <n v="14100.799800000001"/>
    <n v="27.31"/>
    <n v="3.04"/>
    <n v="79.48"/>
    <n v="19"/>
    <s v="Rp0"/>
    <n v="0"/>
  </r>
  <r>
    <x v="314"/>
    <n v="32000"/>
    <n v="385"/>
    <n v="1"/>
    <x v="0"/>
    <n v="2"/>
    <s v="False"/>
    <m/>
    <m/>
    <n v="33000"/>
    <n v="34000"/>
    <n v="40000"/>
    <n v="-1000"/>
    <n v="117.6164"/>
    <n v="0.25546235099999998"/>
    <n v="14122"/>
    <n v="26.98"/>
    <n v="7.27"/>
    <n v="86.4"/>
    <n v="20"/>
    <s v="-Rp1000"/>
    <n v="-3.03"/>
  </r>
  <r>
    <x v="315"/>
    <n v="32000"/>
    <n v="386"/>
    <n v="1"/>
    <x v="0"/>
    <n v="3"/>
    <s v="False"/>
    <m/>
    <m/>
    <n v="32000"/>
    <n v="34000"/>
    <n v="40000"/>
    <n v="0"/>
    <n v="117.6164"/>
    <n v="0.25546235099999998"/>
    <n v="14037.200199999999"/>
    <n v="26.71"/>
    <n v="11.35"/>
    <n v="87.63"/>
    <n v="21"/>
    <s v="Rp0"/>
    <n v="0"/>
  </r>
  <r>
    <x v="316"/>
    <n v="32000"/>
    <n v="387"/>
    <n v="1"/>
    <x v="0"/>
    <n v="4"/>
    <s v="False"/>
    <m/>
    <m/>
    <n v="32000"/>
    <n v="34000"/>
    <n v="40000"/>
    <n v="0"/>
    <n v="117.6164"/>
    <n v="0.25546235099999998"/>
    <n v="13960.76172"/>
    <n v="26.41"/>
    <n v="14.26"/>
    <n v="86.25"/>
    <n v="22"/>
    <s v="Rp0"/>
    <n v="0"/>
  </r>
  <r>
    <x v="317"/>
    <n v="33000"/>
    <n v="390"/>
    <n v="1"/>
    <x v="0"/>
    <n v="0"/>
    <s v="False"/>
    <m/>
    <m/>
    <m/>
    <n v="33000"/>
    <m/>
    <m/>
    <n v="117.6164"/>
    <n v="0.25546235099999998"/>
    <n v="14012.89551"/>
    <n v="25.6"/>
    <n v="13.42"/>
    <n v="87.86"/>
    <n v="25"/>
    <s v="Rp1000"/>
    <n v="3.13"/>
  </r>
  <r>
    <x v="318"/>
    <n v="33000"/>
    <n v="391"/>
    <n v="1"/>
    <x v="0"/>
    <n v="1"/>
    <s v="False"/>
    <m/>
    <m/>
    <n v="33000"/>
    <n v="33000"/>
    <m/>
    <n v="0"/>
    <n v="117.6164"/>
    <n v="0.25546235099999998"/>
    <n v="14148.5"/>
    <n v="25.53"/>
    <n v="5.51"/>
    <n v="84.89"/>
    <n v="26"/>
    <s v="Rp0"/>
    <n v="0"/>
  </r>
  <r>
    <x v="319"/>
    <n v="33000"/>
    <n v="392"/>
    <n v="1"/>
    <x v="0"/>
    <n v="2"/>
    <s v="False"/>
    <m/>
    <m/>
    <n v="33000"/>
    <n v="32000"/>
    <n v="37000"/>
    <n v="0"/>
    <n v="117.6164"/>
    <n v="0.25546235099999998"/>
    <n v="14142"/>
    <n v="26.05"/>
    <n v="3.87"/>
    <n v="85.52"/>
    <n v="27"/>
    <s v="Rp0"/>
    <n v="0"/>
  </r>
  <r>
    <x v="320"/>
    <n v="32000"/>
    <n v="393"/>
    <n v="1"/>
    <x v="0"/>
    <n v="3"/>
    <s v="False"/>
    <m/>
    <m/>
    <n v="33000"/>
    <n v="32000"/>
    <n v="37000"/>
    <n v="-1000"/>
    <n v="117.6164"/>
    <n v="0.25546235099999998"/>
    <n v="14195"/>
    <n v="26.7"/>
    <n v="2.15"/>
    <n v="81.41"/>
    <n v="28"/>
    <s v="-Rp1000"/>
    <n v="-3.03"/>
  </r>
  <r>
    <x v="321"/>
    <n v="31000"/>
    <n v="397"/>
    <n v="2"/>
    <x v="0"/>
    <n v="0"/>
    <s v="False"/>
    <m/>
    <m/>
    <m/>
    <n v="33000"/>
    <m/>
    <m/>
    <n v="117.7385"/>
    <n v="0.103812053"/>
    <n v="13828.13672"/>
    <n v="25.54"/>
    <n v="5.83"/>
    <n v="87.71"/>
    <n v="1"/>
    <m/>
    <n v="0"/>
  </r>
  <r>
    <x v="322"/>
    <n v="31500"/>
    <n v="398"/>
    <n v="2"/>
    <x v="0"/>
    <n v="1"/>
    <s v="False"/>
    <m/>
    <m/>
    <n v="31000"/>
    <n v="33000"/>
    <m/>
    <n v="500"/>
    <n v="117.7385"/>
    <n v="0.103812053"/>
    <n v="14118.5"/>
    <n v="26.28"/>
    <n v="2.92"/>
    <n v="85.95"/>
    <n v="2"/>
    <s v="Rp500"/>
    <n v="1.61"/>
  </r>
  <r>
    <x v="323"/>
    <n v="31500"/>
    <n v="399"/>
    <n v="2"/>
    <x v="0"/>
    <n v="2"/>
    <s v="False"/>
    <m/>
    <m/>
    <n v="31500"/>
    <n v="33000"/>
    <n v="36000"/>
    <n v="0"/>
    <n v="117.7385"/>
    <n v="0.103812053"/>
    <n v="13995.535159999999"/>
    <n v="26.49"/>
    <n v="1.84"/>
    <n v="84.5"/>
    <n v="3"/>
    <s v="Rp0"/>
    <n v="0"/>
  </r>
  <r>
    <x v="324"/>
    <n v="31500"/>
    <n v="400"/>
    <n v="2"/>
    <x v="0"/>
    <n v="3"/>
    <s v="False"/>
    <m/>
    <m/>
    <n v="31500"/>
    <n v="32000"/>
    <n v="34000"/>
    <n v="0"/>
    <n v="117.7385"/>
    <n v="0.103812053"/>
    <n v="13983.952149999999"/>
    <n v="26.31"/>
    <n v="2"/>
    <n v="86.25"/>
    <n v="4"/>
    <s v="Rp0"/>
    <n v="0"/>
  </r>
  <r>
    <x v="325"/>
    <n v="31500"/>
    <n v="401"/>
    <n v="2"/>
    <x v="0"/>
    <n v="4"/>
    <s v="False"/>
    <m/>
    <m/>
    <n v="31500"/>
    <m/>
    <n v="34000"/>
    <n v="0"/>
    <n v="117.7385"/>
    <n v="0.103812053"/>
    <n v="14010.47363"/>
    <n v="25.96"/>
    <n v="6.69"/>
    <n v="86.48"/>
    <n v="5"/>
    <s v="Rp0"/>
    <n v="0"/>
  </r>
  <r>
    <x v="326"/>
    <n v="31500"/>
    <n v="402"/>
    <n v="2"/>
    <x v="0"/>
    <n v="5"/>
    <s v="False"/>
    <m/>
    <m/>
    <n v="31500"/>
    <m/>
    <n v="34000"/>
    <n v="0"/>
    <n v="117.7385"/>
    <n v="0.103812053"/>
    <n v="14010.47363"/>
    <n v="26.2"/>
    <n v="5.47"/>
    <n v="85.97"/>
    <n v="6"/>
    <s v="Rp0"/>
    <n v="0"/>
  </r>
  <r>
    <x v="327"/>
    <n v="31500"/>
    <n v="403"/>
    <n v="2"/>
    <x v="0"/>
    <n v="6"/>
    <s v="False"/>
    <n v="31428.571428571428"/>
    <m/>
    <n v="31500"/>
    <m/>
    <n v="34250"/>
    <n v="0"/>
    <n v="117.7385"/>
    <n v="0.103812053"/>
    <n v="14010.47363"/>
    <n v="26.74"/>
    <n v="3.24"/>
    <n v="83.16"/>
    <n v="7"/>
    <s v="Rp0"/>
    <n v="0"/>
  </r>
  <r>
    <x v="328"/>
    <n v="31000"/>
    <n v="404"/>
    <n v="2"/>
    <x v="0"/>
    <n v="0"/>
    <s v="False"/>
    <n v="31428.571428571428"/>
    <m/>
    <n v="31500"/>
    <n v="31000"/>
    <n v="34250"/>
    <n v="-500"/>
    <n v="117.7385"/>
    <n v="0.103812053"/>
    <n v="14001.103520000001"/>
    <n v="26.71"/>
    <n v="5.08"/>
    <n v="81.2"/>
    <n v="8"/>
    <s v="-Rp500"/>
    <n v="-1.59"/>
  </r>
  <r>
    <x v="329"/>
    <n v="31000"/>
    <n v="405"/>
    <n v="2"/>
    <x v="0"/>
    <n v="1"/>
    <s v="False"/>
    <n v="31357.142857142859"/>
    <m/>
    <n v="31000"/>
    <n v="31500"/>
    <n v="34250"/>
    <n v="0"/>
    <n v="117.7385"/>
    <n v="0.103812053"/>
    <n v="13990.45996"/>
    <n v="26.28"/>
    <n v="6.59"/>
    <n v="85.19"/>
    <n v="9"/>
    <s v="Rp0"/>
    <n v="0"/>
  </r>
  <r>
    <x v="330"/>
    <n v="33250"/>
    <n v="406"/>
    <n v="2"/>
    <x v="0"/>
    <n v="2"/>
    <s v="False"/>
    <n v="31607.142857142859"/>
    <m/>
    <n v="31000"/>
    <n v="31500"/>
    <n v="34000"/>
    <n v="2250"/>
    <n v="117.7385"/>
    <n v="0.103812053"/>
    <n v="13989.188480000001"/>
    <n v="26.77"/>
    <n v="5.2"/>
    <n v="83.78"/>
    <n v="10"/>
    <s v="Rp2250"/>
    <n v="7.26"/>
  </r>
  <r>
    <x v="331"/>
    <n v="33750"/>
    <n v="407"/>
    <n v="2"/>
    <x v="0"/>
    <n v="3"/>
    <s v="False"/>
    <n v="31928.571428571428"/>
    <m/>
    <n v="33250"/>
    <n v="31500"/>
    <n v="34000"/>
    <n v="500"/>
    <n v="117.7385"/>
    <n v="0.103812053"/>
    <n v="14027"/>
    <n v="27.14"/>
    <n v="7.32"/>
    <n v="84.94"/>
    <n v="11"/>
    <s v="Rp500"/>
    <n v="1.5"/>
  </r>
  <r>
    <x v="332"/>
    <n v="33750"/>
    <n v="411"/>
    <n v="2"/>
    <x v="0"/>
    <n v="0"/>
    <s v="False"/>
    <m/>
    <m/>
    <m/>
    <n v="31000"/>
    <m/>
    <m/>
    <n v="117.7385"/>
    <n v="0.103812053"/>
    <n v="13966"/>
    <n v="25.99"/>
    <n v="20.48"/>
    <n v="86.49"/>
    <n v="15"/>
    <m/>
    <n v="0"/>
  </r>
  <r>
    <x v="333"/>
    <n v="33750"/>
    <n v="412"/>
    <n v="2"/>
    <x v="0"/>
    <n v="1"/>
    <s v="False"/>
    <m/>
    <m/>
    <n v="33750"/>
    <n v="31000"/>
    <m/>
    <n v="0"/>
    <n v="117.7385"/>
    <n v="0.103812053"/>
    <n v="13907"/>
    <n v="26.69"/>
    <n v="3.56"/>
    <n v="83.06"/>
    <n v="16"/>
    <s v="Rp0"/>
    <n v="0"/>
  </r>
  <r>
    <x v="334"/>
    <n v="33750"/>
    <n v="413"/>
    <n v="2"/>
    <x v="0"/>
    <n v="2"/>
    <s v="False"/>
    <m/>
    <m/>
    <n v="33750"/>
    <n v="33250"/>
    <n v="33000"/>
    <n v="0"/>
    <n v="117.7385"/>
    <n v="0.103812053"/>
    <n v="14039.200199999999"/>
    <n v="26.49"/>
    <n v="14.52"/>
    <n v="85.54"/>
    <n v="17"/>
    <s v="Rp0"/>
    <n v="0"/>
  </r>
  <r>
    <x v="335"/>
    <n v="34250"/>
    <n v="414"/>
    <n v="2"/>
    <x v="0"/>
    <n v="3"/>
    <s v="False"/>
    <m/>
    <m/>
    <n v="33750"/>
    <n v="33750"/>
    <n v="33000"/>
    <n v="500"/>
    <n v="117.7385"/>
    <n v="0.103812053"/>
    <n v="14007.474609999999"/>
    <n v="26.19"/>
    <n v="11.85"/>
    <n v="87.1"/>
    <n v="18"/>
    <s v="Rp500"/>
    <n v="1.48"/>
  </r>
  <r>
    <x v="336"/>
    <n v="34250"/>
    <n v="415"/>
    <n v="2"/>
    <x v="0"/>
    <n v="4"/>
    <s v="False"/>
    <m/>
    <m/>
    <n v="34250"/>
    <m/>
    <n v="32000"/>
    <n v="0"/>
    <n v="117.7385"/>
    <n v="0.103812053"/>
    <n v="13998.19824"/>
    <n v="26.73"/>
    <n v="5.41"/>
    <n v="84.29"/>
    <n v="19"/>
    <s v="Rp0"/>
    <n v="0"/>
  </r>
  <r>
    <x v="337"/>
    <n v="37000"/>
    <n v="418"/>
    <n v="2"/>
    <x v="0"/>
    <n v="0"/>
    <s v="False"/>
    <m/>
    <m/>
    <m/>
    <n v="33750"/>
    <m/>
    <m/>
    <n v="117.7385"/>
    <n v="0.103812053"/>
    <n v="13898.41699"/>
    <n v="26.73"/>
    <n v="2.17"/>
    <n v="81.31"/>
    <n v="22"/>
    <s v="Rp2750"/>
    <n v="8.0299999999999994"/>
  </r>
  <r>
    <x v="338"/>
    <n v="36750"/>
    <n v="419"/>
    <n v="2"/>
    <x v="0"/>
    <n v="1"/>
    <s v="False"/>
    <m/>
    <m/>
    <n v="37000"/>
    <n v="33750"/>
    <m/>
    <n v="-250"/>
    <n v="117.7385"/>
    <n v="0.103812053"/>
    <n v="14107.69629"/>
    <n v="26.64"/>
    <n v="5.81"/>
    <n v="85.74"/>
    <n v="23"/>
    <s v="-Rp250"/>
    <n v="-0.68"/>
  </r>
  <r>
    <x v="339"/>
    <n v="37250"/>
    <n v="420"/>
    <n v="2"/>
    <x v="0"/>
    <n v="2"/>
    <s v="False"/>
    <m/>
    <m/>
    <n v="36750"/>
    <n v="33750"/>
    <n v="33000"/>
    <n v="500"/>
    <n v="117.7385"/>
    <n v="0.103812053"/>
    <n v="14081.617190000001"/>
    <n v="26.5"/>
    <n v="4.09"/>
    <n v="84.68"/>
    <n v="24"/>
    <s v="Rp500"/>
    <n v="1.36"/>
  </r>
  <r>
    <x v="340"/>
    <n v="37250"/>
    <n v="421"/>
    <n v="2"/>
    <x v="0"/>
    <n v="3"/>
    <s v="False"/>
    <m/>
    <m/>
    <n v="37250"/>
    <n v="34250"/>
    <n v="33000"/>
    <n v="0"/>
    <n v="117.7385"/>
    <n v="0.103812053"/>
    <n v="14097.799800000001"/>
    <n v="26.67"/>
    <n v="1.22"/>
    <n v="82.31"/>
    <n v="25"/>
    <s v="Rp0"/>
    <n v="0"/>
  </r>
  <r>
    <x v="341"/>
    <n v="37000"/>
    <n v="422"/>
    <n v="2"/>
    <x v="0"/>
    <n v="4"/>
    <s v="False"/>
    <m/>
    <m/>
    <n v="37250"/>
    <n v="34250"/>
    <n v="33000"/>
    <n v="-250"/>
    <n v="117.7385"/>
    <n v="0.103812053"/>
    <n v="13968.18555"/>
    <n v="27.42"/>
    <n v="1.28"/>
    <n v="76.14"/>
    <n v="26"/>
    <s v="-Rp250"/>
    <n v="-0.67"/>
  </r>
  <r>
    <x v="342"/>
    <n v="37000"/>
    <n v="423"/>
    <n v="2"/>
    <x v="0"/>
    <n v="5"/>
    <s v="False"/>
    <m/>
    <m/>
    <n v="37000"/>
    <m/>
    <n v="32000"/>
    <n v="0"/>
    <n v="117.7385"/>
    <n v="0.103812053"/>
    <n v="13968.18555"/>
    <n v="26.93"/>
    <n v="1.96"/>
    <n v="83.69"/>
    <n v="27"/>
    <s v="-Rp250"/>
    <n v="-0.67"/>
  </r>
  <r>
    <x v="343"/>
    <n v="37000"/>
    <n v="424"/>
    <n v="2"/>
    <x v="0"/>
    <n v="6"/>
    <s v="False"/>
    <n v="37035.714285714283"/>
    <m/>
    <n v="37000"/>
    <m/>
    <m/>
    <n v="0"/>
    <n v="117.7385"/>
    <n v="0.103812053"/>
    <n v="13968.18555"/>
    <n v="27.19"/>
    <n v="2.02"/>
    <n v="82.37"/>
    <n v="28"/>
    <s v="-Rp250"/>
    <n v="-0.67"/>
  </r>
  <r>
    <x v="344"/>
    <n v="36750"/>
    <n v="425"/>
    <n v="3"/>
    <x v="0"/>
    <n v="0"/>
    <s v="False"/>
    <n v="37000"/>
    <m/>
    <n v="37000"/>
    <n v="37000"/>
    <m/>
    <n v="-250"/>
    <n v="117.83839999999999"/>
    <n v="8.4849050999999995E-2"/>
    <n v="14110.58496"/>
    <n v="26.39"/>
    <n v="5.81"/>
    <n v="86.2"/>
    <n v="1"/>
    <s v="-Rp250"/>
    <n v="-0.68"/>
  </r>
  <r>
    <x v="345"/>
    <n v="36500"/>
    <n v="426"/>
    <n v="3"/>
    <x v="0"/>
    <n v="1"/>
    <s v="False"/>
    <n v="36964.285714285717"/>
    <m/>
    <n v="36750"/>
    <n v="36750"/>
    <m/>
    <n v="-250"/>
    <n v="117.83839999999999"/>
    <n v="8.4849050999999995E-2"/>
    <n v="14245.62012"/>
    <n v="26.03"/>
    <n v="11.88"/>
    <n v="84.92"/>
    <n v="2"/>
    <s v="-Rp250"/>
    <n v="-0.68"/>
  </r>
  <r>
    <x v="346"/>
    <n v="36500"/>
    <n v="427"/>
    <n v="3"/>
    <x v="0"/>
    <n v="2"/>
    <s v="False"/>
    <n v="36857.142857142855"/>
    <m/>
    <n v="36500"/>
    <n v="37250"/>
    <n v="31000"/>
    <n v="0"/>
    <n v="117.83839999999999"/>
    <n v="8.4849050999999995E-2"/>
    <n v="14239.181640000001"/>
    <n v="26.45"/>
    <n v="3.96"/>
    <n v="80.760000000000005"/>
    <n v="3"/>
    <s v="Rp0"/>
    <n v="0"/>
  </r>
  <r>
    <x v="347"/>
    <n v="37000"/>
    <n v="428"/>
    <n v="3"/>
    <x v="0"/>
    <n v="3"/>
    <s v="False"/>
    <n v="36821.428571428572"/>
    <m/>
    <n v="36500"/>
    <n v="37250"/>
    <n v="31500"/>
    <n v="500"/>
    <n v="117.83839999999999"/>
    <n v="8.4849050999999995E-2"/>
    <n v="14349"/>
    <n v="26.1"/>
    <n v="8.33"/>
    <n v="86.37"/>
    <n v="4"/>
    <s v="Rp500"/>
    <n v="1.37"/>
  </r>
  <r>
    <x v="348"/>
    <n v="36500"/>
    <n v="429"/>
    <n v="3"/>
    <x v="0"/>
    <n v="4"/>
    <s v="False"/>
    <n v="36750"/>
    <m/>
    <n v="37000"/>
    <n v="37000"/>
    <n v="31500"/>
    <n v="-500"/>
    <n v="117.83839999999999"/>
    <n v="8.4849050999999995E-2"/>
    <n v="14268.87988"/>
    <n v="26.45"/>
    <n v="14.33"/>
    <n v="83.02"/>
    <n v="5"/>
    <s v="-Rp500"/>
    <n v="-1.35"/>
  </r>
  <r>
    <x v="349"/>
    <n v="36500"/>
    <n v="430"/>
    <n v="3"/>
    <x v="0"/>
    <n v="5"/>
    <s v="False"/>
    <n v="36678.571428571428"/>
    <m/>
    <n v="36500"/>
    <n v="37000"/>
    <n v="31500"/>
    <n v="0"/>
    <n v="117.83839999999999"/>
    <n v="8.4849050999999995E-2"/>
    <n v="14268.87988"/>
    <n v="26.62"/>
    <n v="1.83"/>
    <n v="78.489999999999995"/>
    <n v="6"/>
    <s v="-Rp500"/>
    <n v="-1.35"/>
  </r>
  <r>
    <x v="350"/>
    <n v="36500"/>
    <n v="431"/>
    <n v="3"/>
    <x v="0"/>
    <n v="6"/>
    <s v="False"/>
    <n v="36607.142857142855"/>
    <m/>
    <n v="36500"/>
    <n v="37000"/>
    <n v="31500"/>
    <n v="0"/>
    <n v="117.83839999999999"/>
    <n v="8.4849050999999995E-2"/>
    <n v="14268.87988"/>
    <n v="26.61"/>
    <n v="4.8600000000000003"/>
    <n v="81.790000000000006"/>
    <n v="7"/>
    <s v="-Rp500"/>
    <n v="-1.35"/>
  </r>
  <r>
    <x v="351"/>
    <n v="38000"/>
    <n v="432"/>
    <n v="3"/>
    <x v="0"/>
    <n v="0"/>
    <s v="False"/>
    <n v="36785.714285714283"/>
    <m/>
    <n v="36500"/>
    <n v="36750"/>
    <n v="31500"/>
    <n v="1500"/>
    <n v="117.83839999999999"/>
    <n v="8.4849050999999995E-2"/>
    <n v="14287.39258"/>
    <n v="26.64"/>
    <n v="1.1399999999999999"/>
    <n v="80.7"/>
    <n v="8"/>
    <s v="Rp1500"/>
    <n v="4.1100000000000003"/>
  </r>
  <r>
    <x v="352"/>
    <n v="38500"/>
    <n v="433"/>
    <n v="3"/>
    <x v="0"/>
    <n v="1"/>
    <s v="False"/>
    <n v="37071.428571428572"/>
    <m/>
    <n v="38000"/>
    <n v="36500"/>
    <n v="31500"/>
    <n v="500"/>
    <n v="117.83839999999999"/>
    <n v="8.4849050999999995E-2"/>
    <n v="14344.47559"/>
    <n v="26.47"/>
    <n v="1.7"/>
    <n v="82.07"/>
    <n v="9"/>
    <s v="Rp500"/>
    <n v="1.32"/>
  </r>
  <r>
    <x v="353"/>
    <n v="38500"/>
    <n v="434"/>
    <n v="3"/>
    <x v="0"/>
    <n v="2"/>
    <s v="False"/>
    <n v="37357.142857142855"/>
    <m/>
    <n v="38500"/>
    <n v="36500"/>
    <n v="31000"/>
    <n v="0"/>
    <n v="117.83839999999999"/>
    <n v="8.4849050999999995E-2"/>
    <n v="14393"/>
    <n v="26.28"/>
    <n v="2.44"/>
    <n v="84.47"/>
    <n v="10"/>
    <s v="Rp0"/>
    <n v="0"/>
  </r>
  <r>
    <x v="354"/>
    <n v="38000"/>
    <n v="436"/>
    <n v="3"/>
    <x v="0"/>
    <n v="4"/>
    <s v="False"/>
    <m/>
    <m/>
    <m/>
    <n v="36500"/>
    <n v="33250"/>
    <m/>
    <n v="117.83839999999999"/>
    <n v="8.4849050999999995E-2"/>
    <n v="14283.900390000001"/>
    <n v="26.21"/>
    <n v="2.98"/>
    <n v="79.06"/>
    <n v="12"/>
    <m/>
    <n v="0"/>
  </r>
  <r>
    <x v="355"/>
    <n v="38000"/>
    <n v="437"/>
    <n v="3"/>
    <x v="0"/>
    <n v="5"/>
    <s v="False"/>
    <m/>
    <m/>
    <n v="38000"/>
    <n v="36500"/>
    <n v="33750"/>
    <n v="0"/>
    <n v="117.83839999999999"/>
    <n v="8.4849050999999995E-2"/>
    <n v="14283.900390000001"/>
    <n v="27.14"/>
    <n v="4.62"/>
    <n v="77.459999999999994"/>
    <n v="13"/>
    <m/>
    <n v="0"/>
  </r>
  <r>
    <x v="356"/>
    <n v="38000"/>
    <n v="438"/>
    <n v="3"/>
    <x v="0"/>
    <n v="6"/>
    <s v="True"/>
    <m/>
    <m/>
    <n v="38000"/>
    <n v="36500"/>
    <m/>
    <n v="0"/>
    <n v="117.83839999999999"/>
    <n v="8.4849050999999995E-2"/>
    <n v="14283.900390000001"/>
    <n v="26.95"/>
    <n v="4.3"/>
    <n v="79.150000000000006"/>
    <n v="14"/>
    <m/>
    <n v="0"/>
  </r>
  <r>
    <x v="357"/>
    <n v="39000"/>
    <n v="439"/>
    <n v="3"/>
    <x v="0"/>
    <n v="0"/>
    <s v="False"/>
    <m/>
    <m/>
    <n v="38000"/>
    <n v="38000"/>
    <m/>
    <n v="1000"/>
    <n v="117.83839999999999"/>
    <n v="8.4849050999999995E-2"/>
    <n v="14385.208979999999"/>
    <n v="27.27"/>
    <n v="0.73"/>
    <n v="76.86"/>
    <n v="15"/>
    <s v="Rp1000"/>
    <n v="2.63"/>
  </r>
  <r>
    <x v="358"/>
    <n v="39000"/>
    <n v="440"/>
    <n v="3"/>
    <x v="0"/>
    <n v="1"/>
    <s v="False"/>
    <m/>
    <m/>
    <n v="39000"/>
    <n v="38500"/>
    <m/>
    <n v="0"/>
    <n v="117.83839999999999"/>
    <n v="8.4849050999999995E-2"/>
    <n v="14464"/>
    <n v="27.19"/>
    <n v="0.74"/>
    <n v="77.81"/>
    <n v="16"/>
    <s v="Rp0"/>
    <n v="0"/>
  </r>
  <r>
    <x v="359"/>
    <n v="37000"/>
    <n v="441"/>
    <n v="3"/>
    <x v="0"/>
    <n v="2"/>
    <s v="False"/>
    <m/>
    <m/>
    <n v="39000"/>
    <n v="38500"/>
    <n v="33750"/>
    <n v="-2000"/>
    <n v="117.83839999999999"/>
    <n v="8.4849050999999995E-2"/>
    <n v="14427.5"/>
    <n v="26.87"/>
    <n v="1.21"/>
    <n v="81.06"/>
    <n v="17"/>
    <s v="-Rp2000"/>
    <n v="-5.13"/>
  </r>
  <r>
    <x v="360"/>
    <n v="37000"/>
    <n v="442"/>
    <n v="3"/>
    <x v="0"/>
    <n v="3"/>
    <s v="False"/>
    <n v="38000"/>
    <m/>
    <n v="37000"/>
    <m/>
    <n v="33750"/>
    <n v="0"/>
    <n v="117.83839999999999"/>
    <n v="8.4849050999999995E-2"/>
    <n v="14403"/>
    <n v="26.79"/>
    <n v="3.42"/>
    <n v="80.95"/>
    <n v="18"/>
    <s v="Rp0"/>
    <n v="0"/>
  </r>
  <r>
    <x v="361"/>
    <n v="39500"/>
    <n v="443"/>
    <n v="3"/>
    <x v="0"/>
    <n v="4"/>
    <s v="False"/>
    <n v="38214.285714285717"/>
    <m/>
    <n v="37000"/>
    <n v="38000"/>
    <n v="33750"/>
    <n v="2500"/>
    <n v="117.83839999999999"/>
    <n v="8.4849050999999995E-2"/>
    <n v="14431"/>
    <n v="26.66"/>
    <n v="3.38"/>
    <n v="80.319999999999993"/>
    <n v="19"/>
    <s v="Rp2500"/>
    <n v="6.76"/>
  </r>
  <r>
    <x v="362"/>
    <n v="39500"/>
    <n v="446"/>
    <n v="3"/>
    <x v="0"/>
    <n v="0"/>
    <s v="False"/>
    <m/>
    <m/>
    <m/>
    <n v="39000"/>
    <m/>
    <m/>
    <n v="117.83839999999999"/>
    <n v="8.4849050999999995E-2"/>
    <n v="14372.200199999999"/>
    <n v="27.17"/>
    <n v="14.62"/>
    <n v="83.72"/>
    <n v="22"/>
    <s v="Rp0"/>
    <n v="0"/>
  </r>
  <r>
    <x v="363"/>
    <n v="38000"/>
    <n v="447"/>
    <n v="3"/>
    <x v="0"/>
    <n v="1"/>
    <s v="False"/>
    <m/>
    <m/>
    <n v="39500"/>
    <n v="39000"/>
    <m/>
    <n v="-1500"/>
    <n v="117.83839999999999"/>
    <n v="8.4849050999999995E-2"/>
    <n v="14375.799800000001"/>
    <n v="26.77"/>
    <n v="9.83"/>
    <n v="85.95"/>
    <n v="23"/>
    <s v="-Rp1500"/>
    <n v="-3.8"/>
  </r>
  <r>
    <x v="364"/>
    <n v="38500"/>
    <n v="448"/>
    <n v="3"/>
    <x v="0"/>
    <n v="2"/>
    <s v="False"/>
    <m/>
    <m/>
    <n v="38000"/>
    <n v="37000"/>
    <n v="37000"/>
    <n v="500"/>
    <n v="117.83839999999999"/>
    <n v="8.4849050999999995E-2"/>
    <n v="14505.5"/>
    <n v="26.55"/>
    <n v="5.83"/>
    <n v="84.36"/>
    <n v="24"/>
    <s v="Rp500"/>
    <n v="1.32"/>
  </r>
  <r>
    <x v="365"/>
    <n v="37500"/>
    <n v="449"/>
    <n v="3"/>
    <x v="0"/>
    <n v="3"/>
    <s v="False"/>
    <m/>
    <m/>
    <n v="38500"/>
    <n v="37000"/>
    <n v="36750"/>
    <n v="-1000"/>
    <n v="117.83839999999999"/>
    <n v="8.4849050999999995E-2"/>
    <n v="14460"/>
    <n v="26.42"/>
    <n v="14.59"/>
    <n v="85.42"/>
    <n v="25"/>
    <s v="-Rp1000"/>
    <n v="-2.6"/>
  </r>
  <r>
    <x v="366"/>
    <n v="36500"/>
    <n v="450"/>
    <n v="3"/>
    <x v="0"/>
    <n v="4"/>
    <s v="False"/>
    <m/>
    <m/>
    <n v="37500"/>
    <n v="39500"/>
    <n v="37250"/>
    <n v="-1000"/>
    <n v="117.83839999999999"/>
    <n v="8.4849050999999995E-2"/>
    <n v="14456.400390000001"/>
    <n v="26.63"/>
    <n v="9.89"/>
    <n v="83.49"/>
    <n v="26"/>
    <s v="-Rp1000"/>
    <n v="-2.67"/>
  </r>
  <r>
    <x v="367"/>
    <n v="36500"/>
    <n v="451"/>
    <n v="3"/>
    <x v="0"/>
    <n v="5"/>
    <s v="False"/>
    <m/>
    <m/>
    <n v="36500"/>
    <m/>
    <n v="37250"/>
    <n v="0"/>
    <n v="117.83839999999999"/>
    <n v="8.4849050999999995E-2"/>
    <n v="14456.400390000001"/>
    <n v="26.94"/>
    <n v="5.17"/>
    <n v="78.27"/>
    <n v="27"/>
    <s v="-Rp1000"/>
    <n v="-2.67"/>
  </r>
  <r>
    <x v="368"/>
    <n v="36500"/>
    <n v="452"/>
    <n v="3"/>
    <x v="0"/>
    <n v="6"/>
    <s v="False"/>
    <n v="37571.428571428572"/>
    <m/>
    <n v="36500"/>
    <m/>
    <n v="37000"/>
    <n v="0"/>
    <n v="117.83839999999999"/>
    <n v="8.4849050999999995E-2"/>
    <n v="14456.400390000001"/>
    <n v="26.29"/>
    <n v="10.46"/>
    <n v="85.46"/>
    <n v="28"/>
    <s v="-Rp1000"/>
    <n v="-2.67"/>
  </r>
  <r>
    <x v="369"/>
    <n v="36250"/>
    <n v="453"/>
    <n v="3"/>
    <x v="0"/>
    <n v="0"/>
    <s v="False"/>
    <n v="37107.142857142855"/>
    <m/>
    <n v="36500"/>
    <n v="39500"/>
    <n v="37000"/>
    <n v="-250"/>
    <n v="117.83839999999999"/>
    <n v="8.4849050999999995E-2"/>
    <n v="14411"/>
    <n v="26.62"/>
    <n v="7.69"/>
    <n v="84.06"/>
    <n v="29"/>
    <s v="-Rp250"/>
    <n v="-0.68"/>
  </r>
  <r>
    <x v="370"/>
    <n v="36500"/>
    <n v="454"/>
    <n v="3"/>
    <x v="0"/>
    <n v="1"/>
    <s v="False"/>
    <n v="36892.857142857145"/>
    <m/>
    <n v="36250"/>
    <n v="38000"/>
    <n v="37000"/>
    <n v="250"/>
    <n v="117.83839999999999"/>
    <n v="8.4849050999999995E-2"/>
    <n v="14511.700199999999"/>
    <n v="26.66"/>
    <n v="9.9499999999999993"/>
    <n v="84.84"/>
    <n v="30"/>
    <s v="Rp250"/>
    <n v="0.69"/>
  </r>
  <r>
    <x v="371"/>
    <n v="36500"/>
    <n v="455"/>
    <n v="3"/>
    <x v="0"/>
    <n v="2"/>
    <s v="False"/>
    <n v="36607.142857142855"/>
    <m/>
    <n v="36500"/>
    <n v="38500"/>
    <n v="36750"/>
    <n v="0"/>
    <n v="117.83839999999999"/>
    <n v="8.4849050999999995E-2"/>
    <n v="14605"/>
    <n v="26.81"/>
    <n v="2.3199999999999998"/>
    <n v="85.27"/>
    <n v="31"/>
    <s v="Rp0"/>
    <n v="0"/>
  </r>
  <r>
    <x v="372"/>
    <n v="35500"/>
    <n v="456"/>
    <n v="4"/>
    <x v="1"/>
    <n v="3"/>
    <s v="False"/>
    <n v="36321.428571428572"/>
    <m/>
    <n v="36500"/>
    <n v="37500"/>
    <n v="36500"/>
    <n v="-1000"/>
    <n v="117.9939"/>
    <n v="0.13196037999999999"/>
    <n v="14606"/>
    <n v="27.36"/>
    <n v="0.95"/>
    <n v="81.38"/>
    <n v="1"/>
    <s v="-Rp1000"/>
    <n v="-2.74"/>
  </r>
  <r>
    <x v="373"/>
    <n v="35500"/>
    <n v="460"/>
    <n v="4"/>
    <x v="1"/>
    <n v="0"/>
    <s v="True"/>
    <m/>
    <m/>
    <m/>
    <n v="36250"/>
    <n v="36500"/>
    <m/>
    <n v="117.9939"/>
    <n v="0.13196037999999999"/>
    <n v="14518"/>
    <n v="27.41"/>
    <n v="2.82"/>
    <n v="81.56"/>
    <n v="5"/>
    <m/>
    <n v="0"/>
  </r>
  <r>
    <x v="374"/>
    <n v="35500"/>
    <n v="461"/>
    <n v="4"/>
    <x v="1"/>
    <n v="1"/>
    <s v="False"/>
    <m/>
    <m/>
    <n v="35500"/>
    <n v="36500"/>
    <n v="36500"/>
    <n v="0"/>
    <n v="117.9939"/>
    <n v="0.13196037999999999"/>
    <n v="14529.200199999999"/>
    <n v="27.06"/>
    <n v="3.13"/>
    <n v="83.17"/>
    <n v="6"/>
    <s v="Rp0"/>
    <n v="0"/>
  </r>
  <r>
    <x v="375"/>
    <n v="35000"/>
    <n v="462"/>
    <n v="4"/>
    <x v="1"/>
    <n v="2"/>
    <s v="False"/>
    <m/>
    <m/>
    <n v="35500"/>
    <n v="36500"/>
    <n v="38000"/>
    <n v="-500"/>
    <n v="117.9939"/>
    <n v="0.13196037999999999"/>
    <n v="14460.299800000001"/>
    <n v="27.36"/>
    <n v="1.56"/>
    <n v="82.61"/>
    <n v="7"/>
    <s v="-Rp500"/>
    <n v="-1.41"/>
  </r>
  <r>
    <x v="376"/>
    <n v="35000"/>
    <n v="463"/>
    <n v="4"/>
    <x v="1"/>
    <n v="3"/>
    <s v="False"/>
    <m/>
    <m/>
    <n v="35000"/>
    <n v="35500"/>
    <n v="38500"/>
    <n v="0"/>
    <n v="117.9939"/>
    <n v="0.13196037999999999"/>
    <n v="14641"/>
    <n v="27.31"/>
    <n v="7.24"/>
    <n v="79.12"/>
    <n v="8"/>
    <s v="Rp0"/>
    <n v="0"/>
  </r>
  <r>
    <x v="377"/>
    <n v="36000"/>
    <n v="464"/>
    <n v="4"/>
    <x v="1"/>
    <n v="4"/>
    <s v="False"/>
    <m/>
    <m/>
    <n v="35000"/>
    <m/>
    <n v="38500"/>
    <n v="1000"/>
    <n v="117.9939"/>
    <n v="0.13196037999999999"/>
    <n v="14660.700199999999"/>
    <n v="27.28"/>
    <n v="17.13"/>
    <n v="80.03"/>
    <n v="9"/>
    <s v="Rp1000"/>
    <n v="2.86"/>
  </r>
  <r>
    <x v="378"/>
    <n v="36000"/>
    <n v="465"/>
    <n v="4"/>
    <x v="1"/>
    <n v="5"/>
    <s v="False"/>
    <m/>
    <m/>
    <n v="36000"/>
    <m/>
    <m/>
    <n v="0"/>
    <n v="117.9939"/>
    <n v="0.13196037999999999"/>
    <n v="14660.700199999999"/>
    <n v="26.61"/>
    <n v="21.42"/>
    <n v="82.51"/>
    <n v="10"/>
    <s v="Rp1000"/>
    <n v="2.86"/>
  </r>
  <r>
    <x v="379"/>
    <n v="36000"/>
    <n v="466"/>
    <n v="4"/>
    <x v="1"/>
    <n v="6"/>
    <s v="False"/>
    <n v="35571.428571428572"/>
    <m/>
    <n v="36000"/>
    <m/>
    <n v="38000"/>
    <n v="0"/>
    <n v="117.9939"/>
    <n v="0.13196037999999999"/>
    <n v="14660.700199999999"/>
    <n v="26.7"/>
    <n v="3.87"/>
    <n v="80.87"/>
    <n v="11"/>
    <s v="Rp1000"/>
    <n v="2.86"/>
  </r>
  <r>
    <x v="380"/>
    <n v="37000"/>
    <n v="467"/>
    <n v="4"/>
    <x v="1"/>
    <n v="0"/>
    <s v="False"/>
    <n v="35785.714285714283"/>
    <m/>
    <n v="36000"/>
    <n v="35500"/>
    <n v="38000"/>
    <n v="1000"/>
    <n v="117.9939"/>
    <n v="0.13196037999999999"/>
    <n v="14558"/>
    <n v="26.61"/>
    <n v="9.9700000000000006"/>
    <n v="84.84"/>
    <n v="12"/>
    <s v="Rp1000"/>
    <n v="2.78"/>
  </r>
  <r>
    <x v="381"/>
    <n v="37000"/>
    <n v="468"/>
    <n v="4"/>
    <x v="1"/>
    <n v="1"/>
    <s v="False"/>
    <n v="36000"/>
    <m/>
    <n v="37000"/>
    <n v="35500"/>
    <n v="38000"/>
    <n v="0"/>
    <n v="117.9939"/>
    <n v="0.13196037999999999"/>
    <n v="14611.900390000001"/>
    <n v="26.69"/>
    <n v="8.4"/>
    <n v="81.58"/>
    <n v="13"/>
    <s v="Rp0"/>
    <n v="0"/>
  </r>
  <r>
    <x v="382"/>
    <n v="37000"/>
    <n v="469"/>
    <n v="4"/>
    <x v="1"/>
    <n v="2"/>
    <s v="False"/>
    <n v="36285.714285714283"/>
    <m/>
    <n v="37000"/>
    <n v="35000"/>
    <n v="39000"/>
    <n v="0"/>
    <n v="117.9939"/>
    <n v="0.13196037999999999"/>
    <n v="14621.099609999999"/>
    <n v="27.38"/>
    <n v="6.89"/>
    <n v="80.319999999999993"/>
    <n v="14"/>
    <s v="Rp0"/>
    <n v="0"/>
  </r>
  <r>
    <x v="383"/>
    <n v="37000"/>
    <n v="470"/>
    <n v="4"/>
    <x v="1"/>
    <n v="3"/>
    <s v="False"/>
    <n v="36571.428571428572"/>
    <m/>
    <n v="37000"/>
    <n v="35000"/>
    <n v="39000"/>
    <n v="0"/>
    <n v="117.9939"/>
    <n v="0.13196037999999999"/>
    <n v="14673.799800000001"/>
    <n v="27.19"/>
    <n v="8.9"/>
    <n v="81.99"/>
    <n v="15"/>
    <s v="Rp0"/>
    <n v="0"/>
  </r>
  <r>
    <x v="384"/>
    <n v="37000"/>
    <n v="471"/>
    <n v="4"/>
    <x v="1"/>
    <n v="4"/>
    <s v="False"/>
    <n v="36714.285714285717"/>
    <m/>
    <n v="37000"/>
    <n v="36000"/>
    <n v="37000"/>
    <n v="0"/>
    <n v="117.9939"/>
    <n v="0.13196037999999999"/>
    <n v="14616"/>
    <n v="27.09"/>
    <n v="16.93"/>
    <n v="81.72"/>
    <n v="16"/>
    <s v="Rp0"/>
    <n v="0"/>
  </r>
  <r>
    <x v="385"/>
    <n v="36000"/>
    <n v="474"/>
    <n v="4"/>
    <x v="1"/>
    <n v="0"/>
    <s v="False"/>
    <m/>
    <m/>
    <m/>
    <n v="37000"/>
    <m/>
    <m/>
    <n v="117.9939"/>
    <n v="0.13196037999999999"/>
    <n v="14558"/>
    <n v="27.42"/>
    <n v="4.8600000000000003"/>
    <n v="77.64"/>
    <n v="19"/>
    <m/>
    <n v="0"/>
  </r>
  <r>
    <x v="386"/>
    <n v="35750"/>
    <n v="475"/>
    <n v="4"/>
    <x v="1"/>
    <n v="1"/>
    <s v="False"/>
    <m/>
    <m/>
    <n v="36000"/>
    <n v="37000"/>
    <m/>
    <n v="-250"/>
    <n v="117.9939"/>
    <n v="0.13196037999999999"/>
    <n v="14570"/>
    <n v="27.98"/>
    <n v="0.77"/>
    <n v="75.64"/>
    <n v="20"/>
    <s v="-Rp250"/>
    <n v="-0.69"/>
  </r>
  <r>
    <x v="387"/>
    <n v="35750"/>
    <n v="476"/>
    <n v="4"/>
    <x v="1"/>
    <n v="2"/>
    <s v="False"/>
    <m/>
    <m/>
    <n v="35750"/>
    <n v="37000"/>
    <n v="39500"/>
    <n v="0"/>
    <n v="117.9939"/>
    <n v="0.13196037999999999"/>
    <n v="14543.200199999999"/>
    <n v="27.97"/>
    <n v="1.78"/>
    <n v="77.900000000000006"/>
    <n v="21"/>
    <s v="Rp0"/>
    <n v="0"/>
  </r>
  <r>
    <x v="388"/>
    <n v="35750"/>
    <n v="477"/>
    <n v="4"/>
    <x v="1"/>
    <n v="3"/>
    <s v="False"/>
    <m/>
    <m/>
    <n v="35750"/>
    <n v="37000"/>
    <n v="38000"/>
    <n v="0"/>
    <n v="117.9939"/>
    <n v="0.13196037999999999"/>
    <n v="14564.200199999999"/>
    <n v="27.88"/>
    <n v="1.22"/>
    <n v="78.02"/>
    <n v="22"/>
    <s v="Rp0"/>
    <n v="0"/>
  </r>
  <r>
    <x v="389"/>
    <n v="35000"/>
    <n v="478"/>
    <n v="4"/>
    <x v="1"/>
    <n v="4"/>
    <s v="False"/>
    <m/>
    <m/>
    <n v="35750"/>
    <n v="37000"/>
    <n v="38500"/>
    <n v="-750"/>
    <n v="117.9939"/>
    <n v="0.13196037999999999"/>
    <n v="14606.599609999999"/>
    <n v="27.66"/>
    <n v="2.73"/>
    <n v="79.7"/>
    <n v="23"/>
    <s v="-Rp750"/>
    <n v="-2.1"/>
  </r>
  <r>
    <x v="390"/>
    <n v="34250"/>
    <n v="481"/>
    <n v="4"/>
    <x v="1"/>
    <n v="0"/>
    <s v="False"/>
    <m/>
    <m/>
    <m/>
    <n v="36000"/>
    <n v="36500"/>
    <m/>
    <n v="117.9939"/>
    <n v="0.13196037999999999"/>
    <n v="14518"/>
    <n v="27.34"/>
    <n v="2.02"/>
    <n v="79.709999999999994"/>
    <n v="26"/>
    <s v="-Rp750"/>
    <n v="-2.14"/>
  </r>
  <r>
    <x v="391"/>
    <n v="34250"/>
    <n v="482"/>
    <n v="4"/>
    <x v="1"/>
    <n v="1"/>
    <s v="False"/>
    <m/>
    <m/>
    <n v="34250"/>
    <n v="35750"/>
    <n v="36500"/>
    <n v="0"/>
    <n v="117.9939"/>
    <n v="0.13196037999999999"/>
    <n v="14459.599609999999"/>
    <n v="27.43"/>
    <n v="4.71"/>
    <n v="80.11"/>
    <n v="27"/>
    <s v="Rp0"/>
    <n v="0"/>
  </r>
  <r>
    <x v="392"/>
    <n v="33500"/>
    <n v="483"/>
    <n v="4"/>
    <x v="1"/>
    <n v="2"/>
    <s v="False"/>
    <m/>
    <m/>
    <n v="34250"/>
    <n v="35750"/>
    <n v="36250"/>
    <n v="-750"/>
    <n v="117.9939"/>
    <n v="0.13196037999999999"/>
    <n v="14516.400390000001"/>
    <n v="26.95"/>
    <n v="2.21"/>
    <n v="81.83"/>
    <n v="28"/>
    <s v="-Rp750"/>
    <n v="-2.19"/>
  </r>
  <r>
    <x v="393"/>
    <n v="33500"/>
    <n v="484"/>
    <n v="4"/>
    <x v="1"/>
    <n v="3"/>
    <s v="False"/>
    <m/>
    <m/>
    <n v="33500"/>
    <n v="35750"/>
    <n v="36500"/>
    <n v="0"/>
    <n v="117.9939"/>
    <n v="0.13196037999999999"/>
    <n v="14519"/>
    <n v="27.01"/>
    <n v="13.74"/>
    <n v="81.180000000000007"/>
    <n v="29"/>
    <s v="Rp0"/>
    <n v="0"/>
  </r>
  <r>
    <x v="394"/>
    <n v="34000"/>
    <n v="485"/>
    <n v="4"/>
    <x v="1"/>
    <n v="4"/>
    <s v="False"/>
    <m/>
    <m/>
    <n v="33500"/>
    <n v="35000"/>
    <n v="36500"/>
    <n v="500"/>
    <n v="117.9939"/>
    <n v="0.13196037999999999"/>
    <n v="14439.700199999999"/>
    <n v="27.31"/>
    <n v="4.97"/>
    <n v="81.319999999999993"/>
    <n v="30"/>
    <s v="Rp500"/>
    <n v="1.49"/>
  </r>
  <r>
    <x v="395"/>
    <n v="34000"/>
    <n v="486"/>
    <n v="5"/>
    <x v="1"/>
    <n v="5"/>
    <s v="True"/>
    <m/>
    <m/>
    <n v="34000"/>
    <m/>
    <n v="35500"/>
    <n v="0"/>
    <n v="118.37130000000001"/>
    <n v="0.319847043"/>
    <n v="14439.700199999999"/>
    <n v="27.06"/>
    <n v="5.49"/>
    <n v="80.78"/>
    <n v="1"/>
    <s v="Rp500"/>
    <n v="1.49"/>
  </r>
  <r>
    <x v="396"/>
    <n v="34000"/>
    <n v="487"/>
    <n v="5"/>
    <x v="1"/>
    <n v="6"/>
    <s v="False"/>
    <n v="33928.571428571428"/>
    <m/>
    <n v="34000"/>
    <m/>
    <m/>
    <n v="0"/>
    <n v="118.37130000000001"/>
    <n v="0.319847043"/>
    <n v="14439.700199999999"/>
    <n v="27.03"/>
    <n v="2.76"/>
    <n v="74.75"/>
    <n v="2"/>
    <s v="Rp500"/>
    <n v="1.49"/>
  </r>
  <r>
    <x v="397"/>
    <n v="33750"/>
    <n v="488"/>
    <n v="5"/>
    <x v="1"/>
    <n v="0"/>
    <s v="False"/>
    <n v="33857.142857142855"/>
    <m/>
    <n v="34000"/>
    <n v="34250"/>
    <m/>
    <n v="-250"/>
    <n v="118.37130000000001"/>
    <n v="0.319847043"/>
    <n v="14438"/>
    <n v="27.24"/>
    <n v="4.9000000000000004"/>
    <n v="79.3"/>
    <n v="3"/>
    <s v="-Rp250"/>
    <n v="-0.74"/>
  </r>
  <r>
    <x v="398"/>
    <n v="32000"/>
    <n v="489"/>
    <n v="5"/>
    <x v="1"/>
    <n v="1"/>
    <s v="False"/>
    <n v="33535.714285714283"/>
    <m/>
    <n v="33750"/>
    <n v="34250"/>
    <m/>
    <n v="-1750"/>
    <n v="118.37130000000001"/>
    <n v="0.319847043"/>
    <n v="14399.099609999999"/>
    <n v="27.31"/>
    <n v="2.79"/>
    <n v="81.05"/>
    <n v="4"/>
    <s v="-Rp1750"/>
    <n v="-5.19"/>
  </r>
  <r>
    <x v="399"/>
    <n v="32500"/>
    <n v="490"/>
    <n v="5"/>
    <x v="1"/>
    <n v="2"/>
    <s v="False"/>
    <n v="33392.857142857145"/>
    <m/>
    <n v="32000"/>
    <n v="33500"/>
    <n v="35500"/>
    <n v="500"/>
    <n v="118.37130000000001"/>
    <n v="0.319847043"/>
    <n v="14482.5"/>
    <n v="27.12"/>
    <n v="3.31"/>
    <n v="85.57"/>
    <n v="5"/>
    <s v="Rp500"/>
    <n v="1.56"/>
  </r>
  <r>
    <x v="400"/>
    <n v="32500"/>
    <n v="491"/>
    <n v="5"/>
    <x v="1"/>
    <n v="3"/>
    <s v="False"/>
    <n v="33250"/>
    <m/>
    <n v="32500"/>
    <n v="33500"/>
    <n v="35500"/>
    <n v="0"/>
    <n v="118.37130000000001"/>
    <n v="0.319847043"/>
    <n v="14399.5"/>
    <n v="27.2"/>
    <n v="12.57"/>
    <n v="82.91"/>
    <n v="6"/>
    <s v="Rp0"/>
    <n v="0"/>
  </r>
  <r>
    <x v="401"/>
    <n v="32500"/>
    <n v="492"/>
    <n v="5"/>
    <x v="1"/>
    <n v="4"/>
    <s v="False"/>
    <n v="33035.714285714283"/>
    <m/>
    <n v="32500"/>
    <n v="34000"/>
    <n v="35000"/>
    <n v="0"/>
    <n v="118.37130000000001"/>
    <n v="0.319847043"/>
    <n v="14283.799800000001"/>
    <n v="27.04"/>
    <n v="11.22"/>
    <n v="83.86"/>
    <n v="7"/>
    <s v="Rp0"/>
    <n v="0"/>
  </r>
  <r>
    <x v="402"/>
    <n v="32500"/>
    <n v="493"/>
    <n v="5"/>
    <x v="1"/>
    <n v="5"/>
    <s v="False"/>
    <n v="32821.428571428572"/>
    <m/>
    <n v="32500"/>
    <n v="34000"/>
    <n v="35000"/>
    <n v="0"/>
    <n v="118.37130000000001"/>
    <n v="0.319847043"/>
    <n v="14283.799800000001"/>
    <n v="26.71"/>
    <n v="28.54"/>
    <n v="84"/>
    <n v="8"/>
    <s v="Rp0"/>
    <n v="0"/>
  </r>
  <r>
    <x v="403"/>
    <n v="32500"/>
    <n v="494"/>
    <n v="5"/>
    <x v="1"/>
    <n v="6"/>
    <s v="False"/>
    <n v="32607.142857142859"/>
    <m/>
    <n v="32500"/>
    <n v="34000"/>
    <n v="36000"/>
    <n v="0"/>
    <n v="118.37130000000001"/>
    <n v="0.319847043"/>
    <n v="14283.799800000001"/>
    <n v="27.09"/>
    <n v="4.53"/>
    <n v="79.03"/>
    <n v="9"/>
    <s v="Rp0"/>
    <n v="0"/>
  </r>
  <r>
    <x v="404"/>
    <n v="32500"/>
    <n v="495"/>
    <n v="5"/>
    <x v="1"/>
    <n v="0"/>
    <s v="False"/>
    <n v="32428.571428571428"/>
    <m/>
    <n v="32500"/>
    <n v="33750"/>
    <n v="36000"/>
    <n v="0"/>
    <n v="118.37130000000001"/>
    <n v="0.319847043"/>
    <n v="14278"/>
    <n v="27.48"/>
    <n v="0.96"/>
    <n v="79.05"/>
    <n v="10"/>
    <s v="Rp0"/>
    <n v="0"/>
  </r>
  <r>
    <x v="405"/>
    <n v="32000"/>
    <n v="496"/>
    <n v="5"/>
    <x v="1"/>
    <n v="1"/>
    <s v="False"/>
    <n v="32428.571428571428"/>
    <m/>
    <n v="32500"/>
    <n v="32000"/>
    <n v="36000"/>
    <n v="-500"/>
    <n v="118.37130000000001"/>
    <n v="0.319847043"/>
    <n v="14189.599609999999"/>
    <n v="27.21"/>
    <n v="3.04"/>
    <n v="84.22"/>
    <n v="11"/>
    <s v="-Rp500"/>
    <n v="-1.54"/>
  </r>
  <r>
    <x v="406"/>
    <n v="33750"/>
    <n v="502"/>
    <n v="5"/>
    <x v="1"/>
    <n v="0"/>
    <s v="False"/>
    <m/>
    <m/>
    <m/>
    <n v="32500"/>
    <m/>
    <m/>
    <n v="118.37130000000001"/>
    <n v="0.319847043"/>
    <n v="14191"/>
    <n v="26.92"/>
    <n v="58.66"/>
    <n v="86.65"/>
    <n v="17"/>
    <m/>
    <n v="0"/>
  </r>
  <r>
    <x v="407"/>
    <n v="35250"/>
    <n v="503"/>
    <n v="5"/>
    <x v="1"/>
    <n v="1"/>
    <s v="False"/>
    <m/>
    <m/>
    <n v="33750"/>
    <n v="32000"/>
    <m/>
    <n v="1500"/>
    <n v="118.37130000000001"/>
    <n v="0.319847043"/>
    <n v="14344.5"/>
    <n v="26.33"/>
    <n v="15.9"/>
    <n v="87.89"/>
    <n v="18"/>
    <s v="Rp1500"/>
    <n v="4.4400000000000004"/>
  </r>
  <r>
    <x v="408"/>
    <n v="35500"/>
    <n v="504"/>
    <n v="5"/>
    <x v="1"/>
    <n v="2"/>
    <s v="False"/>
    <m/>
    <m/>
    <n v="35250"/>
    <m/>
    <n v="36000"/>
    <n v="250"/>
    <n v="118.37130000000001"/>
    <n v="0.319847043"/>
    <n v="14362.299800000001"/>
    <n v="26.44"/>
    <n v="4.6100000000000003"/>
    <n v="82.8"/>
    <n v="19"/>
    <s v="Rp250"/>
    <n v="0.71"/>
  </r>
  <r>
    <x v="409"/>
    <n v="36500"/>
    <n v="505"/>
    <n v="5"/>
    <x v="1"/>
    <n v="3"/>
    <s v="False"/>
    <m/>
    <m/>
    <n v="35500"/>
    <m/>
    <n v="35750"/>
    <n v="1000"/>
    <n v="118.37130000000001"/>
    <n v="0.319847043"/>
    <n v="14389.700199999999"/>
    <n v="26.79"/>
    <n v="12.36"/>
    <n v="83.1"/>
    <n v="20"/>
    <s v="Rp1000"/>
    <n v="2.82"/>
  </r>
  <r>
    <x v="410"/>
    <n v="36500"/>
    <n v="506"/>
    <n v="5"/>
    <x v="1"/>
    <n v="4"/>
    <s v="False"/>
    <m/>
    <m/>
    <n v="36500"/>
    <m/>
    <n v="35750"/>
    <n v="0"/>
    <n v="118.37130000000001"/>
    <n v="0.319847043"/>
    <n v="14397.299800000001"/>
    <n v="26.42"/>
    <n v="19.940000000000001"/>
    <n v="82.84"/>
    <n v="21"/>
    <s v="Rp0"/>
    <n v="0"/>
  </r>
  <r>
    <x v="411"/>
    <n v="36500"/>
    <n v="507"/>
    <n v="5"/>
    <x v="1"/>
    <n v="5"/>
    <s v="False"/>
    <m/>
    <m/>
    <n v="36500"/>
    <m/>
    <n v="35750"/>
    <n v="0"/>
    <n v="118.37130000000001"/>
    <n v="0.319847043"/>
    <n v="14397.299800000001"/>
    <n v="26.89"/>
    <n v="4.68"/>
    <n v="79.08"/>
    <n v="22"/>
    <s v="Rp0"/>
    <n v="0"/>
  </r>
  <r>
    <x v="412"/>
    <n v="38000"/>
    <n v="509"/>
    <n v="5"/>
    <x v="1"/>
    <n v="0"/>
    <s v="False"/>
    <m/>
    <m/>
    <m/>
    <n v="33750"/>
    <m/>
    <m/>
    <n v="118.37130000000001"/>
    <n v="0.319847043"/>
    <n v="14348"/>
    <n v="27.57"/>
    <n v="4.5999999999999996"/>
    <n v="79.52"/>
    <n v="24"/>
    <s v="Rp1500"/>
    <n v="4.1100000000000003"/>
  </r>
  <r>
    <x v="413"/>
    <n v="38000"/>
    <n v="510"/>
    <n v="5"/>
    <x v="1"/>
    <n v="1"/>
    <s v="False"/>
    <m/>
    <m/>
    <n v="38000"/>
    <n v="35250"/>
    <m/>
    <n v="0"/>
    <n v="118.37130000000001"/>
    <n v="0.319847043"/>
    <n v="14365"/>
    <n v="27.68"/>
    <n v="4.66"/>
    <n v="80.67"/>
    <n v="25"/>
    <s v="Rp0"/>
    <n v="0"/>
  </r>
  <r>
    <x v="414"/>
    <n v="39000"/>
    <n v="512"/>
    <n v="5"/>
    <x v="1"/>
    <n v="3"/>
    <s v="False"/>
    <m/>
    <m/>
    <m/>
    <n v="36500"/>
    <n v="34250"/>
    <m/>
    <n v="118.37130000000001"/>
    <n v="0.319847043"/>
    <n v="14310"/>
    <n v="27.62"/>
    <n v="2.06"/>
    <n v="81.03"/>
    <n v="27"/>
    <m/>
    <n v="0"/>
  </r>
  <r>
    <x v="415"/>
    <n v="37500"/>
    <n v="513"/>
    <n v="5"/>
    <x v="1"/>
    <n v="4"/>
    <s v="False"/>
    <m/>
    <m/>
    <n v="39000"/>
    <n v="36500"/>
    <n v="33500"/>
    <n v="-1500"/>
    <n v="118.37130000000001"/>
    <n v="0.319847043"/>
    <n v="14318"/>
    <n v="27.72"/>
    <n v="4.3899999999999997"/>
    <n v="82.52"/>
    <n v="28"/>
    <s v="-Rp1500"/>
    <n v="-3.85"/>
  </r>
  <r>
    <x v="416"/>
    <n v="37500"/>
    <n v="514"/>
    <n v="5"/>
    <x v="1"/>
    <n v="5"/>
    <s v="False"/>
    <m/>
    <m/>
    <n v="37500"/>
    <n v="36500"/>
    <n v="33500"/>
    <n v="0"/>
    <n v="118.37130000000001"/>
    <n v="0.319847043"/>
    <n v="14318"/>
    <n v="27.89"/>
    <n v="1.46"/>
    <n v="81.37"/>
    <n v="29"/>
    <s v="-Rp1500"/>
    <n v="-3.85"/>
  </r>
  <r>
    <x v="417"/>
    <n v="37500"/>
    <n v="515"/>
    <n v="5"/>
    <x v="1"/>
    <n v="6"/>
    <s v="False"/>
    <m/>
    <m/>
    <n v="37500"/>
    <m/>
    <n v="34000"/>
    <n v="0"/>
    <n v="118.37130000000001"/>
    <n v="0.319847043"/>
    <n v="14318"/>
    <n v="27.61"/>
    <n v="5.44"/>
    <n v="82.91"/>
    <n v="30"/>
    <s v="-Rp1500"/>
    <n v="-3.85"/>
  </r>
  <r>
    <x v="418"/>
    <n v="35750"/>
    <n v="516"/>
    <n v="5"/>
    <x v="1"/>
    <n v="0"/>
    <s v="False"/>
    <m/>
    <m/>
    <n v="37500"/>
    <n v="38000"/>
    <n v="34000"/>
    <n v="-1750"/>
    <n v="118.37130000000001"/>
    <n v="0.319847043"/>
    <n v="14278"/>
    <n v="27.29"/>
    <n v="2.63"/>
    <n v="83.76"/>
    <n v="31"/>
    <s v="-Rp1750"/>
    <n v="-4.67"/>
  </r>
  <r>
    <x v="419"/>
    <n v="35000"/>
    <n v="518"/>
    <n v="6"/>
    <x v="1"/>
    <n v="2"/>
    <s v="False"/>
    <m/>
    <m/>
    <m/>
    <m/>
    <n v="33750"/>
    <m/>
    <n v="118.18259999999999"/>
    <n v="-0.15941364199999999"/>
    <n v="14251.5"/>
    <n v="27.57"/>
    <n v="0.69"/>
    <n v="81.209999999999994"/>
    <n v="2"/>
    <m/>
    <n v="0"/>
  </r>
  <r>
    <x v="420"/>
    <n v="35000"/>
    <n v="519"/>
    <n v="6"/>
    <x v="1"/>
    <n v="3"/>
    <s v="False"/>
    <m/>
    <m/>
    <n v="35000"/>
    <n v="39000"/>
    <n v="32000"/>
    <n v="0"/>
    <n v="118.18259999999999"/>
    <n v="-0.15941364199999999"/>
    <n v="14290.700199999999"/>
    <n v="27.52"/>
    <n v="0.97"/>
    <n v="81.8"/>
    <n v="3"/>
    <s v="Rp0"/>
    <n v="0"/>
  </r>
  <r>
    <x v="421"/>
    <n v="34500"/>
    <n v="520"/>
    <n v="6"/>
    <x v="1"/>
    <n v="4"/>
    <s v="False"/>
    <m/>
    <m/>
    <n v="35000"/>
    <n v="37500"/>
    <n v="32500"/>
    <n v="-500"/>
    <n v="118.18259999999999"/>
    <n v="-0.15941364199999999"/>
    <n v="14360"/>
    <n v="27.25"/>
    <n v="3.26"/>
    <n v="83.89"/>
    <n v="4"/>
    <s v="-Rp500"/>
    <n v="-1.43"/>
  </r>
  <r>
    <x v="422"/>
    <n v="34500"/>
    <n v="521"/>
    <n v="6"/>
    <x v="1"/>
    <n v="5"/>
    <s v="False"/>
    <m/>
    <m/>
    <n v="34500"/>
    <n v="37500"/>
    <n v="32500"/>
    <n v="0"/>
    <n v="118.18259999999999"/>
    <n v="-0.15941364199999999"/>
    <n v="14360"/>
    <n v="27.04"/>
    <n v="1.66"/>
    <n v="85.21"/>
    <n v="5"/>
    <s v="-Rp500"/>
    <n v="-1.43"/>
  </r>
  <r>
    <x v="423"/>
    <n v="34500"/>
    <n v="522"/>
    <n v="6"/>
    <x v="1"/>
    <n v="6"/>
    <s v="False"/>
    <m/>
    <m/>
    <n v="34500"/>
    <n v="37500"/>
    <n v="32500"/>
    <n v="0"/>
    <n v="118.18259999999999"/>
    <n v="-0.15941364199999999"/>
    <n v="14360"/>
    <n v="27.26"/>
    <n v="2.67"/>
    <n v="84.59"/>
    <n v="6"/>
    <s v="-Rp500"/>
    <n v="-1.43"/>
  </r>
  <r>
    <x v="424"/>
    <n v="31250"/>
    <n v="523"/>
    <n v="6"/>
    <x v="1"/>
    <n v="0"/>
    <s v="False"/>
    <m/>
    <m/>
    <n v="34500"/>
    <n v="35750"/>
    <n v="32500"/>
    <n v="-3250"/>
    <n v="118.18259999999999"/>
    <n v="-0.15941364199999999"/>
    <n v="14288"/>
    <n v="27.23"/>
    <n v="11.61"/>
    <n v="78.790000000000006"/>
    <n v="7"/>
    <s v="-Rp3250"/>
    <n v="-9.42"/>
  </r>
  <r>
    <x v="425"/>
    <n v="30750"/>
    <n v="524"/>
    <n v="6"/>
    <x v="1"/>
    <n v="1"/>
    <s v="False"/>
    <n v="33642.857142857145"/>
    <m/>
    <n v="31250"/>
    <m/>
    <n v="32500"/>
    <n v="-500"/>
    <n v="118.18259999999999"/>
    <n v="-0.15941364199999999"/>
    <n v="14246.5"/>
    <n v="27.55"/>
    <n v="1.53"/>
    <n v="78.099999999999994"/>
    <n v="8"/>
    <s v="-Rp500"/>
    <n v="-1.6"/>
  </r>
  <r>
    <x v="426"/>
    <n v="31500"/>
    <n v="525"/>
    <n v="6"/>
    <x v="1"/>
    <n v="2"/>
    <s v="False"/>
    <n v="33142.857142857145"/>
    <m/>
    <n v="30750"/>
    <n v="35000"/>
    <n v="32500"/>
    <n v="750"/>
    <n v="118.18259999999999"/>
    <n v="-0.15941364199999999"/>
    <n v="14281"/>
    <n v="27.6"/>
    <n v="1.91"/>
    <n v="78.5"/>
    <n v="9"/>
    <s v="Rp750"/>
    <n v="2.44"/>
  </r>
  <r>
    <x v="427"/>
    <n v="31500"/>
    <n v="526"/>
    <n v="6"/>
    <x v="1"/>
    <n v="3"/>
    <s v="False"/>
    <n v="32642.857142857141"/>
    <m/>
    <n v="31500"/>
    <n v="35000"/>
    <n v="32000"/>
    <n v="0"/>
    <n v="118.18259999999999"/>
    <n v="-0.15941364199999999"/>
    <n v="14300"/>
    <n v="27.49"/>
    <n v="1.18"/>
    <n v="77.87"/>
    <n v="10"/>
    <s v="Rp0"/>
    <n v="0"/>
  </r>
  <r>
    <x v="428"/>
    <n v="31500"/>
    <n v="527"/>
    <n v="6"/>
    <x v="1"/>
    <n v="4"/>
    <s v="False"/>
    <n v="32214.285714285714"/>
    <m/>
    <n v="31500"/>
    <n v="34500"/>
    <m/>
    <n v="0"/>
    <n v="118.18259999999999"/>
    <n v="-0.15941364199999999"/>
    <n v="14248.5"/>
    <n v="27.58"/>
    <n v="2.02"/>
    <n v="80.37"/>
    <n v="11"/>
    <s v="Rp0"/>
    <n v="0"/>
  </r>
  <r>
    <x v="429"/>
    <n v="31500"/>
    <n v="528"/>
    <n v="6"/>
    <x v="1"/>
    <n v="5"/>
    <s v="False"/>
    <n v="31785.714285714286"/>
    <m/>
    <n v="31500"/>
    <n v="34500"/>
    <m/>
    <n v="0"/>
    <n v="118.18259999999999"/>
    <n v="-0.15941364199999999"/>
    <n v="14248.5"/>
    <n v="27.07"/>
    <n v="6.2"/>
    <n v="81.91"/>
    <n v="12"/>
    <s v="Rp0"/>
    <n v="0"/>
  </r>
  <r>
    <x v="430"/>
    <n v="31500"/>
    <n v="529"/>
    <n v="6"/>
    <x v="1"/>
    <n v="6"/>
    <s v="False"/>
    <n v="31357.142857142859"/>
    <m/>
    <n v="31500"/>
    <n v="34500"/>
    <m/>
    <n v="0"/>
    <n v="118.18259999999999"/>
    <n v="-0.15941364199999999"/>
    <n v="14248.5"/>
    <n v="25.93"/>
    <n v="10.81"/>
    <n v="84.56"/>
    <n v="13"/>
    <s v="Rp0"/>
    <n v="0"/>
  </r>
  <r>
    <x v="431"/>
    <n v="31000"/>
    <n v="530"/>
    <n v="6"/>
    <x v="1"/>
    <n v="0"/>
    <s v="False"/>
    <n v="31321.428571428572"/>
    <m/>
    <n v="31500"/>
    <n v="31250"/>
    <m/>
    <n v="-500"/>
    <n v="118.18259999999999"/>
    <n v="-0.15941364199999999"/>
    <n v="14182"/>
    <n v="25.39"/>
    <n v="17.12"/>
    <n v="80.77"/>
    <n v="14"/>
    <s v="-Rp500"/>
    <n v="-1.59"/>
  </r>
  <r>
    <x v="432"/>
    <n v="30000"/>
    <n v="531"/>
    <n v="6"/>
    <x v="1"/>
    <n v="1"/>
    <s v="False"/>
    <n v="31214.285714285714"/>
    <m/>
    <n v="31000"/>
    <n v="30750"/>
    <m/>
    <n v="-1000"/>
    <n v="118.18259999999999"/>
    <n v="-0.15941364199999999"/>
    <n v="14267.5"/>
    <n v="26.1"/>
    <n v="5.41"/>
    <n v="79.91"/>
    <n v="15"/>
    <s v="-Rp1000"/>
    <n v="-3.23"/>
  </r>
  <r>
    <x v="433"/>
    <n v="30000"/>
    <n v="532"/>
    <n v="6"/>
    <x v="1"/>
    <n v="2"/>
    <s v="False"/>
    <n v="31000"/>
    <m/>
    <n v="30000"/>
    <n v="31500"/>
    <n v="33750"/>
    <n v="0"/>
    <n v="118.18259999999999"/>
    <n v="-0.15941364199999999"/>
    <n v="14280.299800000001"/>
    <n v="26.54"/>
    <n v="2.34"/>
    <n v="81.540000000000006"/>
    <n v="16"/>
    <s v="Rp0"/>
    <n v="0"/>
  </r>
  <r>
    <x v="434"/>
    <n v="30000"/>
    <n v="533"/>
    <n v="6"/>
    <x v="1"/>
    <n v="3"/>
    <s v="False"/>
    <n v="30785.714285714286"/>
    <m/>
    <n v="30000"/>
    <n v="31500"/>
    <n v="35250"/>
    <n v="0"/>
    <n v="118.18259999999999"/>
    <n v="-0.15941364199999999"/>
    <n v="14466.5"/>
    <n v="26.83"/>
    <n v="2.39"/>
    <n v="80.48"/>
    <n v="17"/>
    <s v="Rp0"/>
    <n v="0"/>
  </r>
  <r>
    <x v="435"/>
    <n v="31000"/>
    <n v="534"/>
    <n v="6"/>
    <x v="1"/>
    <n v="4"/>
    <s v="False"/>
    <n v="30714.285714285714"/>
    <m/>
    <n v="30000"/>
    <n v="31500"/>
    <n v="35500"/>
    <n v="1000"/>
    <n v="118.18259999999999"/>
    <n v="-0.15941364199999999"/>
    <n v="14554.700199999999"/>
    <n v="26.3"/>
    <n v="2.8"/>
    <n v="84.59"/>
    <n v="18"/>
    <s v="Rp1000"/>
    <n v="3.33"/>
  </r>
  <r>
    <x v="436"/>
    <n v="34250"/>
    <n v="537"/>
    <n v="6"/>
    <x v="1"/>
    <n v="0"/>
    <s v="False"/>
    <m/>
    <m/>
    <m/>
    <n v="31000"/>
    <n v="36500"/>
    <m/>
    <n v="118.18259999999999"/>
    <n v="-0.15941364199999999"/>
    <n v="14368"/>
    <n v="26.74"/>
    <n v="3.29"/>
    <n v="79.3"/>
    <n v="21"/>
    <s v="Rp3250"/>
    <n v="10.48"/>
  </r>
  <r>
    <x v="437"/>
    <n v="34250"/>
    <n v="538"/>
    <n v="6"/>
    <x v="1"/>
    <n v="1"/>
    <s v="False"/>
    <m/>
    <m/>
    <n v="34250"/>
    <n v="30000"/>
    <m/>
    <n v="0"/>
    <n v="118.18259999999999"/>
    <n v="-0.15941364199999999"/>
    <n v="14388.799800000001"/>
    <n v="27.48"/>
    <n v="4.2300000000000004"/>
    <n v="73.430000000000007"/>
    <n v="22"/>
    <s v="Rp0"/>
    <n v="0"/>
  </r>
  <r>
    <x v="438"/>
    <n v="34500"/>
    <n v="539"/>
    <n v="6"/>
    <x v="1"/>
    <n v="2"/>
    <s v="False"/>
    <m/>
    <m/>
    <n v="34250"/>
    <n v="30000"/>
    <n v="38000"/>
    <n v="250"/>
    <n v="118.18259999999999"/>
    <n v="-0.15941364199999999"/>
    <n v="14495"/>
    <n v="26.95"/>
    <n v="1.03"/>
    <n v="81.13"/>
    <n v="23"/>
    <s v="Rp250"/>
    <n v="0.73"/>
  </r>
  <r>
    <x v="439"/>
    <n v="34500"/>
    <n v="540"/>
    <n v="6"/>
    <x v="1"/>
    <n v="3"/>
    <s v="False"/>
    <m/>
    <m/>
    <n v="34500"/>
    <n v="30000"/>
    <n v="38000"/>
    <n v="0"/>
    <n v="118.18259999999999"/>
    <n v="-0.15941364199999999"/>
    <n v="14413.299800000001"/>
    <n v="26.56"/>
    <n v="3.44"/>
    <n v="84.84"/>
    <n v="24"/>
    <s v="Rp0"/>
    <n v="0"/>
  </r>
  <r>
    <x v="440"/>
    <n v="34000"/>
    <n v="541"/>
    <n v="6"/>
    <x v="1"/>
    <n v="4"/>
    <s v="False"/>
    <m/>
    <m/>
    <n v="34500"/>
    <n v="31000"/>
    <m/>
    <n v="-500"/>
    <n v="118.18259999999999"/>
    <n v="-0.15941364199999999"/>
    <n v="14511.200199999999"/>
    <n v="26.77"/>
    <n v="1.81"/>
    <n v="82.92"/>
    <n v="25"/>
    <s v="-Rp500"/>
    <n v="-1.45"/>
  </r>
  <r>
    <x v="441"/>
    <n v="34000"/>
    <n v="542"/>
    <n v="6"/>
    <x v="1"/>
    <n v="5"/>
    <s v="False"/>
    <m/>
    <m/>
    <n v="34000"/>
    <m/>
    <n v="39000"/>
    <n v="0"/>
    <n v="118.18259999999999"/>
    <n v="-0.15941364199999999"/>
    <n v="14511.200199999999"/>
    <n v="26.72"/>
    <n v="3.45"/>
    <n v="82.39"/>
    <n v="26"/>
    <s v="-Rp500"/>
    <n v="-1.45"/>
  </r>
  <r>
    <x v="442"/>
    <n v="34000"/>
    <n v="543"/>
    <n v="6"/>
    <x v="1"/>
    <n v="6"/>
    <s v="False"/>
    <n v="34214.285714285717"/>
    <m/>
    <n v="34000"/>
    <m/>
    <n v="37500"/>
    <n v="0"/>
    <n v="118.18259999999999"/>
    <n v="-0.15941364199999999"/>
    <n v="14511.200199999999"/>
    <n v="26.33"/>
    <n v="7.91"/>
    <n v="80.95"/>
    <n v="27"/>
    <s v="-Rp500"/>
    <n v="-1.45"/>
  </r>
  <r>
    <x v="443"/>
    <n v="33750"/>
    <n v="544"/>
    <n v="6"/>
    <x v="1"/>
    <n v="0"/>
    <s v="False"/>
    <n v="34142.857142857145"/>
    <m/>
    <n v="34000"/>
    <n v="34250"/>
    <n v="37500"/>
    <n v="-250"/>
    <n v="118.18259999999999"/>
    <n v="-0.15941364199999999"/>
    <n v="14418"/>
    <n v="26.64"/>
    <n v="2.87"/>
    <n v="79.739999999999995"/>
    <n v="28"/>
    <s v="-Rp250"/>
    <n v="-0.74"/>
  </r>
  <r>
    <x v="444"/>
    <n v="33750"/>
    <n v="545"/>
    <n v="6"/>
    <x v="1"/>
    <n v="1"/>
    <s v="False"/>
    <n v="34071.428571428572"/>
    <m/>
    <n v="33750"/>
    <n v="34250"/>
    <n v="37500"/>
    <n v="0"/>
    <n v="118.18259999999999"/>
    <n v="-0.15941364199999999"/>
    <n v="14525"/>
    <n v="26.61"/>
    <n v="8.7899999999999991"/>
    <n v="80.98"/>
    <n v="29"/>
    <s v="Rp0"/>
    <n v="0"/>
  </r>
  <r>
    <x v="445"/>
    <n v="34750"/>
    <n v="546"/>
    <n v="6"/>
    <x v="1"/>
    <n v="2"/>
    <s v="False"/>
    <n v="34107.142857142855"/>
    <m/>
    <n v="33750"/>
    <n v="34500"/>
    <n v="35750"/>
    <n v="1000"/>
    <n v="118.18259999999999"/>
    <n v="-0.15941364199999999"/>
    <n v="14629.099609999999"/>
    <n v="26.82"/>
    <n v="8.2200000000000006"/>
    <n v="78.849999999999994"/>
    <n v="30"/>
    <s v="Rp1000"/>
    <n v="2.96"/>
  </r>
  <r>
    <x v="446"/>
    <n v="34000"/>
    <n v="547"/>
    <n v="7"/>
    <x v="1"/>
    <n v="3"/>
    <s v="False"/>
    <n v="34035.714285714283"/>
    <m/>
    <n v="34750"/>
    <n v="34500"/>
    <m/>
    <n v="-750"/>
    <n v="118.2714"/>
    <n v="7.5137964000000002E-2"/>
    <n v="14601.599609999999"/>
    <n v="26.78"/>
    <n v="4.3899999999999997"/>
    <n v="77.930000000000007"/>
    <n v="1"/>
    <s v="-Rp750"/>
    <n v="-2.16"/>
  </r>
  <r>
    <x v="447"/>
    <n v="34000"/>
    <n v="548"/>
    <n v="7"/>
    <x v="1"/>
    <n v="4"/>
    <s v="False"/>
    <n v="34035.714285714283"/>
    <m/>
    <n v="34000"/>
    <n v="34000"/>
    <n v="35000"/>
    <n v="0"/>
    <n v="118.2714"/>
    <n v="7.5137964000000002E-2"/>
    <n v="14581.400390000001"/>
    <n v="26.76"/>
    <n v="8.25"/>
    <n v="80.69"/>
    <n v="2"/>
    <s v="Rp0"/>
    <n v="0"/>
  </r>
  <r>
    <x v="448"/>
    <n v="34000"/>
    <n v="549"/>
    <n v="7"/>
    <x v="1"/>
    <n v="5"/>
    <s v="False"/>
    <n v="34035.714285714283"/>
    <m/>
    <n v="34000"/>
    <n v="34000"/>
    <n v="35000"/>
    <n v="0"/>
    <n v="118.2714"/>
    <n v="7.5137964000000002E-2"/>
    <n v="14581.400390000001"/>
    <n v="26.37"/>
    <n v="12.16"/>
    <n v="86.46"/>
    <n v="3"/>
    <s v="Rp0"/>
    <n v="0"/>
  </r>
  <r>
    <x v="449"/>
    <n v="34000"/>
    <n v="550"/>
    <n v="7"/>
    <x v="1"/>
    <n v="6"/>
    <s v="False"/>
    <n v="34035.714285714283"/>
    <m/>
    <n v="34000"/>
    <n v="34000"/>
    <n v="34500"/>
    <n v="0"/>
    <n v="118.2714"/>
    <n v="7.5137964000000002E-2"/>
    <n v="14581.400390000001"/>
    <n v="26.03"/>
    <n v="18.29"/>
    <n v="84.77"/>
    <n v="4"/>
    <s v="Rp0"/>
    <n v="0"/>
  </r>
  <r>
    <x v="450"/>
    <n v="34250"/>
    <n v="551"/>
    <n v="7"/>
    <x v="1"/>
    <n v="0"/>
    <s v="False"/>
    <n v="34107.142857142855"/>
    <m/>
    <n v="34000"/>
    <n v="33750"/>
    <n v="34500"/>
    <n v="250"/>
    <n v="118.2714"/>
    <n v="7.5137964000000002E-2"/>
    <n v="14526"/>
    <n v="26.09"/>
    <n v="1.67"/>
    <n v="83.76"/>
    <n v="5"/>
    <s v="Rp250"/>
    <n v="0.74"/>
  </r>
  <r>
    <x v="451"/>
    <n v="34250"/>
    <n v="552"/>
    <n v="7"/>
    <x v="1"/>
    <n v="1"/>
    <s v="False"/>
    <n v="34178.571428571428"/>
    <m/>
    <n v="34250"/>
    <n v="33750"/>
    <n v="34500"/>
    <n v="0"/>
    <n v="118.2714"/>
    <n v="7.5137964000000002E-2"/>
    <n v="14495"/>
    <n v="26.42"/>
    <n v="5.62"/>
    <n v="78.55"/>
    <n v="6"/>
    <s v="Rp0"/>
    <n v="0"/>
  </r>
  <r>
    <x v="452"/>
    <n v="34750"/>
    <n v="553"/>
    <n v="7"/>
    <x v="1"/>
    <n v="2"/>
    <s v="False"/>
    <n v="34178.571428571428"/>
    <m/>
    <n v="34250"/>
    <n v="34750"/>
    <n v="31250"/>
    <n v="500"/>
    <n v="118.2714"/>
    <n v="7.5137964000000002E-2"/>
    <n v="14568.700199999999"/>
    <n v="26.14"/>
    <n v="2.91"/>
    <n v="81.02"/>
    <n v="7"/>
    <s v="Rp500"/>
    <n v="1.46"/>
  </r>
  <r>
    <x v="453"/>
    <n v="34750"/>
    <n v="554"/>
    <n v="7"/>
    <x v="1"/>
    <n v="3"/>
    <s v="False"/>
    <n v="34285.714285714283"/>
    <m/>
    <n v="34750"/>
    <n v="34000"/>
    <n v="30750"/>
    <n v="0"/>
    <n v="118.2714"/>
    <n v="7.5137964000000002E-2"/>
    <n v="14569.200199999999"/>
    <n v="27.11"/>
    <n v="3.82"/>
    <n v="78.989999999999995"/>
    <n v="8"/>
    <s v="Rp0"/>
    <n v="0"/>
  </r>
  <r>
    <x v="454"/>
    <n v="35500"/>
    <n v="555"/>
    <n v="7"/>
    <x v="1"/>
    <n v="4"/>
    <s v="False"/>
    <n v="34500"/>
    <m/>
    <n v="34750"/>
    <n v="34000"/>
    <n v="31500"/>
    <n v="750"/>
    <n v="118.2714"/>
    <n v="7.5137964000000002E-2"/>
    <n v="14618.700199999999"/>
    <n v="26.75"/>
    <n v="8.92"/>
    <n v="85.12"/>
    <n v="9"/>
    <s v="Rp750"/>
    <n v="2.16"/>
  </r>
  <r>
    <x v="455"/>
    <n v="35500"/>
    <n v="556"/>
    <n v="7"/>
    <x v="1"/>
    <n v="5"/>
    <s v="False"/>
    <n v="34714.285714285717"/>
    <m/>
    <n v="35500"/>
    <n v="34000"/>
    <n v="31500"/>
    <n v="0"/>
    <n v="118.2714"/>
    <n v="7.5137964000000002E-2"/>
    <n v="14618.700199999999"/>
    <n v="26.15"/>
    <n v="8.91"/>
    <n v="87.2"/>
    <n v="10"/>
    <s v="Rp750"/>
    <n v="2.16"/>
  </r>
  <r>
    <x v="456"/>
    <n v="35500"/>
    <n v="557"/>
    <n v="7"/>
    <x v="1"/>
    <n v="6"/>
    <s v="False"/>
    <n v="34928.571428571428"/>
    <m/>
    <n v="35500"/>
    <n v="34000"/>
    <n v="31500"/>
    <n v="0"/>
    <n v="118.2714"/>
    <n v="7.5137964000000002E-2"/>
    <n v="14618.700199999999"/>
    <n v="26.27"/>
    <n v="7.89"/>
    <n v="85.21"/>
    <n v="11"/>
    <s v="Rp750"/>
    <n v="2.16"/>
  </r>
  <r>
    <x v="457"/>
    <n v="34650"/>
    <n v="558"/>
    <n v="7"/>
    <x v="1"/>
    <n v="0"/>
    <s v="False"/>
    <n v="34985.714285714283"/>
    <m/>
    <n v="35500"/>
    <n v="34250"/>
    <n v="31500"/>
    <n v="-850"/>
    <n v="118.2714"/>
    <n v="7.5137964000000002E-2"/>
    <n v="14521"/>
    <n v="26.71"/>
    <n v="2.41"/>
    <n v="84.24"/>
    <n v="12"/>
    <s v="-Rp850"/>
    <n v="-2.39"/>
  </r>
  <r>
    <x v="458"/>
    <n v="34650"/>
    <n v="559"/>
    <n v="7"/>
    <x v="1"/>
    <n v="1"/>
    <s v="False"/>
    <n v="35042.857142857145"/>
    <m/>
    <n v="34650"/>
    <n v="34250"/>
    <n v="31500"/>
    <n v="0"/>
    <n v="118.2714"/>
    <n v="7.5137964000000002E-2"/>
    <n v="14558.5"/>
    <n v="26.83"/>
    <n v="4.99"/>
    <n v="83.38"/>
    <n v="13"/>
    <s v="Rp0"/>
    <n v="0"/>
  </r>
  <r>
    <x v="459"/>
    <n v="34650"/>
    <n v="560"/>
    <n v="7"/>
    <x v="1"/>
    <n v="2"/>
    <s v="False"/>
    <n v="35028.571428571428"/>
    <m/>
    <n v="34650"/>
    <n v="34750"/>
    <n v="31000"/>
    <n v="0"/>
    <n v="118.2714"/>
    <n v="7.5137964000000002E-2"/>
    <n v="14542.099609999999"/>
    <n v="26.97"/>
    <n v="3.35"/>
    <n v="82.23"/>
    <n v="14"/>
    <s v="Rp0"/>
    <n v="0"/>
  </r>
  <r>
    <x v="460"/>
    <n v="35150"/>
    <n v="561"/>
    <n v="7"/>
    <x v="1"/>
    <n v="3"/>
    <s v="False"/>
    <n v="35085.714285714283"/>
    <m/>
    <n v="34650"/>
    <n v="34750"/>
    <n v="30000"/>
    <n v="500"/>
    <n v="118.2714"/>
    <n v="7.5137964000000002E-2"/>
    <n v="14473"/>
    <n v="26.1"/>
    <n v="9.7100000000000009"/>
    <n v="85.55"/>
    <n v="15"/>
    <s v="Rp500"/>
    <n v="1.44"/>
  </r>
  <r>
    <x v="461"/>
    <n v="36150"/>
    <n v="562"/>
    <n v="7"/>
    <x v="1"/>
    <n v="4"/>
    <s v="False"/>
    <n v="35178.571428571428"/>
    <m/>
    <n v="35150"/>
    <n v="35500"/>
    <n v="30000"/>
    <n v="1000"/>
    <n v="118.2714"/>
    <n v="7.5137964000000002E-2"/>
    <n v="14563"/>
    <n v="25.81"/>
    <n v="24.47"/>
    <n v="88.43"/>
    <n v="16"/>
    <s v="Rp1000"/>
    <n v="2.84"/>
  </r>
  <r>
    <x v="462"/>
    <n v="39900"/>
    <n v="565"/>
    <n v="7"/>
    <x v="1"/>
    <n v="0"/>
    <s v="False"/>
    <m/>
    <m/>
    <m/>
    <n v="34650"/>
    <m/>
    <m/>
    <n v="118.2714"/>
    <n v="7.5137964000000002E-2"/>
    <n v="14491"/>
    <n v="26.81"/>
    <n v="1.31"/>
    <n v="80.19"/>
    <n v="19"/>
    <s v="Rp3750"/>
    <n v="10.37"/>
  </r>
  <r>
    <x v="463"/>
    <n v="38750"/>
    <n v="567"/>
    <n v="7"/>
    <x v="1"/>
    <n v="2"/>
    <s v="False"/>
    <m/>
    <m/>
    <m/>
    <n v="34650"/>
    <n v="34250"/>
    <m/>
    <n v="118.2714"/>
    <n v="7.5137964000000002E-2"/>
    <n v="14620"/>
    <n v="26.49"/>
    <n v="4.8899999999999997"/>
    <n v="80.290000000000006"/>
    <n v="21"/>
    <m/>
    <n v="0"/>
  </r>
  <r>
    <x v="464"/>
    <n v="38150"/>
    <n v="568"/>
    <n v="7"/>
    <x v="1"/>
    <n v="3"/>
    <s v="False"/>
    <m/>
    <m/>
    <n v="38750"/>
    <n v="35150"/>
    <n v="34250"/>
    <n v="-600"/>
    <n v="118.2714"/>
    <n v="7.5137964000000002E-2"/>
    <n v="14536"/>
    <n v="26.31"/>
    <n v="7.26"/>
    <n v="84.71"/>
    <n v="22"/>
    <s v="-Rp600"/>
    <n v="-1.55"/>
  </r>
  <r>
    <x v="465"/>
    <n v="38150"/>
    <n v="569"/>
    <n v="7"/>
    <x v="1"/>
    <n v="4"/>
    <s v="False"/>
    <m/>
    <m/>
    <n v="38150"/>
    <n v="36150"/>
    <n v="34500"/>
    <n v="0"/>
    <n v="118.2714"/>
    <n v="7.5137964000000002E-2"/>
    <n v="14548.700199999999"/>
    <n v="26.97"/>
    <n v="1.1599999999999999"/>
    <n v="79.89"/>
    <n v="23"/>
    <s v="Rp0"/>
    <n v="0"/>
  </r>
  <r>
    <x v="466"/>
    <n v="38150"/>
    <n v="570"/>
    <n v="7"/>
    <x v="1"/>
    <n v="5"/>
    <s v="False"/>
    <m/>
    <m/>
    <n v="38150"/>
    <m/>
    <n v="34500"/>
    <n v="0"/>
    <n v="118.2714"/>
    <n v="7.5137964000000002E-2"/>
    <n v="14548.700199999999"/>
    <n v="26.5"/>
    <n v="0.59"/>
    <n v="81.599999999999994"/>
    <n v="24"/>
    <s v="Rp0"/>
    <n v="0"/>
  </r>
  <r>
    <x v="467"/>
    <n v="37900"/>
    <n v="572"/>
    <n v="7"/>
    <x v="1"/>
    <n v="0"/>
    <s v="False"/>
    <m/>
    <m/>
    <m/>
    <n v="39900"/>
    <n v="34000"/>
    <m/>
    <n v="118.2714"/>
    <n v="7.5137964000000002E-2"/>
    <n v="14486"/>
    <n v="26.82"/>
    <n v="0.04"/>
    <n v="83.53"/>
    <n v="26"/>
    <s v="-Rp250"/>
    <n v="-0.66"/>
  </r>
  <r>
    <x v="468"/>
    <n v="37900"/>
    <n v="573"/>
    <n v="7"/>
    <x v="1"/>
    <n v="1"/>
    <s v="False"/>
    <m/>
    <m/>
    <n v="37900"/>
    <m/>
    <n v="34000"/>
    <n v="0"/>
    <n v="118.2714"/>
    <n v="7.5137964000000002E-2"/>
    <n v="14523.5"/>
    <n v="26.78"/>
    <n v="0.03"/>
    <n v="84"/>
    <n v="27"/>
    <s v="Rp0"/>
    <n v="0"/>
  </r>
  <r>
    <x v="469"/>
    <n v="37650"/>
    <n v="574"/>
    <n v="7"/>
    <x v="1"/>
    <n v="2"/>
    <s v="False"/>
    <m/>
    <m/>
    <n v="37900"/>
    <n v="38750"/>
    <n v="33750"/>
    <n v="-250"/>
    <n v="118.2714"/>
    <n v="7.5137964000000002E-2"/>
    <n v="14554"/>
    <n v="26.82"/>
    <n v="0.04"/>
    <n v="84.51"/>
    <n v="28"/>
    <s v="-Rp250"/>
    <n v="-0.66"/>
  </r>
  <r>
    <x v="470"/>
    <n v="38650"/>
    <n v="575"/>
    <n v="7"/>
    <x v="1"/>
    <n v="3"/>
    <s v="False"/>
    <m/>
    <m/>
    <n v="37650"/>
    <n v="38150"/>
    <n v="33750"/>
    <n v="1000"/>
    <n v="118.2714"/>
    <n v="7.5137964000000002E-2"/>
    <n v="14462.599609999999"/>
    <n v="27.22"/>
    <n v="1.74"/>
    <n v="83.3"/>
    <n v="29"/>
    <s v="Rp1000"/>
    <n v="2.66"/>
  </r>
  <r>
    <x v="471"/>
    <n v="39150"/>
    <n v="576"/>
    <n v="7"/>
    <x v="1"/>
    <n v="4"/>
    <s v="False"/>
    <m/>
    <m/>
    <n v="38650"/>
    <n v="38150"/>
    <n v="34750"/>
    <n v="500"/>
    <n v="118.2714"/>
    <n v="7.5137964000000002E-2"/>
    <n v="14450"/>
    <n v="27.24"/>
    <n v="1.19"/>
    <n v="81.33"/>
    <n v="30"/>
    <s v="Rp500"/>
    <n v="1.29"/>
  </r>
  <r>
    <x v="472"/>
    <n v="39150"/>
    <n v="577"/>
    <n v="7"/>
    <x v="1"/>
    <n v="5"/>
    <s v="False"/>
    <m/>
    <m/>
    <n v="39150"/>
    <n v="38150"/>
    <n v="34000"/>
    <n v="0"/>
    <n v="118.2714"/>
    <n v="7.5137964000000002E-2"/>
    <n v="14450"/>
    <n v="27.68"/>
    <n v="1.85"/>
    <n v="79.290000000000006"/>
    <n v="31"/>
    <s v="Rp500"/>
    <n v="1.29"/>
  </r>
  <r>
    <x v="473"/>
    <n v="39150"/>
    <n v="578"/>
    <n v="8"/>
    <x v="1"/>
    <n v="6"/>
    <s v="False"/>
    <n v="38507.142857142855"/>
    <m/>
    <n v="39150"/>
    <m/>
    <n v="34000"/>
    <n v="0"/>
    <n v="118.3047"/>
    <n v="2.8155580999999999E-2"/>
    <n v="14450"/>
    <n v="27.58"/>
    <n v="0.84"/>
    <n v="76.66"/>
    <n v="1"/>
    <s v="Rp500"/>
    <n v="1.29"/>
  </r>
  <r>
    <x v="474"/>
    <n v="40400"/>
    <n v="579"/>
    <n v="8"/>
    <x v="1"/>
    <n v="0"/>
    <s v="False"/>
    <n v="38864.285714285717"/>
    <m/>
    <n v="39150"/>
    <n v="37900"/>
    <n v="34000"/>
    <n v="1250"/>
    <n v="118.3047"/>
    <n v="2.8155580999999999E-2"/>
    <n v="14456"/>
    <n v="27.49"/>
    <n v="0.54"/>
    <n v="81.760000000000005"/>
    <n v="2"/>
    <s v="Rp1250"/>
    <n v="3.19"/>
  </r>
  <r>
    <x v="475"/>
    <n v="40400"/>
    <n v="580"/>
    <n v="8"/>
    <x v="1"/>
    <n v="1"/>
    <s v="False"/>
    <n v="39221.428571428572"/>
    <m/>
    <n v="40400"/>
    <n v="37900"/>
    <n v="34000"/>
    <n v="0"/>
    <n v="118.3047"/>
    <n v="2.8155580999999999E-2"/>
    <n v="14397.400390000001"/>
    <n v="27.61"/>
    <n v="2"/>
    <n v="79.84"/>
    <n v="3"/>
    <s v="Rp0"/>
    <n v="0"/>
  </r>
  <r>
    <x v="476"/>
    <n v="40400"/>
    <n v="581"/>
    <n v="8"/>
    <x v="1"/>
    <n v="2"/>
    <s v="False"/>
    <n v="39614.285714285717"/>
    <m/>
    <n v="40400"/>
    <n v="37650"/>
    <n v="34250"/>
    <n v="0"/>
    <n v="118.3047"/>
    <n v="2.8155580999999999E-2"/>
    <n v="14349.5"/>
    <n v="27.45"/>
    <n v="2.79"/>
    <n v="81.83"/>
    <n v="4"/>
    <s v="Rp0"/>
    <n v="0"/>
  </r>
  <r>
    <x v="477"/>
    <n v="39900"/>
    <n v="582"/>
    <n v="8"/>
    <x v="1"/>
    <n v="3"/>
    <s v="False"/>
    <n v="39792.857142857145"/>
    <m/>
    <n v="40400"/>
    <n v="38650"/>
    <n v="34250"/>
    <n v="-500"/>
    <n v="118.3047"/>
    <n v="2.8155580999999999E-2"/>
    <n v="14338.599609999999"/>
    <n v="26.56"/>
    <n v="3.53"/>
    <n v="80.900000000000006"/>
    <n v="5"/>
    <s v="-Rp500"/>
    <n v="-1.24"/>
  </r>
  <r>
    <x v="478"/>
    <n v="41250"/>
    <n v="583"/>
    <n v="8"/>
    <x v="1"/>
    <n v="4"/>
    <s v="False"/>
    <n v="40092.857142857145"/>
    <m/>
    <n v="39900"/>
    <n v="39150"/>
    <n v="34750"/>
    <n v="1350"/>
    <n v="118.3047"/>
    <n v="2.8155580999999999E-2"/>
    <n v="14385.5"/>
    <n v="26.55"/>
    <n v="6.95"/>
    <n v="81.99"/>
    <n v="6"/>
    <s v="Rp1350"/>
    <n v="3.38"/>
  </r>
  <r>
    <x v="479"/>
    <n v="41250"/>
    <n v="584"/>
    <n v="8"/>
    <x v="1"/>
    <n v="5"/>
    <s v="False"/>
    <n v="40392.857142857145"/>
    <m/>
    <n v="41250"/>
    <n v="39150"/>
    <n v="34750"/>
    <n v="0"/>
    <n v="118.3047"/>
    <n v="2.8155580999999999E-2"/>
    <n v="14385.5"/>
    <n v="25.78"/>
    <n v="5.04"/>
    <n v="83.38"/>
    <n v="7"/>
    <s v="Rp1350"/>
    <n v="3.38"/>
  </r>
  <r>
    <x v="480"/>
    <n v="41250"/>
    <n v="585"/>
    <n v="8"/>
    <x v="1"/>
    <n v="6"/>
    <s v="False"/>
    <n v="40692.857142857145"/>
    <m/>
    <n v="41250"/>
    <n v="39150"/>
    <n v="35500"/>
    <n v="0"/>
    <n v="118.3047"/>
    <n v="2.8155580999999999E-2"/>
    <n v="14385.5"/>
    <n v="26.23"/>
    <n v="9.86"/>
    <n v="82.32"/>
    <n v="8"/>
    <s v="Rp1350"/>
    <n v="3.38"/>
  </r>
  <r>
    <x v="481"/>
    <n v="40400"/>
    <n v="586"/>
    <n v="8"/>
    <x v="1"/>
    <n v="0"/>
    <s v="False"/>
    <n v="40692.857142857145"/>
    <m/>
    <n v="41250"/>
    <n v="40400"/>
    <n v="35500"/>
    <n v="-850"/>
    <n v="118.3047"/>
    <n v="2.8155580999999999E-2"/>
    <n v="14346"/>
    <n v="26.93"/>
    <n v="3.94"/>
    <n v="80.98"/>
    <n v="9"/>
    <s v="-Rp850"/>
    <n v="-2.06"/>
  </r>
  <r>
    <x v="482"/>
    <n v="40400"/>
    <n v="587"/>
    <n v="8"/>
    <x v="1"/>
    <n v="1"/>
    <s v="True"/>
    <n v="40692.857142857145"/>
    <m/>
    <n v="40400"/>
    <n v="40400"/>
    <n v="35500"/>
    <n v="0"/>
    <n v="118.3047"/>
    <n v="2.8155580999999999E-2"/>
    <n v="14402.099609999999"/>
    <n v="26.35"/>
    <n v="0.9"/>
    <n v="85.49"/>
    <n v="10"/>
    <s v="Rp0"/>
    <n v="0"/>
  </r>
  <r>
    <x v="483"/>
    <n v="39900"/>
    <n v="589"/>
    <n v="8"/>
    <x v="1"/>
    <n v="3"/>
    <s v="False"/>
    <m/>
    <m/>
    <m/>
    <n v="39900"/>
    <n v="34650"/>
    <m/>
    <n v="118.3047"/>
    <n v="2.8155580999999999E-2"/>
    <n v="14395"/>
    <n v="26.97"/>
    <n v="4.68"/>
    <n v="83.63"/>
    <n v="12"/>
    <m/>
    <n v="0"/>
  </r>
  <r>
    <x v="484"/>
    <n v="39400"/>
    <n v="590"/>
    <n v="8"/>
    <x v="1"/>
    <n v="4"/>
    <s v="False"/>
    <m/>
    <m/>
    <n v="39900"/>
    <n v="41250"/>
    <n v="34650"/>
    <n v="-500"/>
    <n v="118.3047"/>
    <n v="2.8155580999999999E-2"/>
    <n v="14341"/>
    <n v="26.86"/>
    <n v="2.79"/>
    <n v="83.49"/>
    <n v="13"/>
    <s v="-Rp500"/>
    <n v="-1.25"/>
  </r>
  <r>
    <x v="485"/>
    <n v="39400"/>
    <n v="591"/>
    <n v="8"/>
    <x v="1"/>
    <n v="5"/>
    <s v="False"/>
    <m/>
    <m/>
    <n v="39400"/>
    <n v="41250"/>
    <n v="35150"/>
    <n v="0"/>
    <n v="118.3047"/>
    <n v="2.8155580999999999E-2"/>
    <n v="14341"/>
    <n v="27.05"/>
    <n v="3.06"/>
    <n v="78.61"/>
    <n v="14"/>
    <s v="-Rp500"/>
    <n v="-1.25"/>
  </r>
  <r>
    <x v="486"/>
    <n v="38900"/>
    <n v="593"/>
    <n v="8"/>
    <x v="1"/>
    <n v="0"/>
    <s v="False"/>
    <m/>
    <m/>
    <m/>
    <n v="40400"/>
    <m/>
    <m/>
    <n v="118.3047"/>
    <n v="2.8155580999999999E-2"/>
    <n v="14381"/>
    <n v="26.68"/>
    <n v="5.68"/>
    <n v="82.79"/>
    <n v="16"/>
    <s v="-Rp500"/>
    <n v="-1.27"/>
  </r>
  <r>
    <x v="487"/>
    <n v="39150"/>
    <n v="595"/>
    <n v="8"/>
    <x v="1"/>
    <n v="2"/>
    <s v="False"/>
    <m/>
    <m/>
    <m/>
    <m/>
    <n v="39900"/>
    <m/>
    <n v="118.3047"/>
    <n v="2.8155580999999999E-2"/>
    <n v="14425.099609999999"/>
    <n v="27.15"/>
    <n v="2.73"/>
    <n v="80.28"/>
    <n v="18"/>
    <m/>
    <n v="0"/>
  </r>
  <r>
    <x v="488"/>
    <n v="38650"/>
    <n v="596"/>
    <n v="8"/>
    <x v="1"/>
    <n v="3"/>
    <s v="False"/>
    <m/>
    <m/>
    <n v="39150"/>
    <n v="39900"/>
    <m/>
    <n v="-500"/>
    <n v="118.3047"/>
    <n v="2.8155580999999999E-2"/>
    <n v="14454.200199999999"/>
    <n v="26.6"/>
    <n v="23.81"/>
    <n v="82.24"/>
    <n v="19"/>
    <s v="-Rp500"/>
    <n v="-1.28"/>
  </r>
  <r>
    <x v="489"/>
    <n v="39150"/>
    <n v="597"/>
    <n v="8"/>
    <x v="1"/>
    <n v="4"/>
    <s v="False"/>
    <m/>
    <m/>
    <n v="38650"/>
    <n v="39400"/>
    <n v="38750"/>
    <n v="500"/>
    <n v="118.3047"/>
    <n v="2.8155580999999999E-2"/>
    <n v="14493.400390000001"/>
    <n v="26.26"/>
    <n v="3.58"/>
    <n v="76.75"/>
    <n v="20"/>
    <s v="Rp500"/>
    <n v="1.29"/>
  </r>
  <r>
    <x v="490"/>
    <n v="39150"/>
    <n v="598"/>
    <n v="8"/>
    <x v="1"/>
    <n v="5"/>
    <s v="False"/>
    <m/>
    <m/>
    <n v="39150"/>
    <n v="39400"/>
    <n v="38150"/>
    <n v="0"/>
    <n v="118.3047"/>
    <n v="2.8155580999999999E-2"/>
    <n v="14493.400390000001"/>
    <n v="26.58"/>
    <n v="2.81"/>
    <n v="79.83"/>
    <n v="21"/>
    <s v="Rp500"/>
    <n v="1.29"/>
  </r>
  <r>
    <x v="491"/>
    <n v="39150"/>
    <n v="599"/>
    <n v="8"/>
    <x v="1"/>
    <n v="6"/>
    <s v="False"/>
    <m/>
    <m/>
    <n v="39150"/>
    <m/>
    <n v="38150"/>
    <n v="0"/>
    <n v="118.3047"/>
    <n v="2.8155580999999999E-2"/>
    <n v="14493.400390000001"/>
    <n v="26.81"/>
    <n v="1.97"/>
    <n v="79.75"/>
    <n v="22"/>
    <s v="Rp500"/>
    <n v="1.29"/>
  </r>
  <r>
    <x v="492"/>
    <n v="38400"/>
    <n v="600"/>
    <n v="8"/>
    <x v="1"/>
    <n v="0"/>
    <s v="False"/>
    <m/>
    <m/>
    <n v="39150"/>
    <n v="38900"/>
    <n v="38150"/>
    <n v="-750"/>
    <n v="118.3047"/>
    <n v="2.8155580999999999E-2"/>
    <n v="14446"/>
    <n v="26.54"/>
    <n v="4.03"/>
    <n v="83.32"/>
    <n v="23"/>
    <s v="-Rp750"/>
    <n v="-1.92"/>
  </r>
  <r>
    <x v="493"/>
    <n v="38150"/>
    <n v="601"/>
    <n v="8"/>
    <x v="1"/>
    <n v="1"/>
    <s v="False"/>
    <n v="38828.571428571428"/>
    <m/>
    <n v="38400"/>
    <m/>
    <m/>
    <n v="-250"/>
    <n v="118.3047"/>
    <n v="2.8155580999999999E-2"/>
    <n v="14430"/>
    <n v="26.43"/>
    <n v="5.15"/>
    <n v="77.81"/>
    <n v="24"/>
    <s v="-Rp250"/>
    <n v="-0.65"/>
  </r>
  <r>
    <x v="494"/>
    <n v="36650"/>
    <n v="602"/>
    <n v="8"/>
    <x v="1"/>
    <n v="2"/>
    <s v="False"/>
    <n v="38471.428571428572"/>
    <m/>
    <n v="38150"/>
    <n v="39150"/>
    <n v="37900"/>
    <n v="-1500"/>
    <n v="118.3047"/>
    <n v="2.8155580999999999E-2"/>
    <n v="14448.700199999999"/>
    <n v="25.58"/>
    <n v="13.95"/>
    <n v="84.32"/>
    <n v="25"/>
    <s v="-Rp1500"/>
    <n v="-3.93"/>
  </r>
  <r>
    <x v="495"/>
    <n v="36400"/>
    <n v="603"/>
    <n v="8"/>
    <x v="1"/>
    <n v="3"/>
    <s v="False"/>
    <n v="38150"/>
    <m/>
    <n v="36650"/>
    <n v="38650"/>
    <n v="37900"/>
    <n v="-250"/>
    <n v="118.3047"/>
    <n v="2.8155580999999999E-2"/>
    <n v="14465.700199999999"/>
    <n v="26.64"/>
    <n v="10.69"/>
    <n v="77.44"/>
    <n v="26"/>
    <s v="-Rp250"/>
    <n v="-0.68"/>
  </r>
  <r>
    <x v="496"/>
    <n v="37000"/>
    <n v="604"/>
    <n v="8"/>
    <x v="1"/>
    <n v="4"/>
    <s v="False"/>
    <n v="37842.857142857145"/>
    <m/>
    <n v="36400"/>
    <n v="39150"/>
    <n v="37650"/>
    <n v="600"/>
    <n v="118.3047"/>
    <n v="2.8155580999999999E-2"/>
    <n v="14449.299800000001"/>
    <n v="26.7"/>
    <n v="7.24"/>
    <n v="80.47"/>
    <n v="27"/>
    <s v="Rp600"/>
    <n v="1.65"/>
  </r>
  <r>
    <x v="497"/>
    <n v="37000"/>
    <n v="605"/>
    <n v="8"/>
    <x v="1"/>
    <n v="5"/>
    <s v="False"/>
    <n v="37535.714285714283"/>
    <m/>
    <n v="37000"/>
    <n v="39150"/>
    <n v="38650"/>
    <n v="0"/>
    <n v="118.3047"/>
    <n v="2.8155580999999999E-2"/>
    <n v="14449.299800000001"/>
    <n v="26.48"/>
    <n v="5.86"/>
    <n v="82.93"/>
    <n v="28"/>
    <s v="Rp600"/>
    <n v="1.65"/>
  </r>
  <r>
    <x v="498"/>
    <n v="37000"/>
    <n v="606"/>
    <n v="8"/>
    <x v="1"/>
    <n v="6"/>
    <s v="False"/>
    <n v="37228.571428571428"/>
    <m/>
    <n v="37000"/>
    <n v="39150"/>
    <n v="39150"/>
    <n v="0"/>
    <n v="118.3047"/>
    <n v="2.8155580999999999E-2"/>
    <n v="14449.299800000001"/>
    <n v="26.49"/>
    <n v="3.42"/>
    <n v="83.37"/>
    <n v="29"/>
    <s v="Rp600"/>
    <n v="1.65"/>
  </r>
  <r>
    <x v="499"/>
    <n v="35750"/>
    <n v="607"/>
    <n v="8"/>
    <x v="1"/>
    <n v="0"/>
    <s v="False"/>
    <n v="36850"/>
    <m/>
    <n v="37000"/>
    <n v="38400"/>
    <n v="39150"/>
    <n v="-1250"/>
    <n v="118.3047"/>
    <n v="2.8155580999999999E-2"/>
    <n v="14411"/>
    <n v="26.86"/>
    <n v="4.8"/>
    <n v="80.41"/>
    <n v="30"/>
    <s v="-Rp1250"/>
    <n v="-3.38"/>
  </r>
  <r>
    <x v="500"/>
    <n v="35750"/>
    <n v="608"/>
    <n v="8"/>
    <x v="1"/>
    <n v="1"/>
    <s v="False"/>
    <n v="36507.142857142855"/>
    <m/>
    <n v="35750"/>
    <n v="38150"/>
    <n v="39150"/>
    <n v="0"/>
    <n v="118.3047"/>
    <n v="2.8155580999999999E-2"/>
    <n v="14362"/>
    <n v="27.01"/>
    <n v="3.34"/>
    <n v="80.62"/>
    <n v="31"/>
    <s v="Rp0"/>
    <n v="0"/>
  </r>
  <r>
    <x v="501"/>
    <n v="35500"/>
    <n v="609"/>
    <n v="9"/>
    <x v="1"/>
    <n v="2"/>
    <s v="False"/>
    <n v="36342.857142857145"/>
    <m/>
    <n v="35750"/>
    <n v="36650"/>
    <n v="40400"/>
    <n v="-250"/>
    <n v="118.2603"/>
    <n v="-3.7530208000000002E-2"/>
    <n v="14246.5"/>
    <n v="27.04"/>
    <n v="4.1399999999999997"/>
    <n v="82.18"/>
    <n v="1"/>
    <s v="-Rp250"/>
    <n v="-0.7"/>
  </r>
  <r>
    <x v="502"/>
    <n v="35500"/>
    <n v="610"/>
    <n v="9"/>
    <x v="1"/>
    <n v="3"/>
    <s v="False"/>
    <n v="36214.285714285717"/>
    <m/>
    <n v="35500"/>
    <n v="36400"/>
    <n v="40400"/>
    <n v="0"/>
    <n v="118.2603"/>
    <n v="-3.7530208000000002E-2"/>
    <n v="14269.200199999999"/>
    <n v="26.79"/>
    <n v="3.54"/>
    <n v="81.31"/>
    <n v="2"/>
    <s v="Rp0"/>
    <n v="0"/>
  </r>
  <r>
    <x v="503"/>
    <n v="35500"/>
    <n v="611"/>
    <n v="9"/>
    <x v="1"/>
    <n v="4"/>
    <s v="False"/>
    <n v="36000"/>
    <m/>
    <n v="35500"/>
    <n v="37000"/>
    <n v="40400"/>
    <n v="0"/>
    <n v="118.2603"/>
    <n v="-3.7530208000000002E-2"/>
    <n v="14245.5"/>
    <n v="27.04"/>
    <n v="5.34"/>
    <n v="79.099999999999994"/>
    <n v="3"/>
    <s v="Rp0"/>
    <n v="0"/>
  </r>
  <r>
    <x v="504"/>
    <n v="35500"/>
    <n v="612"/>
    <n v="9"/>
    <x v="1"/>
    <n v="5"/>
    <s v="False"/>
    <n v="35785.714285714283"/>
    <m/>
    <n v="35500"/>
    <n v="37000"/>
    <n v="39900"/>
    <n v="0"/>
    <n v="118.2603"/>
    <n v="-3.7530208000000002E-2"/>
    <n v="14245.5"/>
    <n v="26.42"/>
    <n v="12.69"/>
    <n v="80.98"/>
    <n v="4"/>
    <s v="Rp0"/>
    <n v="0"/>
  </r>
  <r>
    <x v="505"/>
    <n v="35500"/>
    <n v="613"/>
    <n v="9"/>
    <x v="1"/>
    <n v="6"/>
    <s v="False"/>
    <n v="35571.428571428572"/>
    <m/>
    <n v="35500"/>
    <n v="37000"/>
    <n v="41250"/>
    <n v="0"/>
    <n v="118.2603"/>
    <n v="-3.7530208000000002E-2"/>
    <n v="14245.5"/>
    <n v="26"/>
    <n v="15.72"/>
    <n v="81.98"/>
    <n v="5"/>
    <s v="Rp0"/>
    <n v="0"/>
  </r>
  <r>
    <x v="506"/>
    <n v="36250"/>
    <n v="614"/>
    <n v="9"/>
    <x v="1"/>
    <n v="0"/>
    <s v="False"/>
    <n v="35642.857142857145"/>
    <m/>
    <n v="35500"/>
    <n v="35750"/>
    <n v="41250"/>
    <n v="750"/>
    <n v="118.2603"/>
    <n v="-3.7530208000000002E-2"/>
    <n v="14256"/>
    <n v="26.6"/>
    <n v="5.99"/>
    <n v="81.69"/>
    <n v="6"/>
    <s v="Rp750"/>
    <n v="2.11"/>
  </r>
  <r>
    <x v="507"/>
    <n v="36000"/>
    <n v="615"/>
    <n v="9"/>
    <x v="1"/>
    <n v="1"/>
    <s v="False"/>
    <n v="35678.571428571428"/>
    <m/>
    <n v="36250"/>
    <n v="35750"/>
    <n v="41250"/>
    <n v="-250"/>
    <n v="118.2603"/>
    <n v="-3.7530208000000002E-2"/>
    <n v="14231.400390000001"/>
    <n v="27.11"/>
    <n v="5.71"/>
    <n v="77.58"/>
    <n v="7"/>
    <s v="-Rp250"/>
    <n v="-0.69"/>
  </r>
  <r>
    <x v="508"/>
    <n v="36000"/>
    <n v="616"/>
    <n v="9"/>
    <x v="1"/>
    <n v="2"/>
    <s v="False"/>
    <n v="35750"/>
    <m/>
    <n v="36000"/>
    <n v="35500"/>
    <n v="40400"/>
    <n v="0"/>
    <n v="118.2603"/>
    <n v="-3.7530208000000002E-2"/>
    <n v="14279.200199999999"/>
    <n v="26.65"/>
    <n v="5.46"/>
    <n v="82.59"/>
    <n v="8"/>
    <s v="Rp0"/>
    <n v="0"/>
  </r>
  <r>
    <x v="509"/>
    <n v="36000"/>
    <n v="617"/>
    <n v="9"/>
    <x v="1"/>
    <n v="3"/>
    <s v="False"/>
    <n v="35821.428571428572"/>
    <m/>
    <n v="36000"/>
    <n v="35500"/>
    <n v="40400"/>
    <n v="0"/>
    <n v="118.2603"/>
    <n v="-3.7530208000000002E-2"/>
    <n v="14326.400390000001"/>
    <n v="25.88"/>
    <n v="31.53"/>
    <n v="86.21"/>
    <n v="9"/>
    <s v="Rp0"/>
    <n v="0"/>
  </r>
  <r>
    <x v="510"/>
    <n v="35750"/>
    <n v="618"/>
    <n v="9"/>
    <x v="1"/>
    <n v="4"/>
    <s v="False"/>
    <n v="35857.142857142855"/>
    <m/>
    <n v="36000"/>
    <n v="35500"/>
    <m/>
    <n v="-250"/>
    <n v="118.2603"/>
    <n v="-3.7530208000000002E-2"/>
    <n v="14258.799800000001"/>
    <n v="26.13"/>
    <n v="3.38"/>
    <n v="83.67"/>
    <n v="10"/>
    <s v="-Rp250"/>
    <n v="-0.69"/>
  </r>
  <r>
    <x v="511"/>
    <n v="35750"/>
    <n v="619"/>
    <n v="9"/>
    <x v="1"/>
    <n v="5"/>
    <s v="False"/>
    <n v="35892.857142857145"/>
    <m/>
    <n v="35750"/>
    <n v="35500"/>
    <n v="39900"/>
    <n v="0"/>
    <n v="118.2603"/>
    <n v="-3.7530208000000002E-2"/>
    <n v="14258.799800000001"/>
    <n v="25.83"/>
    <n v="8.85"/>
    <n v="86.44"/>
    <n v="11"/>
    <s v="-Rp250"/>
    <n v="-0.69"/>
  </r>
  <r>
    <x v="512"/>
    <n v="35750"/>
    <n v="620"/>
    <n v="9"/>
    <x v="1"/>
    <n v="6"/>
    <s v="False"/>
    <n v="35928.571428571428"/>
    <m/>
    <n v="35750"/>
    <n v="35500"/>
    <n v="39400"/>
    <n v="0"/>
    <n v="118.2603"/>
    <n v="-3.7530208000000002E-2"/>
    <n v="14258.799800000001"/>
    <n v="25.75"/>
    <n v="10.65"/>
    <n v="83.88"/>
    <n v="12"/>
    <s v="-Rp250"/>
    <n v="-0.69"/>
  </r>
  <r>
    <x v="513"/>
    <n v="34750"/>
    <n v="621"/>
    <n v="9"/>
    <x v="1"/>
    <n v="0"/>
    <s v="False"/>
    <n v="35714.285714285717"/>
    <m/>
    <n v="35750"/>
    <n v="36250"/>
    <n v="39400"/>
    <n v="-1000"/>
    <n v="118.2603"/>
    <n v="-3.7530208000000002E-2"/>
    <n v="14196"/>
    <n v="26.48"/>
    <n v="11.53"/>
    <n v="79.739999999999995"/>
    <n v="13"/>
    <s v="-Rp1000"/>
    <n v="-2.8"/>
  </r>
  <r>
    <x v="514"/>
    <n v="33900"/>
    <n v="622"/>
    <n v="9"/>
    <x v="1"/>
    <n v="1"/>
    <s v="False"/>
    <n v="35414.285714285717"/>
    <m/>
    <n v="34750"/>
    <n v="36000"/>
    <m/>
    <n v="-850"/>
    <n v="118.2603"/>
    <n v="-3.7530208000000002E-2"/>
    <n v="14291.599609999999"/>
    <n v="26.78"/>
    <n v="10.68"/>
    <n v="79.05"/>
    <n v="14"/>
    <s v="-Rp850"/>
    <n v="-2.4500000000000002"/>
  </r>
  <r>
    <x v="515"/>
    <n v="33900"/>
    <n v="623"/>
    <n v="9"/>
    <x v="1"/>
    <n v="2"/>
    <s v="False"/>
    <n v="35114.285714285717"/>
    <m/>
    <n v="33900"/>
    <n v="36000"/>
    <n v="38900"/>
    <n v="0"/>
    <n v="118.2603"/>
    <n v="-3.7530208000000002E-2"/>
    <n v="14249.700199999999"/>
    <n v="26.39"/>
    <n v="8.2799999999999994"/>
    <n v="81.84"/>
    <n v="15"/>
    <s v="Rp0"/>
    <n v="0"/>
  </r>
  <r>
    <x v="516"/>
    <n v="34000"/>
    <n v="624"/>
    <n v="9"/>
    <x v="1"/>
    <n v="3"/>
    <s v="False"/>
    <n v="34828.571428571428"/>
    <n v="36430"/>
    <n v="33900"/>
    <n v="36000"/>
    <m/>
    <n v="100"/>
    <n v="118.2603"/>
    <n v="-3.7530208000000002E-2"/>
    <n v="14264.5"/>
    <n v="26.11"/>
    <n v="11.79"/>
    <n v="83.87"/>
    <n v="16"/>
    <s v="Rp100"/>
    <n v="0.28999999999999998"/>
  </r>
  <r>
    <x v="517"/>
    <n v="33500"/>
    <n v="625"/>
    <n v="9"/>
    <x v="1"/>
    <n v="4"/>
    <s v="False"/>
    <n v="34507.142857142855"/>
    <n v="36241.666666666664"/>
    <n v="34000"/>
    <n v="35750"/>
    <n v="39150"/>
    <n v="-500"/>
    <n v="118.2603"/>
    <n v="-3.7530208000000002E-2"/>
    <n v="14283.900390000001"/>
    <n v="26.06"/>
    <n v="8.49"/>
    <n v="84.53"/>
    <n v="17"/>
    <s v="-Rp500"/>
    <n v="-1.47"/>
  </r>
  <r>
    <x v="518"/>
    <n v="33650"/>
    <n v="628"/>
    <n v="9"/>
    <x v="1"/>
    <n v="0"/>
    <s v="False"/>
    <m/>
    <m/>
    <m/>
    <n v="34750"/>
    <n v="39150"/>
    <m/>
    <n v="118.2603"/>
    <n v="-3.7530208000000002E-2"/>
    <n v="14221"/>
    <n v="25.96"/>
    <n v="22.18"/>
    <n v="86.84"/>
    <n v="20"/>
    <s v="Rp150"/>
    <n v="0.45"/>
  </r>
  <r>
    <x v="519"/>
    <n v="33650"/>
    <n v="629"/>
    <n v="9"/>
    <x v="1"/>
    <n v="1"/>
    <s v="False"/>
    <m/>
    <m/>
    <n v="33650"/>
    <n v="33900"/>
    <n v="39150"/>
    <n v="0"/>
    <n v="118.2603"/>
    <n v="-3.7530208000000002E-2"/>
    <n v="14320.5"/>
    <n v="25.35"/>
    <n v="13.93"/>
    <n v="88.01"/>
    <n v="21"/>
    <s v="Rp0"/>
    <n v="0"/>
  </r>
  <r>
    <x v="520"/>
    <n v="33650"/>
    <n v="630"/>
    <n v="9"/>
    <x v="1"/>
    <n v="2"/>
    <s v="False"/>
    <m/>
    <m/>
    <n v="33650"/>
    <n v="33900"/>
    <n v="38400"/>
    <n v="0"/>
    <n v="118.2603"/>
    <n v="-3.7530208000000002E-2"/>
    <n v="14237.5"/>
    <n v="25.74"/>
    <n v="18.64"/>
    <n v="84.15"/>
    <n v="22"/>
    <s v="Rp0"/>
    <n v="0"/>
  </r>
  <r>
    <x v="521"/>
    <n v="33650"/>
    <n v="631"/>
    <n v="9"/>
    <x v="1"/>
    <n v="3"/>
    <s v="False"/>
    <m/>
    <m/>
    <n v="33650"/>
    <n v="34000"/>
    <n v="38150"/>
    <n v="0"/>
    <n v="118.2603"/>
    <n v="-3.7530208000000002E-2"/>
    <n v="14279.200199999999"/>
    <n v="26.13"/>
    <n v="5.09"/>
    <n v="82.38"/>
    <n v="23"/>
    <s v="Rp0"/>
    <n v="0"/>
  </r>
  <r>
    <x v="522"/>
    <n v="33650"/>
    <n v="632"/>
    <n v="9"/>
    <x v="1"/>
    <n v="4"/>
    <s v="False"/>
    <m/>
    <m/>
    <n v="33650"/>
    <n v="33500"/>
    <n v="36650"/>
    <n v="0"/>
    <n v="118.2603"/>
    <n v="-3.7530208000000002E-2"/>
    <n v="14286.5"/>
    <n v="26.86"/>
    <n v="6.83"/>
    <n v="78.180000000000007"/>
    <n v="24"/>
    <s v="Rp0"/>
    <n v="0"/>
  </r>
  <r>
    <x v="523"/>
    <n v="33150"/>
    <n v="635"/>
    <n v="9"/>
    <x v="1"/>
    <n v="0"/>
    <s v="False"/>
    <m/>
    <m/>
    <m/>
    <n v="33650"/>
    <n v="37000"/>
    <m/>
    <n v="118.2603"/>
    <n v="-3.7530208000000002E-2"/>
    <n v="14251"/>
    <n v="27.21"/>
    <n v="4.21"/>
    <n v="81.069999999999993"/>
    <n v="27"/>
    <m/>
    <n v="0"/>
  </r>
  <r>
    <x v="524"/>
    <n v="33150"/>
    <n v="636"/>
    <n v="9"/>
    <x v="1"/>
    <n v="1"/>
    <s v="False"/>
    <m/>
    <m/>
    <n v="33150"/>
    <n v="33650"/>
    <n v="37000"/>
    <n v="0"/>
    <n v="118.2603"/>
    <n v="-3.7530208000000002E-2"/>
    <n v="14242.5"/>
    <n v="27.13"/>
    <n v="2.91"/>
    <n v="82.22"/>
    <n v="28"/>
    <s v="Rp0"/>
    <n v="0"/>
  </r>
  <r>
    <x v="525"/>
    <n v="33150"/>
    <n v="637"/>
    <n v="9"/>
    <x v="1"/>
    <n v="2"/>
    <s v="False"/>
    <m/>
    <m/>
    <n v="33150"/>
    <n v="33650"/>
    <n v="35750"/>
    <n v="0"/>
    <n v="118.2603"/>
    <n v="-3.7530208000000002E-2"/>
    <n v="14318.599609999999"/>
    <n v="27.01"/>
    <n v="1.93"/>
    <n v="83.07"/>
    <n v="29"/>
    <s v="Rp0"/>
    <n v="0"/>
  </r>
  <r>
    <x v="526"/>
    <n v="32900"/>
    <n v="638"/>
    <n v="9"/>
    <x v="1"/>
    <n v="3"/>
    <s v="False"/>
    <m/>
    <m/>
    <n v="33150"/>
    <n v="33650"/>
    <n v="35750"/>
    <n v="-250"/>
    <n v="118.2603"/>
    <n v="-3.7530208000000002E-2"/>
    <n v="14385"/>
    <n v="26.86"/>
    <n v="3.74"/>
    <n v="86.81"/>
    <n v="30"/>
    <s v="-Rp250"/>
    <n v="-0.75"/>
  </r>
  <r>
    <x v="527"/>
    <n v="32900"/>
    <n v="639"/>
    <n v="10"/>
    <x v="0"/>
    <n v="4"/>
    <s v="False"/>
    <m/>
    <m/>
    <n v="32900"/>
    <n v="33650"/>
    <n v="35500"/>
    <n v="0"/>
    <n v="118.4046"/>
    <n v="0.12201897"/>
    <n v="14328.599609999999"/>
    <n v="26.67"/>
    <n v="29.59"/>
    <n v="80.28"/>
    <n v="1"/>
    <s v="Rp0"/>
    <n v="0"/>
  </r>
  <r>
    <x v="528"/>
    <n v="32900"/>
    <n v="640"/>
    <n v="10"/>
    <x v="0"/>
    <n v="5"/>
    <s v="False"/>
    <m/>
    <m/>
    <n v="32900"/>
    <m/>
    <n v="35500"/>
    <n v="0"/>
    <n v="118.4046"/>
    <n v="0.12201897"/>
    <n v="14328.599609999999"/>
    <n v="26.65"/>
    <n v="16.61"/>
    <n v="80.52"/>
    <n v="2"/>
    <s v="Rp0"/>
    <n v="0"/>
  </r>
  <r>
    <x v="529"/>
    <n v="32900"/>
    <n v="641"/>
    <n v="10"/>
    <x v="0"/>
    <n v="6"/>
    <s v="False"/>
    <n v="33007.142857142855"/>
    <m/>
    <n v="32900"/>
    <m/>
    <n v="35500"/>
    <n v="0"/>
    <n v="118.4046"/>
    <n v="0.12201897"/>
    <n v="14328.599609999999"/>
    <n v="27.17"/>
    <n v="2.61"/>
    <n v="76.92"/>
    <n v="3"/>
    <s v="Rp0"/>
    <n v="0"/>
  </r>
  <r>
    <x v="530"/>
    <n v="32000"/>
    <n v="642"/>
    <n v="10"/>
    <x v="0"/>
    <n v="0"/>
    <s v="False"/>
    <n v="32842.857142857145"/>
    <m/>
    <n v="32900"/>
    <n v="33150"/>
    <n v="35500"/>
    <n v="-900"/>
    <n v="118.4046"/>
    <n v="0.12201897"/>
    <n v="14301"/>
    <n v="26.91"/>
    <n v="5.1100000000000003"/>
    <n v="81.48"/>
    <n v="4"/>
    <s v="-Rp900"/>
    <n v="-2.74"/>
  </r>
  <r>
    <x v="531"/>
    <n v="32000"/>
    <n v="643"/>
    <n v="10"/>
    <x v="0"/>
    <n v="1"/>
    <s v="False"/>
    <n v="32678.571428571428"/>
    <m/>
    <n v="32000"/>
    <n v="33150"/>
    <n v="35500"/>
    <n v="0"/>
    <n v="118.4046"/>
    <n v="0.12201897"/>
    <n v="14300.5"/>
    <n v="27.16"/>
    <n v="0.37"/>
    <n v="79.78"/>
    <n v="5"/>
    <s v="Rp0"/>
    <n v="0"/>
  </r>
  <r>
    <x v="532"/>
    <n v="32000"/>
    <n v="644"/>
    <n v="10"/>
    <x v="0"/>
    <n v="2"/>
    <s v="False"/>
    <n v="32514.285714285714"/>
    <m/>
    <n v="32000"/>
    <n v="33150"/>
    <n v="36250"/>
    <n v="0"/>
    <n v="118.4046"/>
    <n v="0.12201897"/>
    <n v="14246"/>
    <n v="27.18"/>
    <n v="1.04"/>
    <n v="79.44"/>
    <n v="6"/>
    <s v="Rp0"/>
    <n v="0"/>
  </r>
  <r>
    <x v="533"/>
    <n v="32000"/>
    <n v="645"/>
    <n v="10"/>
    <x v="0"/>
    <n v="3"/>
    <s v="False"/>
    <n v="32385.714285714286"/>
    <m/>
    <n v="32000"/>
    <n v="32900"/>
    <n v="36000"/>
    <n v="0"/>
    <n v="118.4046"/>
    <n v="0.12201897"/>
    <n v="14232.400390000001"/>
    <n v="28.06"/>
    <n v="0.43"/>
    <n v="74.89"/>
    <n v="7"/>
    <s v="Rp0"/>
    <n v="0"/>
  </r>
  <r>
    <x v="534"/>
    <n v="32000"/>
    <n v="646"/>
    <n v="10"/>
    <x v="0"/>
    <n v="4"/>
    <s v="False"/>
    <n v="32257.142857142859"/>
    <m/>
    <n v="32000"/>
    <n v="32900"/>
    <n v="36000"/>
    <n v="0"/>
    <n v="118.4046"/>
    <n v="0.12201897"/>
    <n v="14170.799800000001"/>
    <n v="27.48"/>
    <n v="1.41"/>
    <n v="80.13"/>
    <n v="8"/>
    <s v="Rp0"/>
    <n v="0"/>
  </r>
  <r>
    <x v="535"/>
    <n v="32000"/>
    <n v="647"/>
    <n v="10"/>
    <x v="0"/>
    <n v="5"/>
    <s v="False"/>
    <n v="32128.571428571428"/>
    <m/>
    <n v="32000"/>
    <n v="32900"/>
    <n v="36000"/>
    <n v="0"/>
    <n v="118.4046"/>
    <n v="0.12201897"/>
    <n v="14170.799800000001"/>
    <n v="27.14"/>
    <n v="5.8"/>
    <n v="79.59"/>
    <n v="9"/>
    <s v="Rp0"/>
    <n v="0"/>
  </r>
  <r>
    <x v="536"/>
    <n v="32000"/>
    <n v="648"/>
    <n v="10"/>
    <x v="0"/>
    <n v="6"/>
    <s v="False"/>
    <n v="32000"/>
    <m/>
    <n v="32000"/>
    <n v="32900"/>
    <n v="35750"/>
    <n v="0"/>
    <n v="118.4046"/>
    <n v="0.12201897"/>
    <n v="14170.799800000001"/>
    <n v="27.31"/>
    <n v="1.45"/>
    <n v="80.45"/>
    <n v="10"/>
    <s v="Rp0"/>
    <n v="0"/>
  </r>
  <r>
    <x v="537"/>
    <n v="32000"/>
    <n v="649"/>
    <n v="10"/>
    <x v="0"/>
    <n v="0"/>
    <s v="False"/>
    <n v="32000"/>
    <m/>
    <n v="32000"/>
    <n v="32000"/>
    <n v="35750"/>
    <n v="0"/>
    <n v="118.4046"/>
    <n v="0.12201897"/>
    <n v="14216"/>
    <n v="28.08"/>
    <n v="0.85"/>
    <n v="80.56"/>
    <n v="11"/>
    <s v="Rp0"/>
    <n v="0"/>
  </r>
  <r>
    <x v="538"/>
    <n v="32000"/>
    <n v="650"/>
    <n v="10"/>
    <x v="0"/>
    <n v="1"/>
    <s v="False"/>
    <n v="32000"/>
    <m/>
    <n v="32000"/>
    <n v="32000"/>
    <n v="35750"/>
    <n v="0"/>
    <n v="118.4046"/>
    <n v="0.12201897"/>
    <n v="14194"/>
    <n v="28.03"/>
    <n v="0.87"/>
    <n v="78"/>
    <n v="12"/>
    <s v="Rp0"/>
    <n v="0"/>
  </r>
  <r>
    <x v="539"/>
    <n v="32000"/>
    <n v="651"/>
    <n v="10"/>
    <x v="0"/>
    <n v="2"/>
    <s v="False"/>
    <n v="32000"/>
    <m/>
    <n v="32000"/>
    <n v="32000"/>
    <n v="34750"/>
    <n v="0"/>
    <n v="118.4046"/>
    <n v="0.12201897"/>
    <n v="14221.200199999999"/>
    <n v="27.63"/>
    <n v="1.88"/>
    <n v="80.36"/>
    <n v="13"/>
    <s v="Rp0"/>
    <n v="0"/>
  </r>
  <r>
    <x v="540"/>
    <n v="32000"/>
    <n v="652"/>
    <n v="10"/>
    <x v="0"/>
    <n v="3"/>
    <s v="False"/>
    <n v="32000"/>
    <m/>
    <n v="32000"/>
    <n v="32000"/>
    <n v="33900"/>
    <n v="0"/>
    <n v="118.4046"/>
    <n v="0.12201897"/>
    <n v="14219.700199999999"/>
    <n v="27.39"/>
    <n v="1.1100000000000001"/>
    <n v="80.83"/>
    <n v="14"/>
    <s v="Rp0"/>
    <n v="0"/>
  </r>
  <r>
    <x v="541"/>
    <n v="32000"/>
    <n v="653"/>
    <n v="10"/>
    <x v="0"/>
    <n v="4"/>
    <s v="False"/>
    <n v="32000"/>
    <m/>
    <n v="32000"/>
    <n v="32000"/>
    <n v="33900"/>
    <n v="0"/>
    <n v="118.4046"/>
    <n v="0.12201897"/>
    <n v="14078.5"/>
    <n v="27.76"/>
    <n v="1.06"/>
    <n v="80.02"/>
    <n v="15"/>
    <s v="Rp0"/>
    <n v="0"/>
  </r>
  <r>
    <x v="542"/>
    <n v="32000"/>
    <n v="654"/>
    <n v="10"/>
    <x v="0"/>
    <n v="5"/>
    <s v="False"/>
    <n v="32000"/>
    <m/>
    <n v="32000"/>
    <n v="32000"/>
    <n v="34000"/>
    <n v="0"/>
    <n v="118.4046"/>
    <n v="0.12201897"/>
    <n v="14078.5"/>
    <n v="28.1"/>
    <n v="0.49"/>
    <n v="76.64"/>
    <n v="16"/>
    <s v="Rp0"/>
    <n v="0"/>
  </r>
  <r>
    <x v="543"/>
    <n v="32000"/>
    <n v="655"/>
    <n v="10"/>
    <x v="0"/>
    <n v="6"/>
    <s v="False"/>
    <n v="32000"/>
    <m/>
    <n v="32000"/>
    <n v="32000"/>
    <n v="33500"/>
    <n v="0"/>
    <n v="118.4046"/>
    <n v="0.12201897"/>
    <n v="14078.5"/>
    <n v="27.34"/>
    <n v="0.47"/>
    <n v="82.52"/>
    <n v="17"/>
    <s v="Rp0"/>
    <n v="0"/>
  </r>
  <r>
    <x v="544"/>
    <n v="32500"/>
    <n v="656"/>
    <n v="10"/>
    <x v="0"/>
    <n v="0"/>
    <s v="False"/>
    <n v="32071.428571428572"/>
    <m/>
    <n v="32000"/>
    <n v="32000"/>
    <m/>
    <n v="500"/>
    <n v="118.4046"/>
    <n v="0.12201897"/>
    <n v="14067"/>
    <n v="27.44"/>
    <n v="4.38"/>
    <n v="83.67"/>
    <n v="18"/>
    <s v="Rp500"/>
    <n v="1.56"/>
  </r>
  <r>
    <x v="545"/>
    <n v="32750"/>
    <n v="657"/>
    <n v="10"/>
    <x v="0"/>
    <n v="1"/>
    <s v="True"/>
    <n v="32178.571428571428"/>
    <m/>
    <n v="32500"/>
    <n v="32000"/>
    <m/>
    <n v="250"/>
    <n v="118.4046"/>
    <n v="0.12201897"/>
    <n v="14157.200199999999"/>
    <n v="27.77"/>
    <n v="3.69"/>
    <n v="77.13"/>
    <n v="19"/>
    <s v="Rp250"/>
    <n v="0.77"/>
  </r>
  <r>
    <x v="546"/>
    <n v="32750"/>
    <n v="659"/>
    <n v="10"/>
    <x v="0"/>
    <n v="3"/>
    <s v="False"/>
    <m/>
    <m/>
    <m/>
    <n v="32000"/>
    <n v="33650"/>
    <m/>
    <n v="118.4046"/>
    <n v="0.12201897"/>
    <n v="14119.799800000001"/>
    <n v="26.76"/>
    <n v="7.29"/>
    <n v="85.05"/>
    <n v="21"/>
    <m/>
    <n v="0"/>
  </r>
  <r>
    <x v="547"/>
    <n v="32750"/>
    <n v="660"/>
    <n v="10"/>
    <x v="0"/>
    <n v="4"/>
    <s v="False"/>
    <m/>
    <m/>
    <n v="32750"/>
    <n v="32000"/>
    <n v="33650"/>
    <n v="0"/>
    <n v="118.4046"/>
    <n v="0.12201897"/>
    <n v="14175"/>
    <n v="26.54"/>
    <n v="13.69"/>
    <n v="84.02"/>
    <n v="22"/>
    <s v="Rp0"/>
    <n v="0"/>
  </r>
  <r>
    <x v="548"/>
    <n v="32750"/>
    <n v="663"/>
    <n v="10"/>
    <x v="0"/>
    <n v="0"/>
    <s v="False"/>
    <m/>
    <m/>
    <m/>
    <n v="32500"/>
    <m/>
    <m/>
    <n v="118.4046"/>
    <n v="0.12201897"/>
    <n v="14116"/>
    <n v="27.6"/>
    <n v="0.09"/>
    <n v="77.23"/>
    <n v="25"/>
    <s v="Rp0"/>
    <n v="0"/>
  </r>
  <r>
    <x v="549"/>
    <n v="32750"/>
    <n v="664"/>
    <n v="10"/>
    <x v="0"/>
    <n v="1"/>
    <s v="False"/>
    <m/>
    <m/>
    <n v="32750"/>
    <n v="32750"/>
    <m/>
    <n v="0"/>
    <n v="118.4046"/>
    <n v="0.12201897"/>
    <n v="14193.5"/>
    <n v="27.28"/>
    <n v="1.75"/>
    <n v="81.66"/>
    <n v="26"/>
    <s v="Rp0"/>
    <n v="0"/>
  </r>
  <r>
    <x v="550"/>
    <n v="32750"/>
    <n v="665"/>
    <n v="10"/>
    <x v="0"/>
    <n v="2"/>
    <s v="False"/>
    <m/>
    <m/>
    <n v="32750"/>
    <m/>
    <n v="33150"/>
    <n v="0"/>
    <n v="118.4046"/>
    <n v="0.12201897"/>
    <n v="14175.700199999999"/>
    <n v="27.4"/>
    <n v="1.43"/>
    <n v="80.78"/>
    <n v="27"/>
    <s v="Rp0"/>
    <n v="0"/>
  </r>
  <r>
    <x v="551"/>
    <n v="32750"/>
    <n v="666"/>
    <n v="10"/>
    <x v="0"/>
    <n v="3"/>
    <s v="False"/>
    <m/>
    <m/>
    <n v="32750"/>
    <n v="32750"/>
    <n v="33150"/>
    <n v="0"/>
    <n v="118.4046"/>
    <n v="0.12201897"/>
    <n v="14217.099609999999"/>
    <n v="27.39"/>
    <n v="4.74"/>
    <n v="83.32"/>
    <n v="28"/>
    <s v="Rp0"/>
    <n v="0"/>
  </r>
  <r>
    <x v="552"/>
    <n v="31250"/>
    <n v="667"/>
    <n v="10"/>
    <x v="0"/>
    <n v="4"/>
    <s v="False"/>
    <m/>
    <m/>
    <n v="32750"/>
    <n v="32750"/>
    <n v="33150"/>
    <n v="-1500"/>
    <n v="118.4046"/>
    <n v="0.12201897"/>
    <n v="14229"/>
    <n v="27.97"/>
    <n v="4.51"/>
    <n v="79.83"/>
    <n v="29"/>
    <s v="-Rp1500"/>
    <n v="-4.58"/>
  </r>
  <r>
    <x v="553"/>
    <n v="31250"/>
    <n v="668"/>
    <n v="10"/>
    <x v="0"/>
    <n v="5"/>
    <s v="False"/>
    <m/>
    <m/>
    <n v="31250"/>
    <m/>
    <n v="32900"/>
    <n v="0"/>
    <n v="118.4046"/>
    <n v="0.12201897"/>
    <n v="14229"/>
    <n v="27.27"/>
    <n v="17"/>
    <n v="80.19"/>
    <n v="30"/>
    <s v="-Rp1500"/>
    <n v="-4.58"/>
  </r>
  <r>
    <x v="554"/>
    <n v="31250"/>
    <n v="669"/>
    <n v="10"/>
    <x v="0"/>
    <n v="6"/>
    <s v="False"/>
    <n v="32107.142857142859"/>
    <m/>
    <n v="31250"/>
    <m/>
    <n v="32900"/>
    <n v="0"/>
    <n v="118.4046"/>
    <n v="0.12201897"/>
    <n v="14229"/>
    <n v="26.81"/>
    <n v="20.67"/>
    <n v="76.58"/>
    <n v="31"/>
    <s v="-Rp1500"/>
    <n v="-4.58"/>
  </r>
  <r>
    <x v="555"/>
    <n v="30250"/>
    <n v="670"/>
    <n v="11"/>
    <x v="0"/>
    <n v="0"/>
    <s v="False"/>
    <n v="31750"/>
    <m/>
    <n v="31250"/>
    <n v="32750"/>
    <n v="32900"/>
    <n v="-1000"/>
    <n v="118.83750000000001"/>
    <n v="0.36561079600000002"/>
    <n v="14228.5"/>
    <n v="27.77"/>
    <n v="2.79"/>
    <n v="71.760000000000005"/>
    <n v="1"/>
    <s v="-Rp1000"/>
    <n v="-3.2"/>
  </r>
  <r>
    <x v="556"/>
    <n v="30250"/>
    <n v="671"/>
    <n v="11"/>
    <x v="0"/>
    <n v="1"/>
    <s v="False"/>
    <n v="31392.857142857141"/>
    <m/>
    <n v="30250"/>
    <n v="32750"/>
    <n v="32900"/>
    <n v="0"/>
    <n v="118.83750000000001"/>
    <n v="0.36561079600000002"/>
    <n v="14276.599609999999"/>
    <n v="27.75"/>
    <n v="3.38"/>
    <n v="76.88"/>
    <n v="2"/>
    <s v="Rp0"/>
    <n v="0"/>
  </r>
  <r>
    <x v="557"/>
    <n v="30250"/>
    <n v="672"/>
    <n v="11"/>
    <x v="0"/>
    <n v="2"/>
    <s v="False"/>
    <n v="31035.714285714286"/>
    <m/>
    <n v="30250"/>
    <n v="32750"/>
    <n v="32000"/>
    <n v="0"/>
    <n v="118.83750000000001"/>
    <n v="0.36561079600000002"/>
    <n v="14289.900390000001"/>
    <n v="27.38"/>
    <n v="8.25"/>
    <n v="81.67"/>
    <n v="3"/>
    <s v="Rp0"/>
    <n v="0"/>
  </r>
  <r>
    <x v="558"/>
    <n v="30000"/>
    <n v="673"/>
    <n v="11"/>
    <x v="0"/>
    <n v="3"/>
    <s v="False"/>
    <n v="30642.857142857141"/>
    <m/>
    <n v="30250"/>
    <n v="32750"/>
    <n v="32000"/>
    <n v="-250"/>
    <n v="118.83750000000001"/>
    <n v="0.36561079600000002"/>
    <n v="14366"/>
    <n v="27.15"/>
    <n v="7.92"/>
    <n v="82.32"/>
    <n v="4"/>
    <s v="-Rp250"/>
    <n v="-0.83"/>
  </r>
  <r>
    <x v="559"/>
    <n v="30000"/>
    <n v="674"/>
    <n v="11"/>
    <x v="0"/>
    <n v="4"/>
    <s v="False"/>
    <n v="30464.285714285714"/>
    <m/>
    <n v="30000"/>
    <n v="31250"/>
    <n v="32000"/>
    <n v="0"/>
    <n v="118.83750000000001"/>
    <n v="0.36561079600000002"/>
    <n v="14414"/>
    <n v="27.06"/>
    <n v="29.4"/>
    <n v="84.6"/>
    <n v="5"/>
    <s v="Rp0"/>
    <n v="0"/>
  </r>
  <r>
    <x v="560"/>
    <n v="30500"/>
    <n v="677"/>
    <n v="11"/>
    <x v="0"/>
    <n v="0"/>
    <s v="False"/>
    <m/>
    <m/>
    <m/>
    <n v="30250"/>
    <n v="32000"/>
    <m/>
    <n v="118.83750000000001"/>
    <n v="0.36561079600000002"/>
    <n v="14319.799800000001"/>
    <n v="27.29"/>
    <n v="9.69"/>
    <n v="84.98"/>
    <n v="8"/>
    <m/>
    <n v="0"/>
  </r>
  <r>
    <x v="561"/>
    <n v="29750"/>
    <n v="678"/>
    <n v="11"/>
    <x v="0"/>
    <n v="1"/>
    <s v="False"/>
    <m/>
    <m/>
    <n v="30500"/>
    <n v="30250"/>
    <n v="32000"/>
    <n v="-750"/>
    <n v="118.83750000000001"/>
    <n v="0.36561079600000002"/>
    <n v="14252"/>
    <n v="27.39"/>
    <n v="7.31"/>
    <n v="81.099999999999994"/>
    <n v="9"/>
    <s v="-Rp750"/>
    <n v="-2.46"/>
  </r>
  <r>
    <x v="562"/>
    <n v="29750"/>
    <n v="679"/>
    <n v="11"/>
    <x v="0"/>
    <n v="2"/>
    <s v="False"/>
    <m/>
    <m/>
    <n v="29750"/>
    <n v="30250"/>
    <n v="32000"/>
    <n v="0"/>
    <n v="118.83750000000001"/>
    <n v="0.36561079600000002"/>
    <n v="14290"/>
    <n v="27.11"/>
    <n v="8.5500000000000007"/>
    <n v="84.3"/>
    <n v="10"/>
    <s v="Rp0"/>
    <n v="0"/>
  </r>
  <r>
    <x v="563"/>
    <n v="29750"/>
    <n v="680"/>
    <n v="11"/>
    <x v="0"/>
    <n v="3"/>
    <s v="False"/>
    <m/>
    <m/>
    <n v="29750"/>
    <n v="30000"/>
    <n v="32000"/>
    <n v="0"/>
    <n v="118.83750000000001"/>
    <n v="0.36561079600000002"/>
    <n v="14302.400390000001"/>
    <n v="27.13"/>
    <n v="6.22"/>
    <n v="84.94"/>
    <n v="11"/>
    <s v="Rp0"/>
    <n v="0"/>
  </r>
  <r>
    <x v="564"/>
    <n v="29500"/>
    <n v="681"/>
    <n v="11"/>
    <x v="0"/>
    <n v="4"/>
    <s v="False"/>
    <m/>
    <m/>
    <n v="29750"/>
    <n v="30000"/>
    <n v="32000"/>
    <n v="-250"/>
    <n v="118.83750000000001"/>
    <n v="0.36561079600000002"/>
    <n v="14261.700199999999"/>
    <n v="26.78"/>
    <n v="10.31"/>
    <n v="86.42"/>
    <n v="12"/>
    <s v="-Rp250"/>
    <n v="-0.84"/>
  </r>
  <r>
    <x v="565"/>
    <n v="29500"/>
    <n v="682"/>
    <n v="11"/>
    <x v="0"/>
    <n v="5"/>
    <s v="False"/>
    <m/>
    <m/>
    <n v="29500"/>
    <m/>
    <n v="32000"/>
    <n v="0"/>
    <n v="118.83750000000001"/>
    <n v="0.36561079600000002"/>
    <n v="14261.700199999999"/>
    <n v="26.77"/>
    <n v="8.84"/>
    <n v="84.29"/>
    <n v="13"/>
    <s v="-Rp250"/>
    <n v="-0.84"/>
  </r>
  <r>
    <x v="566"/>
    <n v="29500"/>
    <n v="683"/>
    <n v="11"/>
    <x v="0"/>
    <n v="6"/>
    <s v="False"/>
    <n v="29750"/>
    <m/>
    <n v="29500"/>
    <m/>
    <n v="32000"/>
    <n v="0"/>
    <n v="118.83750000000001"/>
    <n v="0.36561079600000002"/>
    <n v="14261.700199999999"/>
    <n v="27.22"/>
    <n v="10.02"/>
    <n v="77.16"/>
    <n v="14"/>
    <s v="-Rp250"/>
    <n v="-0.84"/>
  </r>
  <r>
    <x v="567"/>
    <n v="29750"/>
    <n v="684"/>
    <n v="11"/>
    <x v="0"/>
    <n v="0"/>
    <s v="False"/>
    <n v="29642.857142857141"/>
    <m/>
    <n v="29500"/>
    <n v="30500"/>
    <n v="32000"/>
    <n v="250"/>
    <n v="118.83750000000001"/>
    <n v="0.36561079600000002"/>
    <n v="14186.700199999999"/>
    <n v="26.41"/>
    <n v="7.69"/>
    <n v="86.13"/>
    <n v="15"/>
    <s v="Rp250"/>
    <n v="0.85"/>
  </r>
  <r>
    <x v="568"/>
    <n v="29500"/>
    <n v="685"/>
    <n v="11"/>
    <x v="0"/>
    <n v="1"/>
    <s v="False"/>
    <n v="29607.142857142859"/>
    <m/>
    <n v="29750"/>
    <n v="29750"/>
    <n v="32000"/>
    <n v="-250"/>
    <n v="118.83750000000001"/>
    <n v="0.36561079600000002"/>
    <n v="14185.400390000001"/>
    <n v="26.95"/>
    <n v="4.0999999999999996"/>
    <n v="81.2"/>
    <n v="16"/>
    <s v="-Rp250"/>
    <n v="-0.84"/>
  </r>
  <r>
    <x v="569"/>
    <n v="29500"/>
    <n v="686"/>
    <n v="11"/>
    <x v="0"/>
    <n v="2"/>
    <s v="False"/>
    <n v="29571.428571428572"/>
    <m/>
    <n v="29500"/>
    <n v="29750"/>
    <n v="32500"/>
    <n v="0"/>
    <n v="118.83750000000001"/>
    <n v="0.36561079600000002"/>
    <n v="14274.200199999999"/>
    <n v="27.16"/>
    <n v="9.81"/>
    <n v="79.48"/>
    <n v="17"/>
    <s v="Rp0"/>
    <n v="0"/>
  </r>
  <r>
    <x v="570"/>
    <n v="28750"/>
    <n v="687"/>
    <n v="11"/>
    <x v="0"/>
    <n v="3"/>
    <s v="False"/>
    <n v="29428.571428571428"/>
    <m/>
    <n v="29500"/>
    <n v="29750"/>
    <n v="32750"/>
    <n v="-750"/>
    <n v="118.83750000000001"/>
    <n v="0.36561079600000002"/>
    <n v="14223.799800000001"/>
    <n v="27.05"/>
    <n v="7.3"/>
    <n v="83.26"/>
    <n v="18"/>
    <s v="-Rp750"/>
    <n v="-2.54"/>
  </r>
  <r>
    <x v="571"/>
    <n v="28750"/>
    <n v="688"/>
    <n v="11"/>
    <x v="0"/>
    <n v="4"/>
    <s v="False"/>
    <n v="29321.428571428572"/>
    <m/>
    <n v="28750"/>
    <n v="29500"/>
    <m/>
    <n v="0"/>
    <n v="118.83750000000001"/>
    <n v="0.36561079600000002"/>
    <n v="14204.700199999999"/>
    <n v="27.54"/>
    <n v="1.67"/>
    <n v="80.95"/>
    <n v="19"/>
    <s v="Rp0"/>
    <n v="0"/>
  </r>
  <r>
    <x v="572"/>
    <n v="28400"/>
    <n v="691"/>
    <n v="11"/>
    <x v="0"/>
    <n v="0"/>
    <s v="False"/>
    <m/>
    <m/>
    <m/>
    <n v="29750"/>
    <m/>
    <m/>
    <n v="118.83750000000001"/>
    <n v="0.36561079600000002"/>
    <n v="14265.099609999999"/>
    <n v="26.99"/>
    <n v="6.78"/>
    <n v="81.17"/>
    <n v="22"/>
    <m/>
    <n v="0"/>
  </r>
  <r>
    <x v="573"/>
    <n v="28650"/>
    <n v="692"/>
    <n v="11"/>
    <x v="0"/>
    <n v="1"/>
    <s v="False"/>
    <m/>
    <m/>
    <n v="28400"/>
    <n v="29500"/>
    <m/>
    <n v="250"/>
    <n v="118.83750000000001"/>
    <n v="0.36561079600000002"/>
    <n v="14259.599609999999"/>
    <n v="26.55"/>
    <n v="4.8"/>
    <n v="83.27"/>
    <n v="23"/>
    <s v="Rp250"/>
    <n v="0.88"/>
  </r>
  <r>
    <x v="574"/>
    <n v="28650"/>
    <n v="693"/>
    <n v="11"/>
    <x v="0"/>
    <n v="2"/>
    <s v="False"/>
    <m/>
    <m/>
    <n v="28650"/>
    <n v="29500"/>
    <n v="32750"/>
    <n v="0"/>
    <n v="118.83750000000001"/>
    <n v="0.36561079600000002"/>
    <n v="14272.5"/>
    <n v="27.07"/>
    <n v="6.34"/>
    <n v="79.69"/>
    <n v="24"/>
    <s v="Rp0"/>
    <n v="0"/>
  </r>
  <r>
    <x v="575"/>
    <n v="27900"/>
    <n v="694"/>
    <n v="11"/>
    <x v="0"/>
    <n v="3"/>
    <s v="False"/>
    <m/>
    <m/>
    <n v="28650"/>
    <n v="28750"/>
    <n v="32750"/>
    <n v="-750"/>
    <n v="118.83750000000001"/>
    <n v="0.36561079600000002"/>
    <n v="14303.400390000001"/>
    <n v="26.75"/>
    <n v="10.87"/>
    <n v="84.78"/>
    <n v="25"/>
    <s v="-Rp750"/>
    <n v="-2.62"/>
  </r>
  <r>
    <x v="576"/>
    <n v="28650"/>
    <n v="695"/>
    <n v="11"/>
    <x v="0"/>
    <n v="4"/>
    <s v="False"/>
    <m/>
    <m/>
    <n v="27900"/>
    <n v="28750"/>
    <n v="32750"/>
    <n v="750"/>
    <n v="118.83750000000001"/>
    <n v="0.36561079600000002"/>
    <n v="14320"/>
    <n v="26.26"/>
    <n v="6.47"/>
    <n v="83.81"/>
    <n v="26"/>
    <s v="Rp750"/>
    <n v="2.69"/>
  </r>
  <r>
    <x v="577"/>
    <n v="28650"/>
    <n v="696"/>
    <n v="11"/>
    <x v="0"/>
    <n v="5"/>
    <s v="False"/>
    <m/>
    <m/>
    <n v="28650"/>
    <m/>
    <n v="32750"/>
    <n v="0"/>
    <n v="118.83750000000001"/>
    <n v="0.36561079600000002"/>
    <n v="14320"/>
    <n v="26.48"/>
    <n v="7.1"/>
    <n v="83.28"/>
    <n v="27"/>
    <s v="Rp750"/>
    <n v="2.69"/>
  </r>
  <r>
    <x v="578"/>
    <n v="28650"/>
    <n v="697"/>
    <n v="11"/>
    <x v="0"/>
    <n v="6"/>
    <s v="False"/>
    <n v="28507.142857142859"/>
    <m/>
    <n v="28650"/>
    <m/>
    <n v="31250"/>
    <n v="0"/>
    <n v="118.83750000000001"/>
    <n v="0.36561079600000002"/>
    <n v="14320"/>
    <n v="26.74"/>
    <n v="5.13"/>
    <n v="82.89"/>
    <n v="28"/>
    <s v="Rp750"/>
    <n v="2.69"/>
  </r>
  <r>
    <x v="579"/>
    <n v="28650"/>
    <n v="698"/>
    <n v="11"/>
    <x v="0"/>
    <n v="0"/>
    <s v="False"/>
    <n v="28542.857142857141"/>
    <m/>
    <n v="28650"/>
    <n v="28400"/>
    <n v="31250"/>
    <n v="0"/>
    <n v="118.83750000000001"/>
    <n v="0.36561079600000002"/>
    <n v="14408.200199999999"/>
    <n v="27.11"/>
    <n v="13.74"/>
    <n v="79.72"/>
    <n v="29"/>
    <s v="Rp0"/>
    <n v="0"/>
  </r>
  <r>
    <x v="580"/>
    <n v="28400"/>
    <n v="699"/>
    <n v="11"/>
    <x v="0"/>
    <n v="1"/>
    <s v="False"/>
    <n v="28507.142857142859"/>
    <m/>
    <n v="28650"/>
    <n v="28650"/>
    <n v="31250"/>
    <n v="-250"/>
    <n v="118.83750000000001"/>
    <n v="0.36561079600000002"/>
    <n v="14377"/>
    <n v="26.32"/>
    <n v="26.32"/>
    <n v="84.85"/>
    <n v="30"/>
    <s v="-Rp250"/>
    <n v="-0.87"/>
  </r>
  <r>
    <x v="581"/>
    <n v="28400"/>
    <n v="700"/>
    <n v="12"/>
    <x v="0"/>
    <n v="2"/>
    <s v="False"/>
    <n v="28471.428571428572"/>
    <m/>
    <n v="28400"/>
    <n v="28650"/>
    <n v="30250"/>
    <n v="0"/>
    <n v="119.5147"/>
    <n v="0.56985379199999997"/>
    <n v="14333"/>
    <n v="26.73"/>
    <n v="7.7"/>
    <n v="81.23"/>
    <n v="1"/>
    <s v="Rp0"/>
    <n v="0"/>
  </r>
  <r>
    <x v="582"/>
    <n v="28400"/>
    <n v="701"/>
    <n v="12"/>
    <x v="0"/>
    <n v="3"/>
    <s v="False"/>
    <n v="28542.857142857141"/>
    <m/>
    <n v="28400"/>
    <n v="27900"/>
    <n v="30250"/>
    <n v="0"/>
    <n v="119.5147"/>
    <n v="0.56985379199999997"/>
    <n v="14376"/>
    <n v="26.98"/>
    <n v="8.8699999999999992"/>
    <n v="82.85"/>
    <n v="2"/>
    <s v="Rp0"/>
    <n v="0"/>
  </r>
  <r>
    <x v="583"/>
    <n v="28500"/>
    <n v="702"/>
    <n v="12"/>
    <x v="0"/>
    <n v="4"/>
    <s v="False"/>
    <n v="28521.428571428572"/>
    <m/>
    <n v="28400"/>
    <n v="28650"/>
    <n v="30250"/>
    <n v="100"/>
    <n v="119.5147"/>
    <n v="0.56985379199999997"/>
    <n v="14443.799800000001"/>
    <n v="27.08"/>
    <n v="12.38"/>
    <n v="84.15"/>
    <n v="3"/>
    <s v="Rp100"/>
    <n v="0.35"/>
  </r>
  <r>
    <x v="584"/>
    <n v="29000"/>
    <n v="705"/>
    <n v="12"/>
    <x v="0"/>
    <n v="0"/>
    <s v="False"/>
    <m/>
    <m/>
    <m/>
    <n v="28650"/>
    <m/>
    <m/>
    <n v="119.5147"/>
    <n v="0.56985379199999997"/>
    <n v="14514"/>
    <n v="27.05"/>
    <n v="7.63"/>
    <n v="86.5"/>
    <n v="6"/>
    <m/>
    <n v="0"/>
  </r>
  <r>
    <x v="585"/>
    <n v="29000"/>
    <n v="706"/>
    <n v="12"/>
    <x v="0"/>
    <n v="1"/>
    <s v="False"/>
    <m/>
    <m/>
    <n v="29000"/>
    <n v="28400"/>
    <m/>
    <n v="0"/>
    <n v="119.5147"/>
    <n v="0.56985379199999997"/>
    <n v="14490"/>
    <n v="26.95"/>
    <n v="12.34"/>
    <n v="85.63"/>
    <n v="7"/>
    <s v="Rp0"/>
    <n v="0"/>
  </r>
  <r>
    <x v="586"/>
    <n v="29250"/>
    <n v="707"/>
    <n v="12"/>
    <x v="0"/>
    <n v="2"/>
    <s v="False"/>
    <m/>
    <m/>
    <n v="29000"/>
    <n v="28400"/>
    <n v="30500"/>
    <n v="250"/>
    <n v="119.5147"/>
    <n v="0.56985379199999997"/>
    <n v="14393.299800000001"/>
    <n v="27.23"/>
    <n v="5.63"/>
    <n v="84.56"/>
    <n v="8"/>
    <s v="Rp250"/>
    <n v="0.86"/>
  </r>
  <r>
    <x v="587"/>
    <n v="28650"/>
    <n v="708"/>
    <n v="12"/>
    <x v="0"/>
    <n v="3"/>
    <s v="False"/>
    <m/>
    <m/>
    <n v="29250"/>
    <n v="28400"/>
    <n v="29750"/>
    <n v="-600"/>
    <n v="119.5147"/>
    <n v="0.56985379199999997"/>
    <n v="14335"/>
    <n v="27.27"/>
    <n v="2.59"/>
    <n v="84.74"/>
    <n v="9"/>
    <s v="-Rp600"/>
    <n v="-2.0499999999999998"/>
  </r>
  <r>
    <x v="588"/>
    <n v="28650"/>
    <n v="709"/>
    <n v="12"/>
    <x v="0"/>
    <n v="4"/>
    <s v="False"/>
    <m/>
    <m/>
    <n v="28650"/>
    <n v="28500"/>
    <n v="29750"/>
    <n v="0"/>
    <n v="119.5147"/>
    <n v="0.56985379199999997"/>
    <n v="14297.400390000001"/>
    <n v="27.5"/>
    <n v="1.79"/>
    <n v="84.62"/>
    <n v="10"/>
    <s v="Rp0"/>
    <n v="0"/>
  </r>
  <r>
    <x v="589"/>
    <n v="28650"/>
    <n v="710"/>
    <n v="12"/>
    <x v="0"/>
    <n v="5"/>
    <s v="False"/>
    <m/>
    <m/>
    <n v="28650"/>
    <m/>
    <n v="29750"/>
    <n v="0"/>
    <n v="119.5147"/>
    <n v="0.56985379199999997"/>
    <n v="14297.400390000001"/>
    <n v="27.39"/>
    <n v="4.74"/>
    <n v="85.69"/>
    <n v="11"/>
    <s v="Rp0"/>
    <n v="0"/>
  </r>
  <r>
    <x v="590"/>
    <n v="28650"/>
    <n v="711"/>
    <n v="12"/>
    <x v="0"/>
    <n v="6"/>
    <s v="False"/>
    <n v="28835.714285714286"/>
    <m/>
    <n v="28650"/>
    <m/>
    <n v="29500"/>
    <n v="0"/>
    <n v="119.5147"/>
    <n v="0.56985379199999997"/>
    <n v="14297.400390000001"/>
    <n v="27.2"/>
    <n v="6.13"/>
    <n v="85.73"/>
    <n v="12"/>
    <s v="Rp0"/>
    <n v="0"/>
  </r>
  <r>
    <x v="591"/>
    <n v="32400"/>
    <n v="712"/>
    <n v="12"/>
    <x v="0"/>
    <n v="0"/>
    <s v="False"/>
    <n v="29321.428571428572"/>
    <m/>
    <n v="28650"/>
    <n v="29000"/>
    <n v="29500"/>
    <n v="3750"/>
    <n v="119.5147"/>
    <n v="0.56985379199999997"/>
    <n v="14351.900390000001"/>
    <n v="26.89"/>
    <n v="3.23"/>
    <n v="85.68"/>
    <n v="13"/>
    <s v="Rp3750"/>
    <n v="13.09"/>
  </r>
  <r>
    <x v="592"/>
    <n v="32650"/>
    <n v="713"/>
    <n v="12"/>
    <x v="0"/>
    <n v="1"/>
    <s v="False"/>
    <n v="29842.857142857141"/>
    <m/>
    <n v="32400"/>
    <n v="29000"/>
    <n v="29500"/>
    <n v="250"/>
    <n v="119.5147"/>
    <n v="0.56985379199999997"/>
    <n v="14324.700199999999"/>
    <n v="26.78"/>
    <n v="6.23"/>
    <n v="87.21"/>
    <n v="14"/>
    <s v="Rp250"/>
    <n v="0.77"/>
  </r>
  <r>
    <x v="593"/>
    <n v="32900"/>
    <n v="714"/>
    <n v="12"/>
    <x v="0"/>
    <n v="2"/>
    <s v="False"/>
    <n v="30364.285714285714"/>
    <m/>
    <n v="32650"/>
    <n v="29250"/>
    <n v="29750"/>
    <n v="250"/>
    <n v="119.5147"/>
    <n v="0.56985379199999997"/>
    <n v="14342.5"/>
    <n v="27.05"/>
    <n v="2.93"/>
    <n v="83.54"/>
    <n v="15"/>
    <s v="Rp250"/>
    <n v="0.77"/>
  </r>
  <r>
    <x v="594"/>
    <n v="32650"/>
    <n v="715"/>
    <n v="12"/>
    <x v="0"/>
    <n v="3"/>
    <s v="False"/>
    <n v="30935.714285714286"/>
    <m/>
    <n v="32900"/>
    <n v="28650"/>
    <n v="29500"/>
    <n v="-250"/>
    <n v="119.5147"/>
    <n v="0.56985379199999997"/>
    <n v="14297.5"/>
    <n v="27.53"/>
    <n v="2.52"/>
    <n v="83.37"/>
    <n v="16"/>
    <s v="-Rp250"/>
    <n v="-0.76"/>
  </r>
  <r>
    <x v="595"/>
    <n v="32650"/>
    <n v="716"/>
    <n v="12"/>
    <x v="0"/>
    <n v="4"/>
    <s v="False"/>
    <n v="31507.142857142859"/>
    <m/>
    <n v="32650"/>
    <n v="28650"/>
    <n v="29500"/>
    <n v="0"/>
    <n v="119.5147"/>
    <n v="0.56985379199999997"/>
    <n v="14380"/>
    <n v="28.06"/>
    <n v="4.87"/>
    <n v="81.2"/>
    <n v="17"/>
    <s v="Rp0"/>
    <n v="0"/>
  </r>
  <r>
    <x v="596"/>
    <n v="32650"/>
    <n v="719"/>
    <n v="12"/>
    <x v="0"/>
    <n v="0"/>
    <s v="False"/>
    <m/>
    <m/>
    <m/>
    <n v="32400"/>
    <m/>
    <m/>
    <n v="119.5147"/>
    <n v="0.56985379199999997"/>
    <n v="14385.700199999999"/>
    <n v="26.46"/>
    <n v="27.47"/>
    <n v="86.62"/>
    <n v="20"/>
    <m/>
    <n v="0"/>
  </r>
  <r>
    <x v="597"/>
    <n v="33000"/>
    <n v="720"/>
    <n v="12"/>
    <x v="0"/>
    <n v="1"/>
    <s v="False"/>
    <m/>
    <m/>
    <n v="32650"/>
    <n v="32650"/>
    <m/>
    <n v="350"/>
    <n v="119.5147"/>
    <n v="0.56985379199999997"/>
    <n v="14388.700199999999"/>
    <n v="26.11"/>
    <n v="4.79"/>
    <n v="81.09"/>
    <n v="21"/>
    <s v="Rp350"/>
    <n v="1.07"/>
  </r>
  <r>
    <x v="598"/>
    <n v="33150"/>
    <n v="721"/>
    <n v="12"/>
    <x v="0"/>
    <n v="2"/>
    <s v="False"/>
    <m/>
    <m/>
    <n v="33000"/>
    <n v="32900"/>
    <n v="28400"/>
    <n v="150"/>
    <n v="119.5147"/>
    <n v="0.56985379199999997"/>
    <n v="14263.900390000001"/>
    <n v="26.05"/>
    <n v="6.32"/>
    <n v="87.16"/>
    <n v="22"/>
    <s v="Rp150"/>
    <n v="0.45"/>
  </r>
  <r>
    <x v="599"/>
    <n v="33900"/>
    <n v="722"/>
    <n v="12"/>
    <x v="0"/>
    <n v="3"/>
    <s v="False"/>
    <m/>
    <m/>
    <n v="33150"/>
    <n v="32650"/>
    <n v="28650"/>
    <n v="750"/>
    <n v="119.5147"/>
    <n v="0.56985379199999997"/>
    <n v="14193.799800000001"/>
    <n v="26.01"/>
    <n v="16.25"/>
    <n v="85.43"/>
    <n v="23"/>
    <s v="Rp750"/>
    <n v="2.2599999999999998"/>
  </r>
  <r>
    <x v="600"/>
    <n v="33900"/>
    <n v="723"/>
    <n v="12"/>
    <x v="0"/>
    <n v="4"/>
    <s v="False"/>
    <m/>
    <m/>
    <n v="33900"/>
    <n v="32650"/>
    <n v="28650"/>
    <n v="0"/>
    <n v="119.5147"/>
    <n v="0.56985379199999997"/>
    <n v="14167.799800000001"/>
    <n v="26.44"/>
    <n v="8.15"/>
    <n v="84.71"/>
    <n v="24"/>
    <s v="Rp0"/>
    <n v="0"/>
  </r>
  <r>
    <x v="601"/>
    <n v="33900"/>
    <n v="726"/>
    <n v="12"/>
    <x v="0"/>
    <n v="0"/>
    <s v="False"/>
    <m/>
    <m/>
    <m/>
    <n v="32650"/>
    <n v="28650"/>
    <m/>
    <n v="119.5147"/>
    <n v="0.56985379199999997"/>
    <n v="14189.299800000001"/>
    <n v="26.24"/>
    <n v="10.71"/>
    <n v="87.26"/>
    <n v="27"/>
    <s v="Rp0"/>
    <n v="0"/>
  </r>
  <r>
    <x v="602"/>
    <n v="33650"/>
    <n v="727"/>
    <n v="12"/>
    <x v="0"/>
    <n v="1"/>
    <s v="False"/>
    <m/>
    <m/>
    <n v="33900"/>
    <n v="33000"/>
    <n v="28650"/>
    <n v="-250"/>
    <n v="119.5147"/>
    <n v="0.56985379199999997"/>
    <n v="14220"/>
    <n v="26.04"/>
    <n v="12.06"/>
    <n v="83.25"/>
    <n v="28"/>
    <s v="-Rp250"/>
    <n v="-0.74"/>
  </r>
  <r>
    <x v="603"/>
    <n v="33650"/>
    <n v="728"/>
    <n v="12"/>
    <x v="0"/>
    <n v="2"/>
    <s v="False"/>
    <m/>
    <m/>
    <n v="33650"/>
    <n v="33150"/>
    <n v="28650"/>
    <n v="0"/>
    <n v="119.5147"/>
    <n v="0.56985379199999997"/>
    <n v="14238.200199999999"/>
    <n v="26.42"/>
    <n v="3.47"/>
    <n v="82.34"/>
    <n v="29"/>
    <s v="Rp0"/>
    <n v="0"/>
  </r>
  <r>
    <x v="604"/>
    <n v="33650"/>
    <n v="729"/>
    <n v="12"/>
    <x v="0"/>
    <n v="3"/>
    <s v="False"/>
    <m/>
    <m/>
    <n v="33650"/>
    <n v="33900"/>
    <n v="28400"/>
    <n v="0"/>
    <n v="119.5147"/>
    <n v="0.56985379199999997"/>
    <n v="14237"/>
    <n v="26.38"/>
    <n v="5.34"/>
    <n v="84.88"/>
    <n v="30"/>
    <s v="Rp0"/>
    <n v="0"/>
  </r>
  <r>
    <x v="605"/>
    <n v="33400"/>
    <n v="730"/>
    <n v="12"/>
    <x v="0"/>
    <n v="4"/>
    <s v="False"/>
    <m/>
    <m/>
    <n v="33650"/>
    <n v="33900"/>
    <n v="28400"/>
    <n v="-250"/>
    <n v="119.5147"/>
    <n v="0.56985379199999997"/>
    <n v="14285.200199999999"/>
    <n v="25.93"/>
    <n v="17.350000000000001"/>
    <n v="86.57"/>
    <n v="31"/>
    <s v="-Rp250"/>
    <n v="-0.74"/>
  </r>
  <r>
    <x v="606"/>
    <n v="33400"/>
    <n v="731"/>
    <n v="1"/>
    <x v="0"/>
    <n v="5"/>
    <s v="True"/>
    <m/>
    <m/>
    <n v="33400"/>
    <m/>
    <n v="28400"/>
    <n v="0"/>
    <n v="120.1808"/>
    <n v="0.55733729799999998"/>
    <n v="14285.200199999999"/>
    <n v="25.76"/>
    <n v="15.18"/>
    <n v="87.21"/>
    <n v="1"/>
    <s v="-Rp250"/>
    <n v="-0.74"/>
  </r>
  <r>
    <x v="607"/>
    <n v="33400"/>
    <n v="732"/>
    <n v="1"/>
    <x v="0"/>
    <n v="6"/>
    <s v="False"/>
    <n v="33578.571428571428"/>
    <m/>
    <n v="33400"/>
    <m/>
    <n v="28500"/>
    <n v="0"/>
    <n v="120.1808"/>
    <n v="0.55733729799999998"/>
    <n v="14285.200199999999"/>
    <n v="26.14"/>
    <n v="9.51"/>
    <n v="86.5"/>
    <n v="2"/>
    <s v="-Rp250"/>
    <n v="-0.74"/>
  </r>
  <r>
    <x v="608"/>
    <n v="33400"/>
    <n v="733"/>
    <n v="1"/>
    <x v="0"/>
    <n v="0"/>
    <s v="False"/>
    <n v="33507.142857142855"/>
    <m/>
    <n v="33400"/>
    <n v="33900"/>
    <m/>
    <n v="0"/>
    <n v="120.1808"/>
    <n v="0.55733729799999998"/>
    <n v="14215"/>
    <n v="26.01"/>
    <n v="6.89"/>
    <n v="84.26"/>
    <n v="3"/>
    <s v="Rp0"/>
    <n v="0"/>
  </r>
  <r>
    <x v="609"/>
    <n v="34250"/>
    <n v="734"/>
    <n v="1"/>
    <x v="0"/>
    <n v="1"/>
    <s v="False"/>
    <n v="33592.857142857145"/>
    <m/>
    <n v="33400"/>
    <n v="33650"/>
    <m/>
    <n v="850"/>
    <n v="120.1808"/>
    <n v="0.55733729799999998"/>
    <n v="14283.599609999999"/>
    <n v="26.01"/>
    <n v="7.85"/>
    <n v="84.39"/>
    <n v="4"/>
    <s v="Rp850"/>
    <n v="2.54"/>
  </r>
  <r>
    <x v="610"/>
    <n v="34250"/>
    <n v="735"/>
    <n v="1"/>
    <x v="0"/>
    <n v="2"/>
    <s v="False"/>
    <n v="33678.571428571428"/>
    <m/>
    <n v="34250"/>
    <n v="33650"/>
    <n v="29000"/>
    <n v="0"/>
    <n v="120.1808"/>
    <n v="0.55733729799999998"/>
    <n v="14385.5"/>
    <n v="25.95"/>
    <n v="9.61"/>
    <n v="85.25"/>
    <n v="5"/>
    <s v="Rp0"/>
    <n v="0"/>
  </r>
  <r>
    <x v="611"/>
    <n v="34650"/>
    <n v="736"/>
    <n v="1"/>
    <x v="0"/>
    <n v="3"/>
    <s v="False"/>
    <n v="33821.428571428572"/>
    <m/>
    <n v="34250"/>
    <n v="33650"/>
    <n v="29000"/>
    <n v="400"/>
    <n v="120.1808"/>
    <n v="0.55733729799999998"/>
    <n v="14446.5"/>
    <n v="26.45"/>
    <n v="9.2100000000000009"/>
    <n v="85.42"/>
    <n v="6"/>
    <s v="Rp400"/>
    <n v="1.17"/>
  </r>
  <r>
    <x v="612"/>
    <n v="35650"/>
    <n v="737"/>
    <n v="1"/>
    <x v="0"/>
    <n v="4"/>
    <s v="False"/>
    <n v="34142.857142857145"/>
    <m/>
    <n v="34650"/>
    <n v="33400"/>
    <n v="29250"/>
    <n v="1000"/>
    <n v="120.1808"/>
    <n v="0.55733729799999998"/>
    <n v="14408"/>
    <n v="26.5"/>
    <n v="7.06"/>
    <n v="86.09"/>
    <n v="7"/>
    <s v="Rp1000"/>
    <n v="2.89"/>
  </r>
  <r>
    <x v="613"/>
    <n v="35650"/>
    <n v="738"/>
    <n v="1"/>
    <x v="0"/>
    <n v="5"/>
    <s v="False"/>
    <n v="34464.285714285717"/>
    <m/>
    <n v="35650"/>
    <n v="33400"/>
    <n v="28650"/>
    <n v="0"/>
    <n v="120.1808"/>
    <n v="0.55733729799999998"/>
    <n v="14408"/>
    <n v="26.13"/>
    <n v="1.54"/>
    <n v="86.21"/>
    <n v="8"/>
    <s v="Rp1000"/>
    <n v="2.89"/>
  </r>
  <r>
    <x v="614"/>
    <n v="35650"/>
    <n v="739"/>
    <n v="1"/>
    <x v="0"/>
    <n v="6"/>
    <s v="False"/>
    <n v="34785.714285714283"/>
    <m/>
    <n v="35650"/>
    <n v="33400"/>
    <n v="28650"/>
    <n v="0"/>
    <n v="120.1808"/>
    <n v="0.55733729799999998"/>
    <n v="14408"/>
    <n v="26.55"/>
    <n v="1.33"/>
    <n v="83.64"/>
    <n v="9"/>
    <s v="Rp1000"/>
    <n v="2.89"/>
  </r>
  <r>
    <x v="615"/>
    <n v="41150"/>
    <n v="740"/>
    <n v="1"/>
    <x v="0"/>
    <n v="0"/>
    <s v="False"/>
    <n v="35892.857142857145"/>
    <m/>
    <n v="35650"/>
    <n v="33400"/>
    <n v="28650"/>
    <n v="5500"/>
    <n v="120.1808"/>
    <n v="0.55733729799999998"/>
    <n v="14318.5"/>
    <n v="26.87"/>
    <n v="0.59"/>
    <n v="82.4"/>
    <n v="10"/>
    <s v="Rp5500"/>
    <n v="15.43"/>
  </r>
  <r>
    <x v="616"/>
    <n v="39650"/>
    <n v="741"/>
    <n v="1"/>
    <x v="0"/>
    <n v="1"/>
    <s v="False"/>
    <n v="36664.285714285717"/>
    <m/>
    <n v="41150"/>
    <n v="34250"/>
    <n v="28650"/>
    <n v="-1500"/>
    <n v="120.1808"/>
    <n v="0.55733729799999998"/>
    <n v="14313"/>
    <n v="26.76"/>
    <n v="4.66"/>
    <n v="84.36"/>
    <n v="11"/>
    <s v="-Rp1500"/>
    <n v="-3.65"/>
  </r>
  <r>
    <x v="617"/>
    <n v="39000"/>
    <n v="742"/>
    <n v="1"/>
    <x v="0"/>
    <n v="2"/>
    <s v="False"/>
    <n v="37342.857142857145"/>
    <m/>
    <n v="39650"/>
    <n v="34250"/>
    <n v="32400"/>
    <n v="-650"/>
    <n v="120.1808"/>
    <n v="0.55733729799999998"/>
    <n v="14277"/>
    <n v="26.7"/>
    <n v="3.74"/>
    <n v="83.41"/>
    <n v="12"/>
    <s v="-Rp650"/>
    <n v="-1.64"/>
  </r>
  <r>
    <x v="618"/>
    <n v="39650"/>
    <n v="743"/>
    <n v="1"/>
    <x v="0"/>
    <n v="3"/>
    <s v="False"/>
    <n v="38057.142857142855"/>
    <m/>
    <n v="39000"/>
    <n v="34650"/>
    <n v="32650"/>
    <n v="650"/>
    <n v="120.1808"/>
    <n v="0.55733729799999998"/>
    <n v="14298.900390000001"/>
    <n v="27.06"/>
    <n v="1.25"/>
    <n v="81.819999999999993"/>
    <n v="13"/>
    <s v="Rp650"/>
    <n v="1.67"/>
  </r>
  <r>
    <x v="619"/>
    <n v="39650"/>
    <n v="744"/>
    <n v="1"/>
    <x v="0"/>
    <n v="4"/>
    <s v="False"/>
    <n v="38628.571428571428"/>
    <m/>
    <n v="39650"/>
    <n v="35650"/>
    <n v="32900"/>
    <n v="0"/>
    <n v="120.1808"/>
    <n v="0.55733729799999998"/>
    <n v="14276"/>
    <n v="26.38"/>
    <n v="5.78"/>
    <n v="87.17"/>
    <n v="14"/>
    <s v="Rp0"/>
    <n v="0"/>
  </r>
  <r>
    <x v="620"/>
    <n v="39000"/>
    <n v="747"/>
    <n v="1"/>
    <x v="0"/>
    <n v="0"/>
    <s v="False"/>
    <m/>
    <m/>
    <m/>
    <n v="41150"/>
    <m/>
    <m/>
    <n v="120.1808"/>
    <n v="0.55733729799999998"/>
    <n v="14314.5"/>
    <n v="25.32"/>
    <n v="15.1"/>
    <n v="84.46"/>
    <n v="17"/>
    <m/>
    <n v="0"/>
  </r>
  <r>
    <x v="621"/>
    <n v="38400"/>
    <n v="748"/>
    <n v="1"/>
    <x v="0"/>
    <n v="1"/>
    <s v="False"/>
    <m/>
    <m/>
    <n v="39000"/>
    <n v="39650"/>
    <m/>
    <n v="-600"/>
    <n v="120.1808"/>
    <n v="0.55733729799999998"/>
    <n v="14349.700199999999"/>
    <n v="25.64"/>
    <n v="7.08"/>
    <n v="84.68"/>
    <n v="18"/>
    <s v="-Rp600"/>
    <n v="-1.54"/>
  </r>
  <r>
    <x v="622"/>
    <n v="38400"/>
    <n v="749"/>
    <n v="1"/>
    <x v="0"/>
    <n v="2"/>
    <s v="False"/>
    <m/>
    <m/>
    <n v="38400"/>
    <n v="39000"/>
    <n v="32650"/>
    <n v="0"/>
    <n v="120.1808"/>
    <n v="0.55733729799999998"/>
    <n v="14382.299800000001"/>
    <n v="25.74"/>
    <n v="8.91"/>
    <n v="86.12"/>
    <n v="19"/>
    <s v="Rp0"/>
    <n v="0"/>
  </r>
  <r>
    <x v="623"/>
    <n v="38400"/>
    <n v="750"/>
    <n v="1"/>
    <x v="0"/>
    <n v="3"/>
    <s v="False"/>
    <m/>
    <m/>
    <n v="38400"/>
    <n v="39650"/>
    <n v="33000"/>
    <n v="0"/>
    <n v="120.1808"/>
    <n v="0.55733729799999998"/>
    <n v="14362.799800000001"/>
    <n v="26.05"/>
    <n v="13.9"/>
    <n v="83"/>
    <n v="20"/>
    <s v="Rp0"/>
    <n v="0"/>
  </r>
  <r>
    <x v="624"/>
    <n v="37400"/>
    <n v="751"/>
    <n v="1"/>
    <x v="0"/>
    <n v="4"/>
    <s v="False"/>
    <m/>
    <m/>
    <n v="38400"/>
    <n v="39650"/>
    <n v="33150"/>
    <n v="-1000"/>
    <n v="120.1808"/>
    <n v="0.55733729799999998"/>
    <n v="14343"/>
    <n v="25.31"/>
    <n v="28.78"/>
    <n v="87.54"/>
    <n v="21"/>
    <s v="-Rp1000"/>
    <n v="-2.6"/>
  </r>
  <r>
    <x v="625"/>
    <n v="37400"/>
    <n v="752"/>
    <n v="1"/>
    <x v="0"/>
    <n v="5"/>
    <s v="False"/>
    <m/>
    <m/>
    <n v="37400"/>
    <m/>
    <n v="33900"/>
    <n v="0"/>
    <n v="120.1808"/>
    <n v="0.55733729799999998"/>
    <n v="14343"/>
    <n v="26.17"/>
    <n v="3.76"/>
    <n v="85.51"/>
    <n v="22"/>
    <s v="-Rp1000"/>
    <n v="-2.6"/>
  </r>
  <r>
    <x v="626"/>
    <n v="36150"/>
    <n v="754"/>
    <n v="1"/>
    <x v="0"/>
    <n v="0"/>
    <s v="False"/>
    <m/>
    <m/>
    <m/>
    <n v="39000"/>
    <m/>
    <m/>
    <n v="120.1808"/>
    <n v="0.55733729799999998"/>
    <n v="14329.700199999999"/>
    <n v="26.64"/>
    <n v="2"/>
    <n v="85.41"/>
    <n v="24"/>
    <s v="-Rp1250"/>
    <n v="-3.34"/>
  </r>
  <r>
    <x v="627"/>
    <n v="35900"/>
    <n v="755"/>
    <n v="1"/>
    <x v="0"/>
    <n v="1"/>
    <s v="False"/>
    <m/>
    <m/>
    <n v="36150"/>
    <n v="38400"/>
    <m/>
    <n v="-250"/>
    <n v="120.1808"/>
    <n v="0.55733729799999998"/>
    <n v="14365"/>
    <n v="26.92"/>
    <n v="5.39"/>
    <n v="83.85"/>
    <n v="25"/>
    <s v="-Rp250"/>
    <n v="-0.69"/>
  </r>
  <r>
    <x v="628"/>
    <n v="35900"/>
    <n v="756"/>
    <n v="1"/>
    <x v="0"/>
    <n v="2"/>
    <s v="False"/>
    <m/>
    <m/>
    <n v="35900"/>
    <n v="38400"/>
    <n v="33900"/>
    <n v="0"/>
    <n v="120.1808"/>
    <n v="0.55733729799999998"/>
    <n v="14330.5"/>
    <n v="26.92"/>
    <n v="2.94"/>
    <n v="84.18"/>
    <n v="26"/>
    <s v="Rp0"/>
    <n v="0"/>
  </r>
  <r>
    <x v="629"/>
    <n v="35250"/>
    <n v="757"/>
    <n v="1"/>
    <x v="0"/>
    <n v="3"/>
    <s v="False"/>
    <m/>
    <m/>
    <n v="35900"/>
    <n v="38400"/>
    <n v="33650"/>
    <n v="-650"/>
    <n v="120.1808"/>
    <n v="0.55733729799999998"/>
    <n v="14366.400390000001"/>
    <n v="26.64"/>
    <n v="3.13"/>
    <n v="85.44"/>
    <n v="27"/>
    <s v="-Rp650"/>
    <n v="-1.81"/>
  </r>
  <r>
    <x v="630"/>
    <n v="35150"/>
    <n v="758"/>
    <n v="1"/>
    <x v="0"/>
    <n v="4"/>
    <s v="False"/>
    <m/>
    <m/>
    <n v="35250"/>
    <n v="37400"/>
    <n v="33650"/>
    <n v="-100"/>
    <n v="120.1808"/>
    <n v="0.55733729799999998"/>
    <n v="14389.200199999999"/>
    <n v="26.68"/>
    <n v="3.85"/>
    <n v="86.16"/>
    <n v="28"/>
    <s v="-Rp100"/>
    <n v="-0.28000000000000003"/>
  </r>
  <r>
    <x v="631"/>
    <n v="35150"/>
    <n v="759"/>
    <n v="1"/>
    <x v="0"/>
    <n v="5"/>
    <s v="False"/>
    <m/>
    <m/>
    <n v="35150"/>
    <n v="37400"/>
    <n v="33650"/>
    <n v="0"/>
    <n v="120.1808"/>
    <n v="0.55733729799999998"/>
    <n v="14389.200199999999"/>
    <n v="26.61"/>
    <n v="1.85"/>
    <n v="84.05"/>
    <n v="29"/>
    <s v="-Rp100"/>
    <n v="-0.28000000000000003"/>
  </r>
  <r>
    <x v="632"/>
    <n v="35150"/>
    <n v="760"/>
    <n v="1"/>
    <x v="0"/>
    <n v="6"/>
    <s v="False"/>
    <n v="35521.428571428572"/>
    <m/>
    <n v="35150"/>
    <m/>
    <n v="33400"/>
    <n v="0"/>
    <n v="120.1808"/>
    <n v="0.55733729799999998"/>
    <n v="14389.200199999999"/>
    <n v="26.44"/>
    <n v="0.52"/>
    <n v="81.599999999999994"/>
    <n v="30"/>
    <s v="-Rp100"/>
    <n v="-0.28000000000000003"/>
  </r>
  <r>
    <x v="633"/>
    <n v="35150"/>
    <n v="761"/>
    <n v="1"/>
    <x v="0"/>
    <n v="0"/>
    <s v="False"/>
    <n v="35378.571428571428"/>
    <m/>
    <n v="35150"/>
    <n v="36150"/>
    <n v="33400"/>
    <n v="0"/>
    <n v="120.1808"/>
    <n v="0.55733729799999998"/>
    <n v="14381.599609999999"/>
    <n v="26.49"/>
    <n v="3.26"/>
    <n v="83.84"/>
    <n v="31"/>
    <s v="Rp0"/>
    <n v="0"/>
  </r>
  <r>
    <x v="634"/>
    <n v="36250"/>
    <n v="763"/>
    <n v="2"/>
    <x v="0"/>
    <n v="2"/>
    <s v="False"/>
    <m/>
    <m/>
    <m/>
    <n v="35900"/>
    <n v="33400"/>
    <m/>
    <n v="120.15860000000001"/>
    <n v="-1.8472169E-2"/>
    <n v="14322.299800000001"/>
    <n v="25.9"/>
    <n v="3.09"/>
    <n v="80.569999999999993"/>
    <n v="2"/>
    <m/>
    <n v="0"/>
  </r>
  <r>
    <x v="635"/>
    <n v="37400"/>
    <n v="764"/>
    <n v="2"/>
    <x v="0"/>
    <n v="3"/>
    <s v="False"/>
    <m/>
    <m/>
    <n v="36250"/>
    <n v="35250"/>
    <n v="34250"/>
    <n v="1150"/>
    <n v="120.15860000000001"/>
    <n v="-1.8472169E-2"/>
    <n v="14363.799800000001"/>
    <n v="26.03"/>
    <n v="13.94"/>
    <n v="87.08"/>
    <n v="3"/>
    <s v="Rp1150"/>
    <n v="3.17"/>
  </r>
  <r>
    <x v="636"/>
    <n v="37400"/>
    <n v="765"/>
    <n v="2"/>
    <x v="0"/>
    <n v="4"/>
    <s v="False"/>
    <m/>
    <m/>
    <n v="37400"/>
    <n v="35150"/>
    <n v="34250"/>
    <n v="0"/>
    <n v="120.15860000000001"/>
    <n v="-1.8472169E-2"/>
    <n v="14377"/>
    <n v="25.93"/>
    <n v="41.44"/>
    <n v="89.49"/>
    <n v="4"/>
    <s v="Rp0"/>
    <n v="0"/>
  </r>
  <r>
    <x v="637"/>
    <n v="37400"/>
    <n v="766"/>
    <n v="2"/>
    <x v="0"/>
    <n v="5"/>
    <s v="False"/>
    <m/>
    <m/>
    <n v="37400"/>
    <n v="35150"/>
    <n v="34650"/>
    <n v="0"/>
    <n v="120.15860000000001"/>
    <n v="-1.8472169E-2"/>
    <n v="14377"/>
    <n v="26.42"/>
    <n v="6.2"/>
    <n v="86.66"/>
    <n v="5"/>
    <s v="Rp0"/>
    <n v="0"/>
  </r>
  <r>
    <x v="638"/>
    <n v="37400"/>
    <n v="767"/>
    <n v="2"/>
    <x v="0"/>
    <n v="6"/>
    <s v="False"/>
    <m/>
    <m/>
    <n v="37400"/>
    <n v="35150"/>
    <n v="35650"/>
    <n v="0"/>
    <n v="120.15860000000001"/>
    <n v="-1.8472169E-2"/>
    <n v="14377"/>
    <n v="27.13"/>
    <n v="4.49"/>
    <n v="84.6"/>
    <n v="6"/>
    <s v="Rp0"/>
    <n v="0"/>
  </r>
  <r>
    <x v="639"/>
    <n v="37900"/>
    <n v="768"/>
    <n v="2"/>
    <x v="0"/>
    <n v="0"/>
    <s v="False"/>
    <m/>
    <m/>
    <n v="37400"/>
    <n v="35150"/>
    <n v="35650"/>
    <n v="500"/>
    <n v="120.15860000000001"/>
    <n v="-1.8472169E-2"/>
    <n v="14400.400390000001"/>
    <n v="27.23"/>
    <n v="6.58"/>
    <n v="83.01"/>
    <n v="7"/>
    <s v="Rp500"/>
    <n v="1.34"/>
  </r>
  <r>
    <x v="640"/>
    <n v="37400"/>
    <n v="769"/>
    <n v="2"/>
    <x v="0"/>
    <n v="1"/>
    <s v="False"/>
    <n v="37307.142857142855"/>
    <m/>
    <n v="37900"/>
    <m/>
    <n v="35650"/>
    <n v="-500"/>
    <n v="120.15860000000001"/>
    <n v="-1.8472169E-2"/>
    <n v="14405.599609999999"/>
    <n v="26.82"/>
    <n v="2.4900000000000002"/>
    <n v="82.88"/>
    <n v="8"/>
    <s v="-Rp500"/>
    <n v="-1.32"/>
  </r>
  <r>
    <x v="641"/>
    <n v="38150"/>
    <n v="770"/>
    <n v="2"/>
    <x v="0"/>
    <n v="2"/>
    <s v="False"/>
    <n v="37578.571428571428"/>
    <m/>
    <n v="37400"/>
    <n v="36250"/>
    <n v="41150"/>
    <n v="750"/>
    <n v="120.15860000000001"/>
    <n v="-1.8472169E-2"/>
    <n v="14379.5"/>
    <n v="25.71"/>
    <n v="23.07"/>
    <n v="87.69"/>
    <n v="9"/>
    <s v="Rp750"/>
    <n v="2.0099999999999998"/>
  </r>
  <r>
    <x v="642"/>
    <n v="37650"/>
    <n v="771"/>
    <n v="2"/>
    <x v="0"/>
    <n v="3"/>
    <s v="False"/>
    <n v="37614.285714285717"/>
    <m/>
    <n v="38150"/>
    <n v="37400"/>
    <n v="39650"/>
    <n v="-500"/>
    <n v="120.15860000000001"/>
    <n v="-1.8472169E-2"/>
    <n v="14334.200199999999"/>
    <n v="26.35"/>
    <n v="4.53"/>
    <n v="84.4"/>
    <n v="10"/>
    <s v="-Rp500"/>
    <n v="-1.31"/>
  </r>
  <r>
    <x v="643"/>
    <n v="37650"/>
    <n v="772"/>
    <n v="2"/>
    <x v="0"/>
    <n v="4"/>
    <s v="False"/>
    <n v="37650"/>
    <m/>
    <n v="37650"/>
    <n v="37400"/>
    <n v="39000"/>
    <n v="0"/>
    <n v="120.15860000000001"/>
    <n v="-1.8472169E-2"/>
    <n v="14328"/>
    <n v="26.72"/>
    <n v="8.41"/>
    <n v="85.52"/>
    <n v="11"/>
    <s v="Rp0"/>
    <n v="0"/>
  </r>
  <r>
    <x v="644"/>
    <n v="37650"/>
    <n v="773"/>
    <n v="2"/>
    <x v="0"/>
    <n v="5"/>
    <s v="False"/>
    <n v="37685.714285714283"/>
    <m/>
    <n v="37650"/>
    <n v="37400"/>
    <n v="39650"/>
    <n v="0"/>
    <n v="120.15860000000001"/>
    <n v="-1.8472169E-2"/>
    <n v="14328"/>
    <n v="26.33"/>
    <n v="8.86"/>
    <n v="85.18"/>
    <n v="12"/>
    <s v="Rp0"/>
    <n v="0"/>
  </r>
  <r>
    <x v="645"/>
    <n v="37650"/>
    <n v="774"/>
    <n v="2"/>
    <x v="0"/>
    <n v="6"/>
    <s v="False"/>
    <n v="37721.428571428572"/>
    <m/>
    <n v="37650"/>
    <n v="37400"/>
    <n v="39650"/>
    <n v="0"/>
    <n v="120.15860000000001"/>
    <n v="-1.8472169E-2"/>
    <n v="14328"/>
    <n v="26.17"/>
    <n v="6.22"/>
    <n v="84.41"/>
    <n v="13"/>
    <s v="Rp0"/>
    <n v="0"/>
  </r>
  <r>
    <x v="646"/>
    <n v="37650"/>
    <n v="775"/>
    <n v="2"/>
    <x v="0"/>
    <n v="0"/>
    <s v="False"/>
    <n v="37685.714285714283"/>
    <m/>
    <n v="37650"/>
    <n v="37900"/>
    <m/>
    <n v="0"/>
    <n v="120.15860000000001"/>
    <n v="-1.8472169E-2"/>
    <n v="14344.700199999999"/>
    <n v="26.47"/>
    <n v="3.26"/>
    <n v="82.49"/>
    <n v="14"/>
    <s v="Rp0"/>
    <n v="0"/>
  </r>
  <r>
    <x v="647"/>
    <n v="37650"/>
    <n v="776"/>
    <n v="2"/>
    <x v="0"/>
    <n v="1"/>
    <s v="False"/>
    <n v="37721.428571428572"/>
    <m/>
    <n v="37650"/>
    <n v="37400"/>
    <m/>
    <n v="0"/>
    <n v="120.15860000000001"/>
    <n v="-1.8472169E-2"/>
    <n v="14303"/>
    <n v="26.4"/>
    <n v="4.47"/>
    <n v="86.13"/>
    <n v="15"/>
    <s v="Rp0"/>
    <n v="0"/>
  </r>
  <r>
    <x v="648"/>
    <n v="38000"/>
    <n v="777"/>
    <n v="2"/>
    <x v="0"/>
    <n v="2"/>
    <s v="False"/>
    <n v="37700"/>
    <m/>
    <n v="37650"/>
    <n v="38150"/>
    <n v="39000"/>
    <n v="350"/>
    <n v="120.15860000000001"/>
    <n v="-1.8472169E-2"/>
    <n v="14260.599609999999"/>
    <n v="25.99"/>
    <n v="15.84"/>
    <n v="84.21"/>
    <n v="16"/>
    <s v="Rp350"/>
    <n v="0.93"/>
  </r>
  <r>
    <x v="649"/>
    <n v="37900"/>
    <n v="778"/>
    <n v="2"/>
    <x v="0"/>
    <n v="3"/>
    <s v="False"/>
    <n v="37735.714285714283"/>
    <m/>
    <n v="38000"/>
    <n v="37650"/>
    <n v="38400"/>
    <n v="-100"/>
    <n v="120.15860000000001"/>
    <n v="-1.8472169E-2"/>
    <n v="14274.400390000001"/>
    <n v="25.74"/>
    <n v="26.77"/>
    <n v="84.74"/>
    <n v="17"/>
    <s v="-Rp100"/>
    <n v="-0.26"/>
  </r>
  <r>
    <x v="650"/>
    <n v="38250"/>
    <n v="779"/>
    <n v="2"/>
    <x v="0"/>
    <n v="4"/>
    <s v="False"/>
    <n v="37821.428571428572"/>
    <m/>
    <n v="37900"/>
    <n v="37650"/>
    <n v="38400"/>
    <n v="350"/>
    <n v="120.15860000000001"/>
    <n v="-1.8472169E-2"/>
    <n v="14348"/>
    <n v="25.81"/>
    <n v="28.28"/>
    <n v="87.75"/>
    <n v="18"/>
    <s v="Rp350"/>
    <n v="0.92"/>
  </r>
  <r>
    <x v="651"/>
    <n v="38500"/>
    <n v="782"/>
    <n v="2"/>
    <x v="0"/>
    <n v="0"/>
    <s v="False"/>
    <m/>
    <m/>
    <m/>
    <n v="37650"/>
    <n v="37400"/>
    <m/>
    <n v="120.15860000000001"/>
    <n v="-1.8472169E-2"/>
    <n v="14365.900390000001"/>
    <n v="25.48"/>
    <n v="15.37"/>
    <n v="88.05"/>
    <n v="21"/>
    <m/>
    <n v="0"/>
  </r>
  <r>
    <x v="652"/>
    <n v="39500"/>
    <n v="783"/>
    <n v="2"/>
    <x v="0"/>
    <n v="1"/>
    <s v="False"/>
    <m/>
    <m/>
    <n v="38500"/>
    <n v="37650"/>
    <m/>
    <n v="1000"/>
    <n v="120.15860000000001"/>
    <n v="-1.8472169E-2"/>
    <n v="14355"/>
    <n v="24.99"/>
    <n v="10.98"/>
    <n v="86.12"/>
    <n v="22"/>
    <s v="Rp1000"/>
    <n v="2.6"/>
  </r>
  <r>
    <x v="653"/>
    <n v="40000"/>
    <n v="784"/>
    <n v="2"/>
    <x v="0"/>
    <n v="2"/>
    <s v="False"/>
    <m/>
    <m/>
    <n v="39500"/>
    <n v="38000"/>
    <n v="36150"/>
    <n v="500"/>
    <n v="120.15860000000001"/>
    <n v="-1.8472169E-2"/>
    <n v="14395"/>
    <n v="26.12"/>
    <n v="3.45"/>
    <n v="84.91"/>
    <n v="23"/>
    <s v="Rp500"/>
    <n v="1.27"/>
  </r>
  <r>
    <x v="654"/>
    <n v="40000"/>
    <n v="785"/>
    <n v="2"/>
    <x v="0"/>
    <n v="3"/>
    <s v="False"/>
    <m/>
    <m/>
    <n v="40000"/>
    <n v="37900"/>
    <n v="35900"/>
    <n v="0"/>
    <n v="120.15860000000001"/>
    <n v="-1.8472169E-2"/>
    <n v="14365"/>
    <n v="26.13"/>
    <n v="6.45"/>
    <n v="78.040000000000006"/>
    <n v="24"/>
    <s v="Rp0"/>
    <n v="0"/>
  </r>
  <r>
    <x v="655"/>
    <n v="40500"/>
    <n v="786"/>
    <n v="2"/>
    <x v="0"/>
    <n v="4"/>
    <s v="False"/>
    <m/>
    <m/>
    <n v="40000"/>
    <n v="38250"/>
    <n v="35900"/>
    <n v="500"/>
    <n v="120.15860000000001"/>
    <n v="-1.8472169E-2"/>
    <n v="14452.5"/>
    <n v="25.25"/>
    <n v="2.69"/>
    <n v="82.12"/>
    <n v="25"/>
    <s v="Rp500"/>
    <n v="1.25"/>
  </r>
  <r>
    <x v="656"/>
    <n v="40500"/>
    <n v="787"/>
    <n v="2"/>
    <x v="0"/>
    <n v="5"/>
    <s v="False"/>
    <m/>
    <m/>
    <n v="40500"/>
    <m/>
    <n v="35250"/>
    <n v="0"/>
    <n v="120.15860000000001"/>
    <n v="-1.8472169E-2"/>
    <n v="14452.5"/>
    <n v="25.76"/>
    <n v="4.2"/>
    <n v="85.73"/>
    <n v="26"/>
    <s v="Rp500"/>
    <n v="1.25"/>
  </r>
  <r>
    <x v="657"/>
    <n v="40500"/>
    <n v="788"/>
    <n v="2"/>
    <x v="0"/>
    <n v="6"/>
    <s v="False"/>
    <n v="39928.571428571428"/>
    <m/>
    <n v="40500"/>
    <m/>
    <n v="35150"/>
    <n v="0"/>
    <n v="120.15860000000001"/>
    <n v="-1.8472169E-2"/>
    <n v="14452.5"/>
    <n v="26.05"/>
    <n v="8.9700000000000006"/>
    <n v="87.06"/>
    <n v="27"/>
    <s v="Rp500"/>
    <n v="1.25"/>
  </r>
  <r>
    <x v="658"/>
    <n v="40500"/>
    <n v="789"/>
    <n v="2"/>
    <x v="0"/>
    <n v="0"/>
    <s v="False"/>
    <n v="40214.285714285717"/>
    <m/>
    <n v="40500"/>
    <n v="38500"/>
    <n v="35150"/>
    <n v="0"/>
    <n v="120.15860000000001"/>
    <n v="-1.8472169E-2"/>
    <n v="14334.200199999999"/>
    <n v="25.51"/>
    <n v="5.35"/>
    <n v="87.46"/>
    <n v="28"/>
    <s v="Rp500"/>
    <n v="1.25"/>
  </r>
  <r>
    <x v="659"/>
    <n v="39500"/>
    <n v="790"/>
    <n v="3"/>
    <x v="0"/>
    <n v="1"/>
    <s v="False"/>
    <n v="40214.285714285717"/>
    <m/>
    <n v="40500"/>
    <n v="39500"/>
    <n v="35150"/>
    <n v="-1000"/>
    <n v="120.94670000000001"/>
    <n v="0.655883141"/>
    <n v="14360"/>
    <n v="25.87"/>
    <n v="5.54"/>
    <n v="86.99"/>
    <n v="1"/>
    <m/>
    <n v="0"/>
  </r>
  <r>
    <x v="660"/>
    <n v="39500"/>
    <n v="791"/>
    <n v="3"/>
    <x v="0"/>
    <n v="2"/>
    <s v="False"/>
    <n v="40142.857142857145"/>
    <m/>
    <n v="39500"/>
    <n v="40000"/>
    <n v="35150"/>
    <n v="0"/>
    <n v="120.94670000000001"/>
    <n v="0.655883141"/>
    <n v="14425"/>
    <n v="26.5"/>
    <n v="4.5999999999999996"/>
    <n v="87.98"/>
    <n v="2"/>
    <s v="Rp0"/>
    <n v="0"/>
  </r>
  <r>
    <x v="661"/>
    <n v="39500"/>
    <n v="793"/>
    <n v="3"/>
    <x v="0"/>
    <n v="4"/>
    <s v="False"/>
    <m/>
    <m/>
    <m/>
    <n v="40500"/>
    <n v="36250"/>
    <m/>
    <n v="120.94670000000001"/>
    <n v="0.655883141"/>
    <n v="14358.400390000001"/>
    <n v="26.62"/>
    <n v="6.76"/>
    <n v="85.55"/>
    <n v="4"/>
    <m/>
    <n v="0"/>
  </r>
  <r>
    <x v="662"/>
    <n v="39500"/>
    <n v="794"/>
    <n v="3"/>
    <x v="0"/>
    <n v="5"/>
    <s v="False"/>
    <m/>
    <m/>
    <n v="39500"/>
    <n v="40500"/>
    <n v="37400"/>
    <n v="0"/>
    <n v="120.94670000000001"/>
    <n v="0.655883141"/>
    <n v="14358.400390000001"/>
    <n v="26.36"/>
    <n v="8.91"/>
    <n v="85.42"/>
    <n v="5"/>
    <m/>
    <n v="0"/>
  </r>
  <r>
    <x v="663"/>
    <n v="39500"/>
    <n v="795"/>
    <n v="3"/>
    <x v="0"/>
    <n v="6"/>
    <s v="False"/>
    <m/>
    <m/>
    <n v="39500"/>
    <n v="40500"/>
    <n v="37400"/>
    <n v="0"/>
    <n v="120.94670000000001"/>
    <n v="0.655883141"/>
    <n v="14358.400390000001"/>
    <n v="26.1"/>
    <n v="6.74"/>
    <n v="86.67"/>
    <n v="6"/>
    <m/>
    <n v="0"/>
  </r>
  <r>
    <x v="664"/>
    <n v="40150"/>
    <n v="796"/>
    <n v="3"/>
    <x v="0"/>
    <n v="0"/>
    <s v="False"/>
    <m/>
    <m/>
    <n v="39500"/>
    <n v="40500"/>
    <n v="37400"/>
    <n v="650"/>
    <n v="120.94670000000001"/>
    <n v="0.655883141"/>
    <n v="14381.700199999999"/>
    <n v="26.23"/>
    <n v="7.48"/>
    <n v="85.25"/>
    <n v="7"/>
    <s v="Rp650"/>
    <n v="1.65"/>
  </r>
  <r>
    <x v="665"/>
    <n v="40150"/>
    <n v="797"/>
    <n v="3"/>
    <x v="0"/>
    <n v="1"/>
    <s v="False"/>
    <m/>
    <m/>
    <n v="40150"/>
    <n v="39500"/>
    <n v="37400"/>
    <n v="0"/>
    <n v="120.94670000000001"/>
    <n v="0.655883141"/>
    <n v="14406.400390000001"/>
    <n v="26.77"/>
    <n v="4.9400000000000004"/>
    <n v="83.32"/>
    <n v="8"/>
    <s v="Rp0"/>
    <n v="0"/>
  </r>
  <r>
    <x v="666"/>
    <n v="40150"/>
    <n v="798"/>
    <n v="3"/>
    <x v="0"/>
    <n v="2"/>
    <s v="False"/>
    <m/>
    <m/>
    <n v="40150"/>
    <n v="39500"/>
    <n v="37900"/>
    <n v="0"/>
    <n v="120.94670000000001"/>
    <n v="0.655883141"/>
    <n v="14362.700199999999"/>
    <n v="27.22"/>
    <n v="2.14"/>
    <n v="80.989999999999995"/>
    <n v="9"/>
    <s v="Rp0"/>
    <n v="0"/>
  </r>
  <r>
    <x v="667"/>
    <n v="40150"/>
    <n v="799"/>
    <n v="3"/>
    <x v="0"/>
    <n v="3"/>
    <s v="False"/>
    <n v="39871.428571428572"/>
    <m/>
    <n v="40150"/>
    <m/>
    <n v="37400"/>
    <n v="0"/>
    <n v="120.94670000000001"/>
    <n v="0.655883141"/>
    <n v="14251"/>
    <n v="26.78"/>
    <n v="3.09"/>
    <n v="85.36"/>
    <n v="10"/>
    <s v="Rp0"/>
    <n v="0"/>
  </r>
  <r>
    <x v="668"/>
    <n v="39900"/>
    <n v="800"/>
    <n v="3"/>
    <x v="0"/>
    <n v="4"/>
    <s v="False"/>
    <n v="39928.571428571428"/>
    <m/>
    <n v="40150"/>
    <n v="39500"/>
    <n v="38150"/>
    <n v="-250"/>
    <n v="120.94670000000001"/>
    <n v="0.655883141"/>
    <n v="14275"/>
    <n v="26.89"/>
    <n v="3.71"/>
    <n v="84.71"/>
    <n v="11"/>
    <s v="-Rp250"/>
    <n v="-0.62"/>
  </r>
  <r>
    <x v="669"/>
    <n v="39900"/>
    <n v="801"/>
    <n v="3"/>
    <x v="0"/>
    <n v="5"/>
    <s v="False"/>
    <n v="39985.714285714283"/>
    <m/>
    <n v="39900"/>
    <n v="39500"/>
    <n v="37650"/>
    <n v="0"/>
    <n v="120.94670000000001"/>
    <n v="0.655883141"/>
    <n v="14275"/>
    <n v="27.25"/>
    <n v="17.48"/>
    <n v="83.21"/>
    <n v="12"/>
    <s v="-Rp250"/>
    <n v="-0.62"/>
  </r>
  <r>
    <x v="670"/>
    <n v="39900"/>
    <n v="802"/>
    <n v="3"/>
    <x v="0"/>
    <n v="6"/>
    <s v="False"/>
    <n v="40042.857142857145"/>
    <m/>
    <n v="39900"/>
    <n v="39500"/>
    <n v="37650"/>
    <n v="0"/>
    <n v="120.94670000000001"/>
    <n v="0.655883141"/>
    <n v="14275"/>
    <n v="26.92"/>
    <n v="13.87"/>
    <n v="84.78"/>
    <n v="13"/>
    <s v="-Rp250"/>
    <n v="-0.62"/>
  </r>
  <r>
    <x v="671"/>
    <n v="39650"/>
    <n v="803"/>
    <n v="3"/>
    <x v="0"/>
    <n v="0"/>
    <s v="False"/>
    <n v="39971.428571428572"/>
    <m/>
    <n v="39900"/>
    <n v="40150"/>
    <n v="37650"/>
    <n v="-250"/>
    <n v="120.94670000000001"/>
    <n v="0.655883141"/>
    <n v="14325.5"/>
    <n v="27.03"/>
    <n v="2.8"/>
    <n v="80.37"/>
    <n v="14"/>
    <s v="-Rp250"/>
    <n v="-0.63"/>
  </r>
  <r>
    <x v="672"/>
    <n v="39900"/>
    <n v="804"/>
    <n v="3"/>
    <x v="0"/>
    <n v="1"/>
    <s v="False"/>
    <n v="39935.714285714283"/>
    <m/>
    <n v="39650"/>
    <n v="40150"/>
    <n v="37650"/>
    <n v="250"/>
    <n v="120.94670000000001"/>
    <n v="0.655883141"/>
    <n v="14347.5"/>
    <n v="27.21"/>
    <n v="1.19"/>
    <n v="80.849999999999994"/>
    <n v="15"/>
    <s v="Rp250"/>
    <n v="0.63"/>
  </r>
  <r>
    <x v="673"/>
    <n v="39650"/>
    <n v="805"/>
    <n v="3"/>
    <x v="0"/>
    <n v="2"/>
    <s v="False"/>
    <n v="39864.285714285717"/>
    <m/>
    <n v="39900"/>
    <n v="40150"/>
    <n v="37650"/>
    <n v="-250"/>
    <n v="120.94670000000001"/>
    <n v="0.655883141"/>
    <n v="14305.299800000001"/>
    <n v="26.74"/>
    <n v="3.36"/>
    <n v="86.5"/>
    <n v="16"/>
    <s v="-Rp250"/>
    <n v="-0.63"/>
  </r>
  <r>
    <x v="674"/>
    <n v="39650"/>
    <n v="806"/>
    <n v="3"/>
    <x v="0"/>
    <n v="3"/>
    <s v="False"/>
    <n v="39792.857142857145"/>
    <m/>
    <n v="39650"/>
    <n v="40150"/>
    <n v="37650"/>
    <n v="0"/>
    <n v="120.94670000000001"/>
    <n v="0.655883141"/>
    <n v="14263.5"/>
    <n v="26.76"/>
    <n v="7.77"/>
    <n v="84.06"/>
    <n v="17"/>
    <s v="Rp0"/>
    <n v="0"/>
  </r>
  <r>
    <x v="675"/>
    <n v="39900"/>
    <n v="807"/>
    <n v="3"/>
    <x v="0"/>
    <n v="4"/>
    <s v="False"/>
    <n v="39792.857142857145"/>
    <m/>
    <n v="39650"/>
    <n v="39900"/>
    <n v="38000"/>
    <n v="250"/>
    <n v="120.94670000000001"/>
    <n v="0.655883141"/>
    <n v="14326"/>
    <n v="26.2"/>
    <n v="7.78"/>
    <n v="85.48"/>
    <n v="18"/>
    <s v="Rp250"/>
    <n v="0.63"/>
  </r>
  <r>
    <x v="676"/>
    <n v="38500"/>
    <n v="810"/>
    <n v="3"/>
    <x v="0"/>
    <n v="0"/>
    <s v="False"/>
    <m/>
    <m/>
    <m/>
    <n v="39650"/>
    <m/>
    <m/>
    <n v="120.94670000000001"/>
    <n v="0.655883141"/>
    <n v="14342.299800000001"/>
    <n v="25.83"/>
    <n v="15.94"/>
    <n v="84.9"/>
    <n v="21"/>
    <s v="-Rp1400"/>
    <n v="-3.51"/>
  </r>
  <r>
    <x v="677"/>
    <n v="38500"/>
    <n v="811"/>
    <n v="3"/>
    <x v="0"/>
    <n v="1"/>
    <s v="False"/>
    <m/>
    <m/>
    <n v="38500"/>
    <n v="39900"/>
    <m/>
    <n v="0"/>
    <n v="120.94670000000001"/>
    <n v="0.655883141"/>
    <n v="14345"/>
    <n v="26.44"/>
    <n v="8.49"/>
    <n v="83.15"/>
    <n v="22"/>
    <s v="Rp0"/>
    <n v="0"/>
  </r>
  <r>
    <x v="678"/>
    <n v="38250"/>
    <n v="812"/>
    <n v="3"/>
    <x v="0"/>
    <n v="2"/>
    <s v="False"/>
    <m/>
    <m/>
    <n v="38500"/>
    <n v="39650"/>
    <n v="38500"/>
    <n v="-250"/>
    <n v="120.94670000000001"/>
    <n v="0.655883141"/>
    <n v="14345.5"/>
    <n v="25.73"/>
    <n v="7.92"/>
    <n v="80.59"/>
    <n v="23"/>
    <s v="-Rp250"/>
    <n v="-0.65"/>
  </r>
  <r>
    <x v="679"/>
    <n v="38250"/>
    <n v="813"/>
    <n v="3"/>
    <x v="0"/>
    <n v="3"/>
    <s v="False"/>
    <m/>
    <m/>
    <n v="38250"/>
    <n v="39650"/>
    <n v="39500"/>
    <n v="0"/>
    <n v="120.94670000000001"/>
    <n v="0.655883141"/>
    <n v="14389"/>
    <n v="25.41"/>
    <n v="16.96"/>
    <n v="79.92"/>
    <n v="24"/>
    <s v="Rp0"/>
    <n v="0"/>
  </r>
  <r>
    <x v="680"/>
    <n v="37500"/>
    <n v="814"/>
    <n v="3"/>
    <x v="0"/>
    <n v="4"/>
    <s v="False"/>
    <m/>
    <m/>
    <n v="38250"/>
    <n v="39900"/>
    <n v="40000"/>
    <n v="-750"/>
    <n v="120.94670000000001"/>
    <n v="0.655883141"/>
    <n v="14337.099609999999"/>
    <n v="26.22"/>
    <n v="5.08"/>
    <n v="83.64"/>
    <n v="25"/>
    <s v="-Rp750"/>
    <n v="-1.96"/>
  </r>
  <r>
    <x v="681"/>
    <n v="37500"/>
    <n v="815"/>
    <n v="3"/>
    <x v="0"/>
    <n v="5"/>
    <s v="False"/>
    <m/>
    <m/>
    <n v="37500"/>
    <m/>
    <n v="40000"/>
    <n v="0"/>
    <n v="120.94670000000001"/>
    <n v="0.655883141"/>
    <n v="14337.099609999999"/>
    <n v="26.57"/>
    <n v="4.9000000000000004"/>
    <n v="80.47"/>
    <n v="26"/>
    <s v="-Rp750"/>
    <n v="-1.96"/>
  </r>
  <r>
    <x v="682"/>
    <n v="37500"/>
    <n v="816"/>
    <n v="3"/>
    <x v="0"/>
    <n v="6"/>
    <s v="False"/>
    <n v="38000"/>
    <m/>
    <n v="37500"/>
    <m/>
    <n v="40500"/>
    <n v="0"/>
    <n v="120.94670000000001"/>
    <n v="0.655883141"/>
    <n v="14337.099609999999"/>
    <n v="26.57"/>
    <n v="3.62"/>
    <n v="82.12"/>
    <n v="27"/>
    <s v="-Rp750"/>
    <n v="-1.96"/>
  </r>
  <r>
    <x v="683"/>
    <n v="37150"/>
    <n v="817"/>
    <n v="3"/>
    <x v="0"/>
    <n v="0"/>
    <s v="False"/>
    <n v="37807.142857142855"/>
    <m/>
    <n v="37500"/>
    <n v="38500"/>
    <n v="40500"/>
    <n v="-350"/>
    <n v="120.94670000000001"/>
    <n v="0.655883141"/>
    <n v="14334"/>
    <n v="26.59"/>
    <n v="12.82"/>
    <n v="81.239999999999995"/>
    <n v="28"/>
    <s v="-Rp350"/>
    <n v="-0.93"/>
  </r>
  <r>
    <x v="684"/>
    <n v="37500"/>
    <n v="818"/>
    <n v="3"/>
    <x v="0"/>
    <n v="1"/>
    <s v="False"/>
    <n v="37664.285714285717"/>
    <m/>
    <n v="37150"/>
    <n v="38500"/>
    <n v="40500"/>
    <n v="350"/>
    <n v="120.94670000000001"/>
    <n v="0.655883141"/>
    <n v="14373"/>
    <n v="26.65"/>
    <n v="13"/>
    <n v="82.63"/>
    <n v="29"/>
    <s v="Rp350"/>
    <n v="0.94"/>
  </r>
  <r>
    <x v="685"/>
    <n v="37500"/>
    <n v="819"/>
    <n v="3"/>
    <x v="0"/>
    <n v="2"/>
    <s v="False"/>
    <n v="37557.142857142855"/>
    <m/>
    <n v="37500"/>
    <n v="38250"/>
    <n v="40500"/>
    <n v="0"/>
    <n v="120.94670000000001"/>
    <n v="0.655883141"/>
    <n v="14334"/>
    <n v="26.18"/>
    <n v="8.11"/>
    <n v="85.42"/>
    <n v="30"/>
    <s v="Rp0"/>
    <n v="0"/>
  </r>
  <r>
    <x v="686"/>
    <n v="36750"/>
    <n v="820"/>
    <n v="3"/>
    <x v="0"/>
    <n v="3"/>
    <s v="False"/>
    <n v="37342.857142857145"/>
    <m/>
    <n v="37500"/>
    <n v="38250"/>
    <n v="39500"/>
    <n v="-750"/>
    <n v="120.94670000000001"/>
    <n v="0.655883141"/>
    <n v="14327.5"/>
    <n v="26.81"/>
    <n v="1.08"/>
    <n v="80.87"/>
    <n v="31"/>
    <s v="-Rp750"/>
    <n v="-2"/>
  </r>
  <r>
    <x v="687"/>
    <n v="36750"/>
    <n v="821"/>
    <n v="4"/>
    <x v="1"/>
    <n v="4"/>
    <s v="False"/>
    <n v="37235.714285714283"/>
    <m/>
    <n v="36750"/>
    <n v="37500"/>
    <n v="39500"/>
    <n v="0"/>
    <n v="122.0902"/>
    <n v="0.94545779299999999"/>
    <n v="14351"/>
    <n v="26.33"/>
    <n v="2.23"/>
    <n v="83.1"/>
    <n v="1"/>
    <s v="Rp0"/>
    <n v="0"/>
  </r>
  <r>
    <x v="688"/>
    <n v="36750"/>
    <n v="822"/>
    <n v="4"/>
    <x v="1"/>
    <n v="5"/>
    <s v="False"/>
    <n v="37128.571428571428"/>
    <m/>
    <n v="36750"/>
    <n v="37500"/>
    <m/>
    <n v="0"/>
    <n v="122.0902"/>
    <n v="0.94545779299999999"/>
    <n v="14351"/>
    <n v="26.52"/>
    <n v="25.48"/>
    <n v="80.86"/>
    <n v="2"/>
    <s v="Rp0"/>
    <n v="0"/>
  </r>
  <r>
    <x v="689"/>
    <n v="36750"/>
    <n v="823"/>
    <n v="4"/>
    <x v="1"/>
    <n v="6"/>
    <s v="False"/>
    <n v="37021.428571428572"/>
    <m/>
    <n v="36750"/>
    <n v="37500"/>
    <n v="39500"/>
    <n v="0"/>
    <n v="122.0902"/>
    <n v="0.94545779299999999"/>
    <n v="14351"/>
    <n v="26.4"/>
    <n v="17.45"/>
    <n v="80.62"/>
    <n v="3"/>
    <s v="Rp0"/>
    <n v="0"/>
  </r>
  <r>
    <x v="690"/>
    <n v="36750"/>
    <n v="824"/>
    <n v="4"/>
    <x v="1"/>
    <n v="0"/>
    <s v="False"/>
    <n v="36964.285714285717"/>
    <m/>
    <n v="36750"/>
    <n v="37150"/>
    <n v="39500"/>
    <n v="0"/>
    <n v="122.0902"/>
    <n v="0.94545779299999999"/>
    <n v="14361"/>
    <n v="26.35"/>
    <n v="6.28"/>
    <n v="85.41"/>
    <n v="4"/>
    <m/>
    <n v="0"/>
  </r>
  <r>
    <x v="691"/>
    <n v="36750"/>
    <n v="825"/>
    <n v="4"/>
    <x v="1"/>
    <n v="1"/>
    <s v="False"/>
    <n v="36857.142857142855"/>
    <m/>
    <n v="36750"/>
    <n v="37500"/>
    <n v="39500"/>
    <n v="0"/>
    <n v="122.0902"/>
    <n v="0.94545779299999999"/>
    <n v="14322.299800000001"/>
    <n v="27.08"/>
    <n v="5.72"/>
    <n v="81.8"/>
    <n v="5"/>
    <s v="Rp0"/>
    <n v="0"/>
  </r>
  <r>
    <x v="692"/>
    <n v="36750"/>
    <n v="826"/>
    <n v="4"/>
    <x v="1"/>
    <n v="2"/>
    <s v="False"/>
    <n v="36750"/>
    <m/>
    <n v="36750"/>
    <n v="37500"/>
    <n v="40150"/>
    <n v="0"/>
    <n v="122.0902"/>
    <n v="0.94545779299999999"/>
    <n v="14365.5"/>
    <n v="27.27"/>
    <n v="10.14"/>
    <n v="83.08"/>
    <n v="6"/>
    <s v="Rp0"/>
    <n v="0"/>
  </r>
  <r>
    <x v="693"/>
    <n v="36750"/>
    <n v="827"/>
    <n v="4"/>
    <x v="1"/>
    <n v="3"/>
    <s v="False"/>
    <n v="36750"/>
    <m/>
    <n v="36750"/>
    <n v="36750"/>
    <n v="40150"/>
    <n v="0"/>
    <n v="122.0902"/>
    <n v="0.94545779299999999"/>
    <n v="14382"/>
    <n v="27.61"/>
    <n v="1.89"/>
    <n v="78.790000000000006"/>
    <n v="7"/>
    <s v="Rp0"/>
    <n v="0"/>
  </r>
  <r>
    <x v="694"/>
    <n v="36500"/>
    <n v="828"/>
    <n v="4"/>
    <x v="1"/>
    <n v="4"/>
    <s v="False"/>
    <n v="36714.285714285717"/>
    <m/>
    <n v="36750"/>
    <n v="36750"/>
    <n v="40150"/>
    <n v="-250"/>
    <n v="122.0902"/>
    <n v="0.94545779299999999"/>
    <n v="14385"/>
    <n v="27.52"/>
    <n v="2.64"/>
    <n v="82.3"/>
    <n v="8"/>
    <s v="-Rp250"/>
    <n v="-0.68"/>
  </r>
  <r>
    <x v="695"/>
    <n v="36500"/>
    <n v="829"/>
    <n v="4"/>
    <x v="1"/>
    <n v="5"/>
    <s v="False"/>
    <n v="36678.571428571428"/>
    <m/>
    <n v="36500"/>
    <n v="36750"/>
    <n v="40150"/>
    <n v="0"/>
    <n v="122.0902"/>
    <n v="0.94545779299999999"/>
    <n v="14385"/>
    <n v="27.3"/>
    <n v="13.3"/>
    <n v="83.6"/>
    <n v="9"/>
    <s v="-Rp250"/>
    <n v="-0.68"/>
  </r>
  <r>
    <x v="696"/>
    <n v="36500"/>
    <n v="830"/>
    <n v="4"/>
    <x v="1"/>
    <n v="6"/>
    <s v="False"/>
    <n v="36642.857142857145"/>
    <m/>
    <n v="36500"/>
    <n v="36750"/>
    <n v="39900"/>
    <n v="0"/>
    <n v="122.0902"/>
    <n v="0.94545779299999999"/>
    <n v="14385"/>
    <n v="27.62"/>
    <n v="6.29"/>
    <n v="79.56"/>
    <n v="10"/>
    <s v="-Rp250"/>
    <n v="-0.68"/>
  </r>
  <r>
    <x v="697"/>
    <n v="36500"/>
    <n v="831"/>
    <n v="4"/>
    <x v="1"/>
    <n v="0"/>
    <s v="False"/>
    <n v="36607.142857142855"/>
    <m/>
    <n v="36500"/>
    <n v="36750"/>
    <n v="39900"/>
    <n v="0"/>
    <n v="122.0902"/>
    <n v="0.94545779299999999"/>
    <n v="14355"/>
    <n v="27"/>
    <n v="8.86"/>
    <n v="82.96"/>
    <n v="11"/>
    <s v="Rp0"/>
    <n v="0"/>
  </r>
  <r>
    <x v="698"/>
    <n v="35900"/>
    <n v="832"/>
    <n v="4"/>
    <x v="1"/>
    <n v="1"/>
    <s v="False"/>
    <n v="36485.714285714283"/>
    <m/>
    <n v="36500"/>
    <n v="36750"/>
    <n v="39900"/>
    <n v="-600"/>
    <n v="122.0902"/>
    <n v="0.94545779299999999"/>
    <n v="14360.700199999999"/>
    <n v="27.57"/>
    <n v="2.65"/>
    <n v="77.67"/>
    <n v="12"/>
    <s v="-Rp600"/>
    <n v="-1.64"/>
  </r>
  <r>
    <x v="699"/>
    <n v="35900"/>
    <n v="833"/>
    <n v="4"/>
    <x v="1"/>
    <n v="2"/>
    <s v="False"/>
    <n v="36364.285714285717"/>
    <m/>
    <n v="35900"/>
    <n v="36750"/>
    <n v="39650"/>
    <n v="0"/>
    <n v="122.0902"/>
    <n v="0.94545779299999999"/>
    <n v="14364.200199999999"/>
    <n v="27.07"/>
    <n v="8.42"/>
    <n v="82.18"/>
    <n v="13"/>
    <s v="Rp0"/>
    <n v="0"/>
  </r>
  <r>
    <x v="700"/>
    <n v="35900"/>
    <n v="834"/>
    <n v="4"/>
    <x v="1"/>
    <n v="3"/>
    <s v="False"/>
    <n v="36242.857142857145"/>
    <m/>
    <n v="35900"/>
    <n v="36750"/>
    <n v="39900"/>
    <n v="0"/>
    <n v="122.0902"/>
    <n v="0.94545779299999999"/>
    <n v="14360.200199999999"/>
    <n v="27.27"/>
    <n v="2.92"/>
    <n v="79.180000000000007"/>
    <n v="14"/>
    <s v="Rp0"/>
    <n v="0"/>
  </r>
  <r>
    <x v="701"/>
    <n v="37650"/>
    <n v="838"/>
    <n v="4"/>
    <x v="1"/>
    <n v="0"/>
    <s v="True"/>
    <m/>
    <m/>
    <m/>
    <n v="36500"/>
    <m/>
    <m/>
    <n v="122.0902"/>
    <n v="0.94545779299999999"/>
    <n v="14337"/>
    <n v="27.36"/>
    <n v="0.33"/>
    <n v="77.92"/>
    <n v="18"/>
    <m/>
    <n v="0"/>
  </r>
  <r>
    <x v="702"/>
    <n v="37650"/>
    <n v="839"/>
    <n v="4"/>
    <x v="1"/>
    <n v="1"/>
    <s v="False"/>
    <m/>
    <m/>
    <n v="37650"/>
    <n v="35900"/>
    <m/>
    <n v="0"/>
    <n v="122.0902"/>
    <n v="0.94545779299999999"/>
    <n v="14353.799800000001"/>
    <n v="27.27"/>
    <n v="4.63"/>
    <n v="84.01"/>
    <n v="19"/>
    <s v="Rp0"/>
    <n v="0"/>
  </r>
  <r>
    <x v="703"/>
    <n v="37650"/>
    <n v="840"/>
    <n v="4"/>
    <x v="1"/>
    <n v="2"/>
    <s v="False"/>
    <m/>
    <m/>
    <n v="37650"/>
    <n v="35900"/>
    <n v="38500"/>
    <n v="0"/>
    <n v="122.0902"/>
    <n v="0.94545779299999999"/>
    <n v="14364.900390000001"/>
    <n v="27.39"/>
    <n v="5.12"/>
    <n v="84.11"/>
    <n v="20"/>
    <s v="Rp0"/>
    <n v="0"/>
  </r>
  <r>
    <x v="704"/>
    <n v="36750"/>
    <n v="841"/>
    <n v="4"/>
    <x v="1"/>
    <n v="3"/>
    <s v="False"/>
    <m/>
    <m/>
    <n v="37650"/>
    <n v="35900"/>
    <n v="38500"/>
    <n v="-900"/>
    <n v="122.0902"/>
    <n v="0.94545779299999999"/>
    <n v="14351"/>
    <n v="27.05"/>
    <n v="5.23"/>
    <n v="83.03"/>
    <n v="21"/>
    <s v="-Rp900"/>
    <n v="-2.39"/>
  </r>
  <r>
    <x v="705"/>
    <n v="36750"/>
    <n v="842"/>
    <n v="4"/>
    <x v="1"/>
    <n v="4"/>
    <s v="False"/>
    <m/>
    <m/>
    <n v="36750"/>
    <m/>
    <n v="38250"/>
    <n v="0"/>
    <n v="122.0902"/>
    <n v="0.94545779299999999"/>
    <n v="14382"/>
    <n v="26.51"/>
    <n v="6.69"/>
    <n v="85.63"/>
    <n v="22"/>
    <s v="Rp0"/>
    <n v="0"/>
  </r>
  <r>
    <x v="706"/>
    <n v="35900"/>
    <n v="845"/>
    <n v="4"/>
    <x v="1"/>
    <n v="0"/>
    <s v="False"/>
    <m/>
    <m/>
    <m/>
    <n v="37650"/>
    <n v="37500"/>
    <m/>
    <n v="122.0902"/>
    <n v="0.94545779299999999"/>
    <n v="14350"/>
    <n v="27.2"/>
    <n v="3.04"/>
    <n v="83.59"/>
    <n v="25"/>
    <s v="-Rp850"/>
    <n v="-2.31"/>
  </r>
  <r>
    <x v="707"/>
    <n v="35400"/>
    <n v="846"/>
    <n v="4"/>
    <x v="1"/>
    <n v="1"/>
    <s v="False"/>
    <m/>
    <m/>
    <n v="35900"/>
    <n v="37650"/>
    <n v="37500"/>
    <n v="-500"/>
    <n v="122.0902"/>
    <n v="0.94545779299999999"/>
    <n v="14478"/>
    <n v="27.17"/>
    <n v="29.16"/>
    <n v="82.2"/>
    <n v="26"/>
    <s v="-Rp500"/>
    <n v="-1.39"/>
  </r>
  <r>
    <x v="708"/>
    <n v="35900"/>
    <n v="847"/>
    <n v="4"/>
    <x v="1"/>
    <n v="2"/>
    <s v="False"/>
    <m/>
    <m/>
    <n v="35400"/>
    <n v="37650"/>
    <n v="37150"/>
    <n v="500"/>
    <n v="122.0902"/>
    <n v="0.94545779299999999"/>
    <n v="14466"/>
    <n v="26.52"/>
    <n v="31.46"/>
    <n v="86.8"/>
    <n v="27"/>
    <s v="Rp500"/>
    <n v="1.41"/>
  </r>
  <r>
    <x v="709"/>
    <n v="35900"/>
    <n v="848"/>
    <n v="4"/>
    <x v="1"/>
    <n v="3"/>
    <s v="False"/>
    <m/>
    <m/>
    <n v="35900"/>
    <n v="36750"/>
    <n v="37500"/>
    <n v="0"/>
    <n v="122.0902"/>
    <n v="0.94545779299999999"/>
    <n v="14447.5"/>
    <n v="26.32"/>
    <n v="24.84"/>
    <n v="89.33"/>
    <n v="28"/>
    <s v="Rp0"/>
    <n v="0"/>
  </r>
  <r>
    <x v="710"/>
    <n v="43400"/>
    <n v="859"/>
    <n v="5"/>
    <x v="1"/>
    <n v="0"/>
    <s v="False"/>
    <m/>
    <m/>
    <m/>
    <m/>
    <n v="36500"/>
    <m/>
    <n v="122.57859999999999"/>
    <n v="0.40003210700000003"/>
    <n v="14490"/>
    <n v="27.83"/>
    <n v="20.83"/>
    <n v="82.38"/>
    <n v="9"/>
    <m/>
    <n v="0"/>
  </r>
  <r>
    <x v="711"/>
    <n v="43650"/>
    <n v="860"/>
    <n v="5"/>
    <x v="1"/>
    <n v="1"/>
    <s v="False"/>
    <m/>
    <m/>
    <n v="43400"/>
    <m/>
    <n v="36500"/>
    <n v="250"/>
    <n v="122.57859999999999"/>
    <n v="0.40003210700000003"/>
    <n v="14552.200199999999"/>
    <n v="26.6"/>
    <n v="24.86"/>
    <n v="89.77"/>
    <n v="10"/>
    <s v="Rp250"/>
    <n v="0.57999999999999996"/>
  </r>
  <r>
    <x v="712"/>
    <n v="43650"/>
    <n v="861"/>
    <n v="5"/>
    <x v="1"/>
    <n v="2"/>
    <s v="False"/>
    <m/>
    <m/>
    <n v="43650"/>
    <m/>
    <n v="36500"/>
    <n v="0"/>
    <n v="122.57859999999999"/>
    <n v="0.40003210700000003"/>
    <n v="14520.799800000001"/>
    <n v="26.64"/>
    <n v="8.94"/>
    <n v="87.14"/>
    <n v="11"/>
    <s v="Rp0"/>
    <n v="0"/>
  </r>
  <r>
    <x v="713"/>
    <n v="43400"/>
    <n v="862"/>
    <n v="5"/>
    <x v="1"/>
    <n v="3"/>
    <s v="False"/>
    <m/>
    <m/>
    <n v="43650"/>
    <m/>
    <n v="35900"/>
    <n v="-250"/>
    <n v="122.57859999999999"/>
    <n v="0.40003210700000003"/>
    <n v="14543.400390000001"/>
    <n v="27.23"/>
    <n v="2.09"/>
    <n v="83.96"/>
    <n v="12"/>
    <s v="-Rp250"/>
    <n v="-0.56999999999999995"/>
  </r>
  <r>
    <x v="714"/>
    <n v="43500"/>
    <n v="863"/>
    <n v="5"/>
    <x v="1"/>
    <n v="4"/>
    <s v="False"/>
    <m/>
    <m/>
    <n v="43400"/>
    <m/>
    <n v="35900"/>
    <n v="100"/>
    <n v="122.57859999999999"/>
    <n v="0.40003210700000003"/>
    <n v="14632.099609999999"/>
    <n v="27.19"/>
    <n v="5.51"/>
    <n v="84.69"/>
    <n v="13"/>
    <s v="Rp100"/>
    <n v="0.23"/>
  </r>
  <r>
    <x v="715"/>
    <n v="43500"/>
    <n v="864"/>
    <n v="5"/>
    <x v="1"/>
    <n v="5"/>
    <s v="False"/>
    <m/>
    <m/>
    <n v="43500"/>
    <m/>
    <n v="35900"/>
    <n v="0"/>
    <n v="122.57859999999999"/>
    <n v="0.40003210700000003"/>
    <n v="14632.099609999999"/>
    <n v="26.49"/>
    <n v="11.69"/>
    <n v="86.3"/>
    <n v="14"/>
    <s v="Rp100"/>
    <n v="0.23"/>
  </r>
  <r>
    <x v="716"/>
    <n v="41500"/>
    <n v="867"/>
    <n v="5"/>
    <x v="1"/>
    <n v="1"/>
    <s v="False"/>
    <m/>
    <m/>
    <m/>
    <n v="43650"/>
    <m/>
    <m/>
    <n v="122.57859999999999"/>
    <n v="0.40003210700000003"/>
    <n v="14645"/>
    <n v="27.02"/>
    <n v="4.4000000000000004"/>
    <n v="82.78"/>
    <n v="17"/>
    <m/>
    <n v="0"/>
  </r>
  <r>
    <x v="717"/>
    <n v="40000"/>
    <n v="868"/>
    <n v="5"/>
    <x v="1"/>
    <n v="2"/>
    <s v="False"/>
    <m/>
    <m/>
    <n v="41500"/>
    <n v="43650"/>
    <n v="37650"/>
    <n v="-1500"/>
    <n v="122.57859999999999"/>
    <n v="0.40003210700000003"/>
    <n v="14630.599609999999"/>
    <n v="27.23"/>
    <n v="4.29"/>
    <n v="80.45"/>
    <n v="18"/>
    <s v="-Rp1500"/>
    <n v="-3.61"/>
  </r>
  <r>
    <x v="718"/>
    <n v="39750"/>
    <n v="869"/>
    <n v="5"/>
    <x v="1"/>
    <n v="3"/>
    <s v="False"/>
    <m/>
    <m/>
    <n v="40000"/>
    <n v="43400"/>
    <n v="37650"/>
    <n v="-250"/>
    <n v="122.57859999999999"/>
    <n v="0.40003210700000003"/>
    <n v="14740"/>
    <n v="27.22"/>
    <n v="4.25"/>
    <n v="81.39"/>
    <n v="19"/>
    <s v="-Rp250"/>
    <n v="-0.63"/>
  </r>
  <r>
    <x v="719"/>
    <n v="38650"/>
    <n v="870"/>
    <n v="5"/>
    <x v="1"/>
    <n v="4"/>
    <s v="False"/>
    <m/>
    <m/>
    <n v="39750"/>
    <n v="43500"/>
    <n v="37650"/>
    <n v="-1100"/>
    <n v="122.57859999999999"/>
    <n v="0.40003210700000003"/>
    <n v="14626.799800000001"/>
    <n v="27.2"/>
    <n v="3.52"/>
    <n v="81.78"/>
    <n v="20"/>
    <s v="-Rp1100"/>
    <n v="-2.77"/>
  </r>
  <r>
    <x v="720"/>
    <n v="38650"/>
    <n v="871"/>
    <n v="5"/>
    <x v="1"/>
    <n v="5"/>
    <s v="False"/>
    <m/>
    <m/>
    <n v="38650"/>
    <n v="43500"/>
    <n v="36750"/>
    <n v="0"/>
    <n v="122.57859999999999"/>
    <n v="0.40003210700000003"/>
    <n v="14626.799800000001"/>
    <n v="27.04"/>
    <n v="8.3800000000000008"/>
    <n v="81.91"/>
    <n v="21"/>
    <s v="-Rp1100"/>
    <n v="-2.77"/>
  </r>
  <r>
    <x v="721"/>
    <n v="38650"/>
    <n v="872"/>
    <n v="5"/>
    <x v="1"/>
    <n v="6"/>
    <s v="False"/>
    <m/>
    <m/>
    <n v="38650"/>
    <m/>
    <n v="36750"/>
    <n v="0"/>
    <n v="122.57859999999999"/>
    <n v="0.40003210700000003"/>
    <n v="14626.799800000001"/>
    <n v="27.19"/>
    <n v="13.84"/>
    <n v="79"/>
    <n v="22"/>
    <s v="-Rp1100"/>
    <n v="-2.77"/>
  </r>
  <r>
    <x v="722"/>
    <n v="38650"/>
    <n v="873"/>
    <n v="5"/>
    <x v="1"/>
    <n v="0"/>
    <s v="False"/>
    <n v="39407.142857142855"/>
    <m/>
    <n v="38650"/>
    <m/>
    <m/>
    <n v="0"/>
    <n v="122.57859999999999"/>
    <n v="0.40003210700000003"/>
    <n v="14645"/>
    <n v="26.89"/>
    <n v="7.45"/>
    <n v="80.64"/>
    <n v="23"/>
    <s v="Rp0"/>
    <n v="0"/>
  </r>
  <r>
    <x v="723"/>
    <n v="39150"/>
    <n v="874"/>
    <n v="5"/>
    <x v="1"/>
    <n v="1"/>
    <s v="False"/>
    <n v="39071.428571428572"/>
    <m/>
    <n v="38650"/>
    <n v="41500"/>
    <m/>
    <n v="500"/>
    <n v="122.57859999999999"/>
    <n v="0.40003210700000003"/>
    <n v="14619.200199999999"/>
    <n v="26.18"/>
    <n v="6.71"/>
    <n v="84.24"/>
    <n v="24"/>
    <s v="Rp500"/>
    <n v="1.29"/>
  </r>
  <r>
    <x v="724"/>
    <n v="39150"/>
    <n v="875"/>
    <n v="5"/>
    <x v="1"/>
    <n v="2"/>
    <s v="False"/>
    <n v="38950"/>
    <m/>
    <n v="39150"/>
    <n v="40000"/>
    <n v="35900"/>
    <n v="0"/>
    <n v="122.57859999999999"/>
    <n v="0.40003210700000003"/>
    <n v="14635.799800000001"/>
    <n v="25.91"/>
    <n v="1.84"/>
    <n v="85.27"/>
    <n v="25"/>
    <s v="Rp0"/>
    <n v="0"/>
  </r>
  <r>
    <x v="725"/>
    <n v="39650"/>
    <n v="877"/>
    <n v="5"/>
    <x v="1"/>
    <n v="4"/>
    <s v="False"/>
    <m/>
    <m/>
    <m/>
    <n v="38650"/>
    <n v="35900"/>
    <m/>
    <n v="122.57859999999999"/>
    <n v="0.40003210700000003"/>
    <n v="14584.200199999999"/>
    <n v="26.74"/>
    <n v="13.59"/>
    <n v="80.930000000000007"/>
    <n v="27"/>
    <m/>
    <n v="0"/>
  </r>
  <r>
    <x v="726"/>
    <n v="39650"/>
    <n v="878"/>
    <n v="5"/>
    <x v="1"/>
    <n v="5"/>
    <s v="False"/>
    <m/>
    <m/>
    <n v="39650"/>
    <n v="38650"/>
    <n v="35900"/>
    <n v="0"/>
    <n v="122.57859999999999"/>
    <n v="0.40003210700000003"/>
    <n v="14584.200199999999"/>
    <n v="26.16"/>
    <n v="32.700000000000003"/>
    <n v="83.17"/>
    <n v="28"/>
    <m/>
    <n v="0"/>
  </r>
  <r>
    <x v="727"/>
    <n v="39650"/>
    <n v="879"/>
    <n v="5"/>
    <x v="1"/>
    <n v="6"/>
    <s v="False"/>
    <m/>
    <m/>
    <n v="39650"/>
    <n v="38650"/>
    <m/>
    <n v="0"/>
    <n v="122.57859999999999"/>
    <n v="0.40003210700000003"/>
    <n v="14584.200199999999"/>
    <n v="26.08"/>
    <n v="2.94"/>
    <n v="83.7"/>
    <n v="29"/>
    <m/>
    <n v="0"/>
  </r>
  <r>
    <x v="728"/>
    <n v="41000"/>
    <n v="880"/>
    <n v="5"/>
    <x v="1"/>
    <n v="0"/>
    <s v="False"/>
    <m/>
    <m/>
    <n v="39650"/>
    <n v="38650"/>
    <m/>
    <n v="1350"/>
    <n v="122.57859999999999"/>
    <n v="0.40003210700000003"/>
    <n v="14570"/>
    <n v="26.67"/>
    <n v="2.14"/>
    <n v="83.5"/>
    <n v="30"/>
    <s v="Rp1350"/>
    <n v="3.4"/>
  </r>
  <r>
    <x v="729"/>
    <n v="42150"/>
    <n v="881"/>
    <n v="5"/>
    <x v="1"/>
    <n v="1"/>
    <s v="False"/>
    <m/>
    <m/>
    <n v="41000"/>
    <n v="39150"/>
    <m/>
    <n v="1150"/>
    <n v="122.57859999999999"/>
    <n v="0.40003210700000003"/>
    <n v="14538.400390000001"/>
    <n v="27.44"/>
    <n v="1.02"/>
    <n v="78.19"/>
    <n v="31"/>
    <s v="Rp1150"/>
    <n v="2.8"/>
  </r>
  <r>
    <x v="730"/>
    <n v="42150"/>
    <n v="883"/>
    <n v="6"/>
    <x v="1"/>
    <n v="3"/>
    <s v="False"/>
    <m/>
    <m/>
    <m/>
    <m/>
    <m/>
    <m/>
    <n v="123.3224"/>
    <n v="0.60679433400000005"/>
    <n v="14531.5"/>
    <n v="27.27"/>
    <n v="0.67"/>
    <n v="80.33"/>
    <n v="2"/>
    <m/>
    <n v="0"/>
  </r>
  <r>
    <x v="731"/>
    <n v="42150"/>
    <n v="884"/>
    <n v="6"/>
    <x v="1"/>
    <n v="4"/>
    <s v="False"/>
    <m/>
    <m/>
    <n v="42150"/>
    <n v="39650"/>
    <m/>
    <n v="0"/>
    <n v="123.3224"/>
    <n v="0.60679433400000005"/>
    <n v="14426.799800000001"/>
    <n v="27.12"/>
    <n v="2.31"/>
    <n v="81.22"/>
    <n v="3"/>
    <s v="Rp0"/>
    <n v="0"/>
  </r>
  <r>
    <x v="732"/>
    <n v="42150"/>
    <n v="885"/>
    <n v="6"/>
    <x v="1"/>
    <n v="5"/>
    <s v="False"/>
    <m/>
    <m/>
    <n v="42150"/>
    <n v="39650"/>
    <m/>
    <n v="0"/>
    <n v="123.3224"/>
    <n v="0.60679433400000005"/>
    <n v="14426.799800000001"/>
    <n v="26.98"/>
    <n v="3.52"/>
    <n v="80.8"/>
    <n v="4"/>
    <s v="Rp0"/>
    <n v="0"/>
  </r>
  <r>
    <x v="733"/>
    <n v="42150"/>
    <n v="886"/>
    <n v="6"/>
    <x v="1"/>
    <n v="6"/>
    <s v="False"/>
    <m/>
    <m/>
    <n v="42150"/>
    <n v="39650"/>
    <m/>
    <n v="0"/>
    <n v="123.3224"/>
    <n v="0.60679433400000005"/>
    <n v="14426.799800000001"/>
    <n v="26.7"/>
    <n v="2.5299999999999998"/>
    <n v="80.790000000000006"/>
    <n v="5"/>
    <s v="Rp0"/>
    <n v="0"/>
  </r>
  <r>
    <x v="734"/>
    <n v="41650"/>
    <n v="887"/>
    <n v="6"/>
    <x v="1"/>
    <n v="0"/>
    <s v="False"/>
    <m/>
    <m/>
    <n v="42150"/>
    <n v="41000"/>
    <m/>
    <n v="-500"/>
    <n v="123.3224"/>
    <n v="0.60679433400000005"/>
    <n v="14431"/>
    <n v="27.2"/>
    <n v="2.08"/>
    <n v="79.47"/>
    <n v="6"/>
    <s v="-Rp500"/>
    <n v="-1.19"/>
  </r>
  <r>
    <x v="735"/>
    <n v="42150"/>
    <n v="888"/>
    <n v="6"/>
    <x v="1"/>
    <n v="1"/>
    <s v="False"/>
    <m/>
    <m/>
    <n v="41650"/>
    <n v="42150"/>
    <m/>
    <n v="500"/>
    <n v="123.3224"/>
    <n v="0.60679433400000005"/>
    <n v="14435.200199999999"/>
    <n v="27.33"/>
    <n v="7.11"/>
    <n v="78.14"/>
    <n v="7"/>
    <s v="Rp500"/>
    <n v="1.2"/>
  </r>
  <r>
    <x v="736"/>
    <n v="42900"/>
    <n v="889"/>
    <n v="6"/>
    <x v="1"/>
    <n v="2"/>
    <s v="False"/>
    <n v="42185.714285714283"/>
    <m/>
    <n v="42150"/>
    <m/>
    <n v="43400"/>
    <n v="750"/>
    <n v="123.3224"/>
    <n v="0.60679433400000005"/>
    <n v="14458.799800000001"/>
    <n v="27.42"/>
    <n v="2.59"/>
    <n v="78.260000000000005"/>
    <n v="8"/>
    <s v="Rp750"/>
    <n v="1.78"/>
  </r>
  <r>
    <x v="737"/>
    <n v="44150"/>
    <n v="890"/>
    <n v="6"/>
    <x v="1"/>
    <n v="3"/>
    <s v="False"/>
    <n v="42471.428571428572"/>
    <m/>
    <n v="42900"/>
    <n v="42150"/>
    <n v="43650"/>
    <n v="1250"/>
    <n v="123.3224"/>
    <n v="0.60679433400000005"/>
    <n v="14495.299800000001"/>
    <n v="27.04"/>
    <n v="1.82"/>
    <n v="82.44"/>
    <n v="9"/>
    <s v="Rp1250"/>
    <n v="2.91"/>
  </r>
  <r>
    <x v="738"/>
    <n v="44150"/>
    <n v="891"/>
    <n v="6"/>
    <x v="1"/>
    <n v="4"/>
    <s v="False"/>
    <n v="42757.142857142855"/>
    <m/>
    <n v="44150"/>
    <n v="42150"/>
    <n v="43650"/>
    <n v="0"/>
    <n v="123.3224"/>
    <n v="0.60679433400000005"/>
    <n v="14611.799800000001"/>
    <n v="27.05"/>
    <n v="2.0099999999999998"/>
    <n v="79.709999999999994"/>
    <n v="10"/>
    <s v="Rp0"/>
    <n v="0"/>
  </r>
  <r>
    <x v="739"/>
    <n v="44150"/>
    <n v="892"/>
    <n v="6"/>
    <x v="1"/>
    <n v="5"/>
    <s v="False"/>
    <n v="43042.857142857145"/>
    <m/>
    <n v="44150"/>
    <n v="42150"/>
    <n v="43400"/>
    <n v="0"/>
    <n v="123.3224"/>
    <n v="0.60679433400000005"/>
    <n v="14611.799800000001"/>
    <n v="27.34"/>
    <n v="1.71"/>
    <n v="80.260000000000005"/>
    <n v="11"/>
    <s v="Rp0"/>
    <n v="0"/>
  </r>
  <r>
    <x v="740"/>
    <n v="44150"/>
    <n v="893"/>
    <n v="6"/>
    <x v="1"/>
    <n v="6"/>
    <s v="False"/>
    <n v="43328.571428571428"/>
    <m/>
    <n v="44150"/>
    <n v="42150"/>
    <n v="43500"/>
    <n v="0"/>
    <n v="123.3224"/>
    <n v="0.60679433400000005"/>
    <n v="14611.799800000001"/>
    <n v="27.13"/>
    <n v="0.28000000000000003"/>
    <n v="82.18"/>
    <n v="12"/>
    <s v="Rp0"/>
    <n v="0"/>
  </r>
  <r>
    <x v="741"/>
    <n v="49650"/>
    <n v="894"/>
    <n v="6"/>
    <x v="1"/>
    <n v="0"/>
    <s v="False"/>
    <n v="44471.428571428572"/>
    <m/>
    <n v="44150"/>
    <n v="41650"/>
    <n v="43500"/>
    <n v="5500"/>
    <n v="123.3224"/>
    <n v="0.60679433400000005"/>
    <n v="14546"/>
    <n v="27.17"/>
    <n v="1.01"/>
    <n v="80.63"/>
    <n v="13"/>
    <s v="Rp5500"/>
    <n v="12.46"/>
  </r>
  <r>
    <x v="742"/>
    <n v="56750"/>
    <n v="895"/>
    <n v="6"/>
    <x v="1"/>
    <n v="1"/>
    <s v="False"/>
    <n v="46557.142857142855"/>
    <m/>
    <n v="49650"/>
    <n v="42150"/>
    <m/>
    <n v="7100"/>
    <n v="123.3224"/>
    <n v="0.60679433400000005"/>
    <n v="14795"/>
    <n v="26.58"/>
    <n v="5.0599999999999996"/>
    <n v="84.66"/>
    <n v="14"/>
    <s v="Rp7100"/>
    <n v="14.3"/>
  </r>
  <r>
    <x v="743"/>
    <n v="58500"/>
    <n v="896"/>
    <n v="6"/>
    <x v="1"/>
    <n v="2"/>
    <s v="False"/>
    <n v="48785.714285714283"/>
    <m/>
    <n v="56750"/>
    <n v="42900"/>
    <m/>
    <n v="1750"/>
    <n v="123.3224"/>
    <n v="0.60679433400000005"/>
    <n v="14740.799800000001"/>
    <n v="26.61"/>
    <n v="5.52"/>
    <n v="84.2"/>
    <n v="15"/>
    <s v="Rp1750"/>
    <n v="3.08"/>
  </r>
  <r>
    <x v="744"/>
    <n v="58500"/>
    <n v="897"/>
    <n v="6"/>
    <x v="1"/>
    <n v="3"/>
    <s v="False"/>
    <n v="50835.714285714283"/>
    <m/>
    <n v="58500"/>
    <n v="44150"/>
    <n v="41500"/>
    <n v="0"/>
    <n v="123.3224"/>
    <n v="0.60679433400000005"/>
    <n v="14681"/>
    <n v="26.68"/>
    <n v="6.23"/>
    <n v="83.43"/>
    <n v="16"/>
    <s v="Rp0"/>
    <n v="0"/>
  </r>
  <r>
    <x v="745"/>
    <n v="59400"/>
    <n v="898"/>
    <n v="6"/>
    <x v="1"/>
    <n v="4"/>
    <s v="False"/>
    <n v="53014.285714285717"/>
    <m/>
    <n v="58500"/>
    <n v="44150"/>
    <n v="40000"/>
    <n v="900"/>
    <n v="123.3224"/>
    <n v="0.60679433400000005"/>
    <n v="14776.099609999999"/>
    <n v="27.1"/>
    <n v="1.18"/>
    <n v="79.77"/>
    <n v="17"/>
    <s v="Rp900"/>
    <n v="1.54"/>
  </r>
  <r>
    <x v="746"/>
    <n v="59400"/>
    <n v="899"/>
    <n v="6"/>
    <x v="1"/>
    <n v="5"/>
    <s v="False"/>
    <n v="55192.857142857145"/>
    <m/>
    <n v="59400"/>
    <n v="44150"/>
    <n v="39750"/>
    <n v="0"/>
    <n v="123.3224"/>
    <n v="0.60679433400000005"/>
    <n v="14776.099609999999"/>
    <n v="27"/>
    <n v="8.6300000000000008"/>
    <n v="79.89"/>
    <n v="18"/>
    <s v="Rp900"/>
    <n v="1.54"/>
  </r>
  <r>
    <x v="747"/>
    <n v="64150"/>
    <n v="901"/>
    <n v="6"/>
    <x v="1"/>
    <n v="0"/>
    <s v="False"/>
    <m/>
    <m/>
    <m/>
    <n v="49650"/>
    <n v="38650"/>
    <m/>
    <n v="123.3224"/>
    <n v="0.60679433400000005"/>
    <n v="14816"/>
    <n v="26.91"/>
    <n v="8.15"/>
    <n v="79.760000000000005"/>
    <n v="20"/>
    <s v="Rp4750"/>
    <n v="8"/>
  </r>
  <r>
    <x v="748"/>
    <n v="64650"/>
    <n v="902"/>
    <n v="6"/>
    <x v="1"/>
    <n v="1"/>
    <s v="False"/>
    <m/>
    <m/>
    <n v="64150"/>
    <n v="56750"/>
    <n v="38650"/>
    <n v="500"/>
    <n v="123.3224"/>
    <n v="0.60679433400000005"/>
    <n v="14827.700199999999"/>
    <n v="27.08"/>
    <n v="4.55"/>
    <n v="80.239999999999995"/>
    <n v="21"/>
    <s v="Rp500"/>
    <n v="0.78"/>
  </r>
  <r>
    <x v="749"/>
    <n v="70500"/>
    <n v="903"/>
    <n v="6"/>
    <x v="1"/>
    <n v="2"/>
    <s v="False"/>
    <m/>
    <m/>
    <n v="64650"/>
    <n v="58500"/>
    <n v="38650"/>
    <n v="5850"/>
    <n v="123.3224"/>
    <n v="0.60679433400000005"/>
    <n v="14831.700199999999"/>
    <n v="26.74"/>
    <n v="4.2699999999999996"/>
    <n v="78.62"/>
    <n v="22"/>
    <s v="Rp5850"/>
    <n v="9.0500000000000007"/>
  </r>
  <r>
    <x v="750"/>
    <n v="71750"/>
    <n v="904"/>
    <n v="6"/>
    <x v="1"/>
    <n v="3"/>
    <s v="False"/>
    <m/>
    <m/>
    <n v="70500"/>
    <n v="58500"/>
    <n v="39150"/>
    <n v="1250"/>
    <n v="123.3224"/>
    <n v="0.60679433400000005"/>
    <n v="14843"/>
    <n v="26.61"/>
    <n v="2.73"/>
    <n v="83.15"/>
    <n v="23"/>
    <s v="Rp1250"/>
    <n v="1.77"/>
  </r>
  <r>
    <x v="751"/>
    <n v="71400"/>
    <n v="905"/>
    <n v="6"/>
    <x v="1"/>
    <n v="4"/>
    <s v="False"/>
    <m/>
    <m/>
    <n v="71750"/>
    <n v="59400"/>
    <n v="39150"/>
    <n v="-350"/>
    <n v="123.3224"/>
    <n v="0.60679433400000005"/>
    <n v="14841.799800000001"/>
    <n v="27.19"/>
    <n v="0.34"/>
    <n v="80.08"/>
    <n v="24"/>
    <s v="-Rp350"/>
    <n v="-0.49"/>
  </r>
  <r>
    <x v="752"/>
    <n v="73150"/>
    <n v="908"/>
    <n v="6"/>
    <x v="1"/>
    <n v="0"/>
    <s v="False"/>
    <m/>
    <m/>
    <m/>
    <n v="64150"/>
    <n v="39650"/>
    <m/>
    <n v="123.3224"/>
    <n v="0.60679433400000005"/>
    <n v="14841"/>
    <n v="26.89"/>
    <n v="12.18"/>
    <n v="83.65"/>
    <n v="27"/>
    <s v="Rp1750"/>
    <n v="2.4500000000000002"/>
  </r>
  <r>
    <x v="753"/>
    <n v="76400"/>
    <n v="909"/>
    <n v="6"/>
    <x v="1"/>
    <n v="1"/>
    <s v="False"/>
    <m/>
    <m/>
    <n v="73150"/>
    <n v="64650"/>
    <n v="39650"/>
    <n v="3250"/>
    <n v="123.3224"/>
    <n v="0.60679433400000005"/>
    <n v="14791"/>
    <n v="26.59"/>
    <n v="6.24"/>
    <n v="80.95"/>
    <n v="28"/>
    <s v="Rp3250"/>
    <n v="4.4400000000000004"/>
  </r>
  <r>
    <x v="754"/>
    <n v="75250"/>
    <n v="910"/>
    <n v="6"/>
    <x v="1"/>
    <n v="2"/>
    <s v="False"/>
    <m/>
    <m/>
    <n v="76400"/>
    <n v="70500"/>
    <n v="41000"/>
    <n v="-1150"/>
    <n v="123.3224"/>
    <n v="0.60679433400000005"/>
    <n v="14857"/>
    <n v="26.95"/>
    <n v="2.78"/>
    <n v="80.069999999999993"/>
    <n v="29"/>
    <s v="-Rp1150"/>
    <n v="-1.51"/>
  </r>
  <r>
    <x v="755"/>
    <n v="77150"/>
    <n v="911"/>
    <n v="6"/>
    <x v="1"/>
    <n v="3"/>
    <s v="False"/>
    <m/>
    <m/>
    <n v="75250"/>
    <n v="71750"/>
    <n v="42150"/>
    <n v="1900"/>
    <n v="123.3224"/>
    <n v="0.60679433400000005"/>
    <n v="14877"/>
    <n v="27.15"/>
    <n v="1.75"/>
    <n v="80.510000000000005"/>
    <n v="30"/>
    <s v="Rp1900"/>
    <n v="2.52"/>
  </r>
  <r>
    <x v="756"/>
    <n v="76150"/>
    <n v="912"/>
    <n v="7"/>
    <x v="1"/>
    <n v="4"/>
    <s v="False"/>
    <m/>
    <m/>
    <n v="77150"/>
    <n v="71400"/>
    <m/>
    <n v="-1000"/>
    <n v="124.11060000000001"/>
    <n v="0.63913774000000001"/>
    <n v="14921.900390000001"/>
    <n v="27.05"/>
    <n v="2.04"/>
    <n v="80.02"/>
    <n v="1"/>
    <s v="-Rp1000"/>
    <n v="-1.3"/>
  </r>
  <r>
    <x v="757"/>
    <n v="76150"/>
    <n v="913"/>
    <n v="7"/>
    <x v="1"/>
    <n v="5"/>
    <s v="False"/>
    <m/>
    <m/>
    <n v="76150"/>
    <m/>
    <n v="42150"/>
    <n v="0"/>
    <n v="124.11060000000001"/>
    <n v="0.63913774000000001"/>
    <n v="14921.900390000001"/>
    <n v="27.07"/>
    <n v="3.36"/>
    <n v="80.150000000000006"/>
    <n v="2"/>
    <s v="-Rp1000"/>
    <n v="-1.3"/>
  </r>
  <r>
    <x v="758"/>
    <n v="76150"/>
    <n v="914"/>
    <n v="7"/>
    <x v="1"/>
    <n v="6"/>
    <s v="False"/>
    <n v="75771.428571428565"/>
    <m/>
    <n v="76150"/>
    <m/>
    <n v="42150"/>
    <n v="0"/>
    <n v="124.11060000000001"/>
    <n v="0.63913774000000001"/>
    <n v="14921.900390000001"/>
    <n v="26.55"/>
    <n v="7.95"/>
    <n v="85.73"/>
    <n v="3"/>
    <s v="-Rp1000"/>
    <n v="-1.3"/>
  </r>
  <r>
    <x v="759"/>
    <n v="71750"/>
    <n v="915"/>
    <n v="7"/>
    <x v="1"/>
    <n v="0"/>
    <s v="False"/>
    <n v="75571.428571428565"/>
    <m/>
    <n v="76150"/>
    <n v="73150"/>
    <n v="42150"/>
    <n v="-4400"/>
    <n v="124.11060000000001"/>
    <n v="0.63913774000000001"/>
    <n v="14931"/>
    <n v="26.99"/>
    <n v="8.26"/>
    <n v="82.82"/>
    <n v="4"/>
    <s v="-Rp4400"/>
    <n v="-5.78"/>
  </r>
  <r>
    <x v="760"/>
    <n v="71750"/>
    <n v="916"/>
    <n v="7"/>
    <x v="1"/>
    <n v="1"/>
    <s v="False"/>
    <n v="74907.142857142855"/>
    <m/>
    <n v="71750"/>
    <n v="76400"/>
    <n v="42150"/>
    <n v="0"/>
    <n v="124.11060000000001"/>
    <n v="0.63913774000000001"/>
    <n v="15008"/>
    <n v="26.48"/>
    <n v="11.26"/>
    <n v="83.32"/>
    <n v="5"/>
    <s v="Rp0"/>
    <n v="0"/>
  </r>
  <r>
    <x v="761"/>
    <n v="69500"/>
    <n v="917"/>
    <n v="7"/>
    <x v="1"/>
    <n v="2"/>
    <s v="False"/>
    <n v="74085.71428571429"/>
    <m/>
    <n v="71750"/>
    <n v="75250"/>
    <n v="41650"/>
    <n v="-2250"/>
    <n v="124.11060000000001"/>
    <n v="0.63913774000000001"/>
    <n v="15037"/>
    <n v="27.1"/>
    <n v="11.45"/>
    <n v="79.099999999999994"/>
    <n v="6"/>
    <s v="-Rp2250"/>
    <n v="-3.14"/>
  </r>
  <r>
    <x v="762"/>
    <n v="69000"/>
    <n v="918"/>
    <n v="7"/>
    <x v="1"/>
    <n v="3"/>
    <s v="False"/>
    <n v="72921.428571428565"/>
    <m/>
    <n v="69500"/>
    <n v="77150"/>
    <n v="42150"/>
    <n v="-500"/>
    <n v="124.11060000000001"/>
    <n v="0.63913774000000001"/>
    <n v="15010"/>
    <n v="26.59"/>
    <n v="20.81"/>
    <n v="84.13"/>
    <n v="7"/>
    <s v="-Rp500"/>
    <n v="-0.72"/>
  </r>
  <r>
    <x v="763"/>
    <n v="68900"/>
    <n v="919"/>
    <n v="7"/>
    <x v="1"/>
    <n v="4"/>
    <s v="False"/>
    <n v="71885.71428571429"/>
    <m/>
    <n v="69000"/>
    <n v="76150"/>
    <n v="42900"/>
    <n v="-100"/>
    <n v="124.11060000000001"/>
    <n v="0.63913774000000001"/>
    <n v="14964.599609999999"/>
    <n v="26.18"/>
    <n v="13.73"/>
    <n v="84.28"/>
    <n v="8"/>
    <s v="-Rp100"/>
    <n v="-0.14000000000000001"/>
  </r>
  <r>
    <x v="764"/>
    <n v="68900"/>
    <n v="920"/>
    <n v="7"/>
    <x v="1"/>
    <n v="5"/>
    <s v="True"/>
    <n v="70850"/>
    <m/>
    <n v="68900"/>
    <n v="76150"/>
    <n v="44150"/>
    <n v="0"/>
    <n v="124.11060000000001"/>
    <n v="0.63913774000000001"/>
    <n v="14964.599609999999"/>
    <n v="26.32"/>
    <n v="17.350000000000001"/>
    <n v="84.71"/>
    <n v="9"/>
    <s v="-Rp100"/>
    <n v="-0.14000000000000001"/>
  </r>
  <r>
    <x v="765"/>
    <n v="68900"/>
    <n v="921"/>
    <n v="7"/>
    <x v="1"/>
    <n v="6"/>
    <s v="False"/>
    <n v="69814.28571428571"/>
    <m/>
    <n v="68900"/>
    <n v="76150"/>
    <n v="44150"/>
    <n v="0"/>
    <n v="124.11060000000001"/>
    <n v="0.63913774000000001"/>
    <n v="14964.599609999999"/>
    <n v="26.37"/>
    <n v="10.51"/>
    <n v="80.58"/>
    <n v="10"/>
    <s v="-Rp100"/>
    <n v="-0.14000000000000001"/>
  </r>
  <r>
    <x v="766"/>
    <n v="74150"/>
    <n v="922"/>
    <n v="7"/>
    <x v="1"/>
    <n v="0"/>
    <s v="False"/>
    <n v="70157.142857142855"/>
    <m/>
    <n v="68900"/>
    <n v="71750"/>
    <n v="44150"/>
    <n v="5250"/>
    <n v="124.11060000000001"/>
    <n v="0.63913774000000001"/>
    <n v="14970"/>
    <n v="26.67"/>
    <n v="5.41"/>
    <n v="77.81"/>
    <n v="11"/>
    <s v="Rp5250"/>
    <n v="7.62"/>
  </r>
  <r>
    <x v="767"/>
    <n v="72250"/>
    <n v="923"/>
    <n v="7"/>
    <x v="1"/>
    <n v="1"/>
    <s v="False"/>
    <n v="70228.571428571435"/>
    <m/>
    <n v="74150"/>
    <n v="71750"/>
    <n v="44150"/>
    <n v="-1900"/>
    <n v="124.11060000000001"/>
    <n v="0.63913774000000001"/>
    <n v="14989.099609999999"/>
    <n v="26.41"/>
    <n v="3.49"/>
    <n v="81.040000000000006"/>
    <n v="12"/>
    <s v="-Rp1900"/>
    <n v="-2.56"/>
  </r>
  <r>
    <x v="768"/>
    <n v="69150"/>
    <n v="924"/>
    <n v="7"/>
    <x v="1"/>
    <n v="2"/>
    <s v="False"/>
    <n v="70178.571428571435"/>
    <m/>
    <n v="72250"/>
    <n v="69500"/>
    <n v="49650"/>
    <n v="-3100"/>
    <n v="124.11060000000001"/>
    <n v="0.63913774000000001"/>
    <n v="15010"/>
    <n v="26.27"/>
    <n v="7.28"/>
    <n v="81.05"/>
    <n v="13"/>
    <s v="-Rp3100"/>
    <n v="-4.29"/>
  </r>
  <r>
    <x v="769"/>
    <n v="68400"/>
    <n v="925"/>
    <n v="7"/>
    <x v="1"/>
    <n v="3"/>
    <s v="False"/>
    <n v="70092.857142857145"/>
    <m/>
    <n v="69150"/>
    <n v="69000"/>
    <n v="56750"/>
    <n v="-750"/>
    <n v="124.11060000000001"/>
    <n v="0.63913774000000001"/>
    <n v="15030.400390000001"/>
    <n v="26.85"/>
    <n v="5.38"/>
    <n v="78.94"/>
    <n v="14"/>
    <s v="-Rp750"/>
    <n v="-1.08"/>
  </r>
  <r>
    <x v="770"/>
    <n v="68750"/>
    <n v="926"/>
    <n v="7"/>
    <x v="1"/>
    <n v="4"/>
    <s v="False"/>
    <n v="70071.428571428565"/>
    <m/>
    <n v="68400"/>
    <n v="68900"/>
    <n v="58500"/>
    <n v="350"/>
    <n v="124.11060000000001"/>
    <n v="0.63913774000000001"/>
    <n v="15037.099609999999"/>
    <n v="26.84"/>
    <n v="2.98"/>
    <n v="79.63"/>
    <n v="15"/>
    <s v="Rp350"/>
    <n v="0.51"/>
  </r>
  <r>
    <x v="771"/>
    <n v="78400"/>
    <n v="929"/>
    <n v="7"/>
    <x v="1"/>
    <n v="0"/>
    <s v="False"/>
    <m/>
    <m/>
    <m/>
    <n v="74150"/>
    <n v="59400"/>
    <m/>
    <n v="124.11060000000001"/>
    <n v="0.63913774000000001"/>
    <n v="14986"/>
    <n v="25.73"/>
    <n v="10.27"/>
    <n v="82.32"/>
    <n v="18"/>
    <s v="Rp9650"/>
    <n v="14.04"/>
  </r>
  <r>
    <x v="772"/>
    <n v="77900"/>
    <n v="930"/>
    <n v="7"/>
    <x v="1"/>
    <n v="1"/>
    <s v="False"/>
    <m/>
    <m/>
    <n v="78400"/>
    <n v="72250"/>
    <m/>
    <n v="-500"/>
    <n v="124.11060000000001"/>
    <n v="0.63913774000000001"/>
    <n v="14977"/>
    <n v="26.42"/>
    <n v="2.41"/>
    <n v="79.92"/>
    <n v="19"/>
    <s v="-Rp500"/>
    <n v="-0.64"/>
  </r>
  <r>
    <x v="773"/>
    <n v="79000"/>
    <n v="931"/>
    <n v="7"/>
    <x v="1"/>
    <n v="2"/>
    <s v="False"/>
    <m/>
    <m/>
    <n v="77900"/>
    <n v="69150"/>
    <n v="64150"/>
    <n v="1100"/>
    <n v="124.11060000000001"/>
    <n v="0.63913774000000001"/>
    <n v="14960.799800000001"/>
    <n v="26.86"/>
    <n v="0.89"/>
    <n v="81.36"/>
    <n v="20"/>
    <s v="Rp1100"/>
    <n v="1.41"/>
  </r>
  <r>
    <x v="774"/>
    <n v="78500"/>
    <n v="932"/>
    <n v="7"/>
    <x v="1"/>
    <n v="3"/>
    <s v="False"/>
    <m/>
    <m/>
    <n v="79000"/>
    <n v="68400"/>
    <n v="64650"/>
    <n v="-500"/>
    <n v="124.11060000000001"/>
    <n v="0.63913774000000001"/>
    <n v="15022"/>
    <n v="27.03"/>
    <n v="3.48"/>
    <n v="81.95"/>
    <n v="21"/>
    <s v="-Rp500"/>
    <n v="-0.63"/>
  </r>
  <r>
    <x v="775"/>
    <n v="78500"/>
    <n v="933"/>
    <n v="7"/>
    <x v="1"/>
    <n v="4"/>
    <s v="False"/>
    <m/>
    <m/>
    <n v="78500"/>
    <n v="68750"/>
    <n v="70500"/>
    <n v="0"/>
    <n v="124.11060000000001"/>
    <n v="0.63913774000000001"/>
    <n v="15004.200199999999"/>
    <n v="26.72"/>
    <n v="2.69"/>
    <n v="84.63"/>
    <n v="22"/>
    <s v="Rp0"/>
    <n v="0"/>
  </r>
  <r>
    <x v="776"/>
    <n v="74250"/>
    <n v="936"/>
    <n v="7"/>
    <x v="1"/>
    <n v="0"/>
    <s v="False"/>
    <m/>
    <m/>
    <m/>
    <n v="78400"/>
    <m/>
    <m/>
    <n v="124.11060000000001"/>
    <n v="0.63913774000000001"/>
    <n v="15011"/>
    <n v="26.86"/>
    <n v="5.62"/>
    <n v="84.49"/>
    <n v="25"/>
    <s v="-Rp4250"/>
    <n v="-5.41"/>
  </r>
  <r>
    <x v="777"/>
    <n v="74250"/>
    <n v="937"/>
    <n v="7"/>
    <x v="1"/>
    <n v="1"/>
    <s v="False"/>
    <m/>
    <m/>
    <n v="74250"/>
    <n v="77900"/>
    <m/>
    <n v="0"/>
    <n v="124.11060000000001"/>
    <n v="0.63913774000000001"/>
    <n v="14978"/>
    <n v="26.89"/>
    <n v="7.32"/>
    <n v="83.85"/>
    <n v="26"/>
    <s v="Rp0"/>
    <n v="0"/>
  </r>
  <r>
    <x v="778"/>
    <n v="74250"/>
    <n v="938"/>
    <n v="7"/>
    <x v="1"/>
    <n v="2"/>
    <s v="False"/>
    <m/>
    <m/>
    <n v="74250"/>
    <n v="79000"/>
    <n v="73150"/>
    <n v="0"/>
    <n v="124.11060000000001"/>
    <n v="0.63913774000000001"/>
    <n v="14982.799800000001"/>
    <n v="26.55"/>
    <n v="2.13"/>
    <n v="81.78"/>
    <n v="27"/>
    <s v="Rp0"/>
    <n v="0"/>
  </r>
  <r>
    <x v="779"/>
    <n v="74250"/>
    <n v="939"/>
    <n v="7"/>
    <x v="1"/>
    <n v="3"/>
    <s v="False"/>
    <m/>
    <m/>
    <n v="74250"/>
    <n v="78500"/>
    <n v="76400"/>
    <n v="0"/>
    <n v="124.11060000000001"/>
    <n v="0.63913774000000001"/>
    <n v="14914.200199999999"/>
    <n v="26.58"/>
    <n v="5.54"/>
    <n v="81.349999999999994"/>
    <n v="28"/>
    <s v="Rp0"/>
    <n v="0"/>
  </r>
  <r>
    <x v="780"/>
    <n v="72000"/>
    <n v="940"/>
    <n v="7"/>
    <x v="1"/>
    <n v="4"/>
    <s v="False"/>
    <m/>
    <m/>
    <n v="74250"/>
    <n v="78500"/>
    <n v="75250"/>
    <n v="-2250"/>
    <n v="124.11060000000001"/>
    <n v="0.63913774000000001"/>
    <n v="14849.099609999999"/>
    <n v="26.85"/>
    <n v="5.95"/>
    <n v="76.569999999999993"/>
    <n v="29"/>
    <s v="-Rp2250"/>
    <n v="-3.03"/>
  </r>
  <r>
    <x v="781"/>
    <n v="72000"/>
    <n v="941"/>
    <n v="7"/>
    <x v="1"/>
    <n v="5"/>
    <s v="True"/>
    <m/>
    <m/>
    <n v="72000"/>
    <m/>
    <n v="77150"/>
    <n v="0"/>
    <n v="124.11060000000001"/>
    <n v="0.63913774000000001"/>
    <n v="14849.099609999999"/>
    <n v="26.57"/>
    <n v="3.58"/>
    <n v="82.82"/>
    <n v="30"/>
    <s v="-Rp2250"/>
    <n v="-3.03"/>
  </r>
  <r>
    <x v="782"/>
    <n v="72000"/>
    <n v="942"/>
    <n v="7"/>
    <x v="1"/>
    <n v="6"/>
    <s v="False"/>
    <n v="73285.71428571429"/>
    <m/>
    <n v="72000"/>
    <m/>
    <n v="76150"/>
    <n v="0"/>
    <n v="124.11060000000001"/>
    <n v="0.63913774000000001"/>
    <n v="14849.099609999999"/>
    <n v="26.23"/>
    <n v="2.4700000000000002"/>
    <n v="82.52"/>
    <n v="31"/>
    <s v="-Rp2250"/>
    <n v="-3.03"/>
  </r>
  <r>
    <x v="783"/>
    <n v="65900"/>
    <n v="943"/>
    <n v="8"/>
    <x v="1"/>
    <n v="0"/>
    <s v="False"/>
    <n v="72092.857142857145"/>
    <m/>
    <n v="72000"/>
    <n v="74250"/>
    <n v="76150"/>
    <n v="-6100"/>
    <n v="123.8552"/>
    <n v="-0.205784196"/>
    <n v="14826"/>
    <n v="26.4"/>
    <n v="2"/>
    <n v="81.400000000000006"/>
    <n v="1"/>
    <s v="-Rp6100"/>
    <n v="-8.4700000000000006"/>
  </r>
  <r>
    <x v="784"/>
    <n v="61650"/>
    <n v="944"/>
    <n v="8"/>
    <x v="1"/>
    <n v="1"/>
    <s v="False"/>
    <n v="70292.857142857145"/>
    <m/>
    <n v="65900"/>
    <n v="74250"/>
    <n v="76150"/>
    <n v="-4250"/>
    <n v="123.8552"/>
    <n v="-0.205784196"/>
    <n v="14838"/>
    <n v="26.72"/>
    <n v="5.14"/>
    <n v="80.45"/>
    <n v="2"/>
    <s v="-Rp4250"/>
    <n v="-6.45"/>
  </r>
  <r>
    <x v="785"/>
    <n v="59250"/>
    <n v="945"/>
    <n v="8"/>
    <x v="1"/>
    <n v="2"/>
    <s v="False"/>
    <n v="68150"/>
    <m/>
    <n v="61650"/>
    <n v="74250"/>
    <n v="71750"/>
    <n v="-2400"/>
    <n v="123.8552"/>
    <n v="-0.205784196"/>
    <n v="14890.099609999999"/>
    <n v="26.67"/>
    <n v="2.02"/>
    <n v="82.85"/>
    <n v="3"/>
    <s v="-Rp2400"/>
    <n v="-3.89"/>
  </r>
  <r>
    <x v="786"/>
    <n v="56900"/>
    <n v="946"/>
    <n v="8"/>
    <x v="1"/>
    <n v="3"/>
    <s v="False"/>
    <n v="65671.428571428565"/>
    <m/>
    <n v="59250"/>
    <n v="74250"/>
    <n v="71750"/>
    <n v="-2350"/>
    <n v="123.8552"/>
    <n v="-0.205784196"/>
    <n v="14900"/>
    <n v="26.59"/>
    <n v="3.65"/>
    <n v="82.79"/>
    <n v="4"/>
    <s v="-Rp2350"/>
    <n v="-3.97"/>
  </r>
  <r>
    <x v="787"/>
    <n v="56250"/>
    <n v="947"/>
    <n v="8"/>
    <x v="1"/>
    <n v="4"/>
    <s v="False"/>
    <n v="63421.428571428572"/>
    <m/>
    <n v="56900"/>
    <n v="72000"/>
    <n v="69500"/>
    <n v="-650"/>
    <n v="123.8552"/>
    <n v="-0.205784196"/>
    <n v="14884.700199999999"/>
    <n v="26.78"/>
    <n v="3.92"/>
    <n v="77.23"/>
    <n v="5"/>
    <s v="-Rp650"/>
    <n v="-1.1399999999999999"/>
  </r>
  <r>
    <x v="788"/>
    <n v="56250"/>
    <n v="948"/>
    <n v="8"/>
    <x v="1"/>
    <n v="5"/>
    <s v="False"/>
    <n v="61171.428571428572"/>
    <m/>
    <n v="56250"/>
    <n v="72000"/>
    <n v="69000"/>
    <n v="0"/>
    <n v="123.8552"/>
    <n v="-0.205784196"/>
    <n v="14884.700199999999"/>
    <n v="26.24"/>
    <n v="6.86"/>
    <n v="82.26"/>
    <n v="6"/>
    <s v="-Rp650"/>
    <n v="-1.1399999999999999"/>
  </r>
  <r>
    <x v="789"/>
    <n v="56250"/>
    <n v="949"/>
    <n v="8"/>
    <x v="1"/>
    <n v="6"/>
    <s v="False"/>
    <n v="58921.428571428572"/>
    <m/>
    <n v="56250"/>
    <n v="72000"/>
    <n v="68900"/>
    <n v="0"/>
    <n v="123.8552"/>
    <n v="-0.205784196"/>
    <n v="14884.700199999999"/>
    <n v="26.59"/>
    <n v="3.31"/>
    <n v="78.77"/>
    <n v="7"/>
    <s v="-Rp650"/>
    <n v="-1.1399999999999999"/>
  </r>
  <r>
    <x v="790"/>
    <n v="54750"/>
    <n v="950"/>
    <n v="8"/>
    <x v="1"/>
    <n v="0"/>
    <s v="False"/>
    <n v="57328.571428571428"/>
    <m/>
    <n v="56250"/>
    <n v="65900"/>
    <n v="68900"/>
    <n v="-1500"/>
    <n v="123.8552"/>
    <n v="-0.205784196"/>
    <n v="14886"/>
    <n v="25.76"/>
    <n v="7.48"/>
    <n v="85.81"/>
    <n v="8"/>
    <s v="-Rp1500"/>
    <n v="-2.67"/>
  </r>
  <r>
    <x v="791"/>
    <n v="53250"/>
    <n v="951"/>
    <n v="8"/>
    <x v="1"/>
    <n v="1"/>
    <s v="False"/>
    <n v="56128.571428571428"/>
    <m/>
    <n v="54750"/>
    <n v="61650"/>
    <n v="68900"/>
    <n v="-1500"/>
    <n v="123.8552"/>
    <n v="-0.205784196"/>
    <n v="14831.200199999999"/>
    <n v="26.61"/>
    <n v="4.41"/>
    <n v="81.040000000000006"/>
    <n v="9"/>
    <s v="-Rp1500"/>
    <n v="-2.74"/>
  </r>
  <r>
    <x v="792"/>
    <n v="54750"/>
    <n v="952"/>
    <n v="8"/>
    <x v="1"/>
    <n v="2"/>
    <s v="False"/>
    <n v="55485.714285714283"/>
    <m/>
    <n v="53250"/>
    <n v="59250"/>
    <n v="74150"/>
    <n v="1500"/>
    <n v="123.8552"/>
    <n v="-0.205784196"/>
    <n v="14856.700199999999"/>
    <n v="27.16"/>
    <n v="5.4"/>
    <n v="78.459999999999994"/>
    <n v="10"/>
    <s v="Rp1500"/>
    <n v="2.82"/>
  </r>
  <r>
    <x v="793"/>
    <n v="55500"/>
    <n v="953"/>
    <n v="8"/>
    <x v="1"/>
    <n v="3"/>
    <s v="False"/>
    <n v="55285.714285714283"/>
    <m/>
    <n v="54750"/>
    <n v="56900"/>
    <n v="72250"/>
    <n v="750"/>
    <n v="123.8552"/>
    <n v="-0.205784196"/>
    <n v="14756.900390000001"/>
    <n v="27.42"/>
    <n v="8.16"/>
    <n v="76.349999999999994"/>
    <n v="11"/>
    <s v="Rp750"/>
    <n v="1.37"/>
  </r>
  <r>
    <x v="794"/>
    <n v="53900"/>
    <n v="954"/>
    <n v="8"/>
    <x v="1"/>
    <n v="4"/>
    <s v="False"/>
    <n v="54950"/>
    <m/>
    <n v="55500"/>
    <n v="56250"/>
    <n v="69150"/>
    <n v="-1600"/>
    <n v="123.8552"/>
    <n v="-0.205784196"/>
    <n v="14724.200199999999"/>
    <n v="27.56"/>
    <n v="1.93"/>
    <n v="77.47"/>
    <n v="12"/>
    <s v="-Rp1600"/>
    <n v="-2.88"/>
  </r>
  <r>
    <x v="795"/>
    <n v="53900"/>
    <n v="955"/>
    <n v="8"/>
    <x v="1"/>
    <n v="5"/>
    <s v="False"/>
    <n v="54614.285714285717"/>
    <m/>
    <n v="53900"/>
    <n v="56250"/>
    <n v="68400"/>
    <n v="0"/>
    <n v="123.8552"/>
    <n v="-0.205784196"/>
    <n v="14724.200199999999"/>
    <n v="27.13"/>
    <n v="1.92"/>
    <n v="81.56"/>
    <n v="13"/>
    <s v="-Rp1600"/>
    <n v="-2.88"/>
  </r>
  <r>
    <x v="796"/>
    <n v="53900"/>
    <n v="956"/>
    <n v="8"/>
    <x v="1"/>
    <n v="6"/>
    <s v="False"/>
    <n v="54278.571428571428"/>
    <m/>
    <n v="53900"/>
    <n v="56250"/>
    <n v="68750"/>
    <n v="0"/>
    <n v="123.8552"/>
    <n v="-0.205784196"/>
    <n v="14724.200199999999"/>
    <n v="27.04"/>
    <n v="4.5"/>
    <n v="82.27"/>
    <n v="14"/>
    <s v="-Rp1600"/>
    <n v="-2.88"/>
  </r>
  <r>
    <x v="797"/>
    <n v="53150"/>
    <n v="957"/>
    <n v="8"/>
    <x v="1"/>
    <n v="0"/>
    <s v="False"/>
    <n v="54050"/>
    <m/>
    <n v="53900"/>
    <n v="54750"/>
    <m/>
    <n v="-750"/>
    <n v="123.8552"/>
    <n v="-0.205784196"/>
    <n v="14661"/>
    <n v="26.29"/>
    <n v="13.35"/>
    <n v="82.67"/>
    <n v="15"/>
    <s v="-Rp750"/>
    <n v="-1.39"/>
  </r>
  <r>
    <x v="798"/>
    <n v="52650"/>
    <n v="958"/>
    <n v="8"/>
    <x v="1"/>
    <n v="1"/>
    <s v="False"/>
    <n v="53964.285714285717"/>
    <m/>
    <n v="53150"/>
    <n v="53250"/>
    <m/>
    <n v="-500"/>
    <n v="123.8552"/>
    <n v="-0.205784196"/>
    <n v="14776.400390000001"/>
    <n v="25.66"/>
    <n v="7.19"/>
    <n v="82.24"/>
    <n v="16"/>
    <s v="-Rp500"/>
    <n v="-0.94"/>
  </r>
  <r>
    <x v="799"/>
    <n v="51250"/>
    <n v="960"/>
    <n v="8"/>
    <x v="1"/>
    <n v="3"/>
    <s v="False"/>
    <m/>
    <m/>
    <m/>
    <n v="55500"/>
    <n v="77900"/>
    <m/>
    <n v="123.8552"/>
    <n v="-0.205784196"/>
    <n v="14764.099609999999"/>
    <n v="26.11"/>
    <n v="16.97"/>
    <n v="81.13"/>
    <n v="18"/>
    <m/>
    <n v="0"/>
  </r>
  <r>
    <x v="800"/>
    <n v="51250"/>
    <n v="961"/>
    <n v="8"/>
    <x v="1"/>
    <n v="4"/>
    <s v="False"/>
    <m/>
    <m/>
    <n v="51250"/>
    <n v="53900"/>
    <n v="79000"/>
    <n v="0"/>
    <n v="123.8552"/>
    <n v="-0.205784196"/>
    <n v="14845.700199999999"/>
    <n v="26.47"/>
    <n v="0.75"/>
    <n v="82.81"/>
    <n v="19"/>
    <s v="Rp0"/>
    <n v="0"/>
  </r>
  <r>
    <x v="801"/>
    <n v="48000"/>
    <n v="964"/>
    <n v="8"/>
    <x v="1"/>
    <n v="0"/>
    <s v="False"/>
    <m/>
    <m/>
    <m/>
    <n v="53150"/>
    <m/>
    <m/>
    <n v="123.8552"/>
    <n v="-0.205784196"/>
    <n v="14831"/>
    <n v="26.44"/>
    <n v="4.68"/>
    <n v="85.92"/>
    <n v="22"/>
    <s v="-Rp3250"/>
    <n v="-6.34"/>
  </r>
  <r>
    <x v="802"/>
    <n v="46900"/>
    <n v="965"/>
    <n v="8"/>
    <x v="1"/>
    <n v="1"/>
    <s v="False"/>
    <m/>
    <m/>
    <n v="48000"/>
    <n v="52650"/>
    <m/>
    <n v="-1100"/>
    <n v="123.8552"/>
    <n v="-0.205784196"/>
    <n v="14933.5"/>
    <n v="25.85"/>
    <n v="5.64"/>
    <n v="84.79"/>
    <n v="23"/>
    <s v="-Rp1100"/>
    <n v="-2.29"/>
  </r>
  <r>
    <x v="803"/>
    <n v="46900"/>
    <n v="966"/>
    <n v="8"/>
    <x v="1"/>
    <n v="2"/>
    <s v="False"/>
    <m/>
    <m/>
    <n v="46900"/>
    <m/>
    <n v="74250"/>
    <n v="0"/>
    <n v="123.8552"/>
    <n v="-0.205784196"/>
    <n v="14850"/>
    <n v="26.34"/>
    <n v="7.41"/>
    <n v="85.07"/>
    <n v="24"/>
    <s v="Rp0"/>
    <n v="0"/>
  </r>
  <r>
    <x v="804"/>
    <n v="46900"/>
    <n v="967"/>
    <n v="8"/>
    <x v="1"/>
    <n v="3"/>
    <s v="False"/>
    <m/>
    <m/>
    <n v="46900"/>
    <n v="51250"/>
    <n v="74250"/>
    <n v="0"/>
    <n v="123.8552"/>
    <n v="-0.205784196"/>
    <n v="14845"/>
    <n v="26.28"/>
    <n v="3.84"/>
    <n v="85.29"/>
    <n v="25"/>
    <s v="Rp0"/>
    <n v="0"/>
  </r>
  <r>
    <x v="805"/>
    <n v="46400"/>
    <n v="968"/>
    <n v="8"/>
    <x v="1"/>
    <n v="4"/>
    <s v="False"/>
    <m/>
    <m/>
    <n v="46900"/>
    <n v="51250"/>
    <n v="74250"/>
    <n v="-500"/>
    <n v="123.8552"/>
    <n v="-0.205784196"/>
    <n v="14773"/>
    <n v="26.38"/>
    <n v="3.54"/>
    <n v="84.57"/>
    <n v="26"/>
    <s v="-Rp500"/>
    <n v="-1.07"/>
  </r>
  <r>
    <x v="806"/>
    <n v="46400"/>
    <n v="969"/>
    <n v="8"/>
    <x v="1"/>
    <n v="5"/>
    <s v="False"/>
    <m/>
    <m/>
    <n v="46400"/>
    <m/>
    <n v="74250"/>
    <n v="0"/>
    <n v="123.8552"/>
    <n v="-0.205784196"/>
    <n v="14773"/>
    <n v="26.29"/>
    <n v="3.84"/>
    <n v="85.03"/>
    <n v="27"/>
    <s v="-Rp500"/>
    <n v="-1.07"/>
  </r>
  <r>
    <x v="807"/>
    <n v="46400"/>
    <n v="970"/>
    <n v="8"/>
    <x v="1"/>
    <n v="6"/>
    <s v="False"/>
    <n v="46842.857142857145"/>
    <m/>
    <n v="46400"/>
    <m/>
    <n v="72000"/>
    <n v="0"/>
    <n v="123.8552"/>
    <n v="-0.205784196"/>
    <n v="14773"/>
    <n v="26.6"/>
    <n v="3.31"/>
    <n v="84.76"/>
    <n v="28"/>
    <s v="-Rp500"/>
    <n v="-1.07"/>
  </r>
  <r>
    <x v="808"/>
    <n v="44750"/>
    <n v="971"/>
    <n v="8"/>
    <x v="1"/>
    <n v="0"/>
    <s v="False"/>
    <n v="46378.571428571428"/>
    <m/>
    <n v="46400"/>
    <n v="48000"/>
    <n v="72000"/>
    <n v="-1650"/>
    <n v="123.8552"/>
    <n v="-0.205784196"/>
    <n v="14811"/>
    <n v="26.18"/>
    <n v="9.9600000000000009"/>
    <n v="85.7"/>
    <n v="29"/>
    <s v="-Rp1650"/>
    <n v="-3.56"/>
  </r>
  <r>
    <x v="809"/>
    <n v="44750"/>
    <n v="972"/>
    <n v="8"/>
    <x v="1"/>
    <n v="1"/>
    <s v="False"/>
    <n v="46071.428571428572"/>
    <m/>
    <n v="44750"/>
    <n v="46900"/>
    <n v="72000"/>
    <n v="0"/>
    <n v="123.8552"/>
    <n v="-0.205784196"/>
    <n v="14895"/>
    <n v="26.46"/>
    <n v="3.53"/>
    <n v="83.59"/>
    <n v="30"/>
    <s v="Rp0"/>
    <n v="0"/>
  </r>
  <r>
    <x v="810"/>
    <n v="44750"/>
    <n v="973"/>
    <n v="8"/>
    <x v="1"/>
    <n v="2"/>
    <s v="False"/>
    <n v="45764.285714285717"/>
    <m/>
    <n v="44750"/>
    <n v="46900"/>
    <n v="65900"/>
    <n v="0"/>
    <n v="123.8552"/>
    <n v="-0.205784196"/>
    <n v="14850"/>
    <n v="26.79"/>
    <n v="6.29"/>
    <n v="81.41"/>
    <n v="31"/>
    <s v="Rp0"/>
    <n v="0"/>
  </r>
  <r>
    <x v="811"/>
    <n v="42250"/>
    <n v="974"/>
    <n v="9"/>
    <x v="1"/>
    <n v="3"/>
    <s v="False"/>
    <n v="45100"/>
    <m/>
    <n v="44750"/>
    <n v="46900"/>
    <n v="61650"/>
    <n v="-2500"/>
    <n v="125.2984"/>
    <n v="1.1652316579999999"/>
    <n v="14855"/>
    <n v="27.45"/>
    <n v="26.14"/>
    <n v="77.28"/>
    <n v="1"/>
    <s v="-Rp2500"/>
    <n v="-5.59"/>
  </r>
  <r>
    <x v="812"/>
    <n v="41000"/>
    <n v="975"/>
    <n v="9"/>
    <x v="1"/>
    <n v="4"/>
    <s v="False"/>
    <n v="44328.571428571428"/>
    <m/>
    <n v="42250"/>
    <n v="46400"/>
    <n v="59250"/>
    <n v="-1250"/>
    <n v="125.2984"/>
    <n v="1.1652316579999999"/>
    <n v="14902.099609999999"/>
    <n v="27.1"/>
    <n v="4.16"/>
    <n v="81.8"/>
    <n v="2"/>
    <s v="-Rp1250"/>
    <n v="-2.96"/>
  </r>
  <r>
    <x v="813"/>
    <n v="41000"/>
    <n v="976"/>
    <n v="9"/>
    <x v="1"/>
    <n v="5"/>
    <s v="False"/>
    <n v="43557.142857142855"/>
    <m/>
    <n v="41000"/>
    <n v="46400"/>
    <n v="56900"/>
    <n v="0"/>
    <n v="125.2984"/>
    <n v="1.1652316579999999"/>
    <n v="14902.099609999999"/>
    <n v="26.73"/>
    <n v="3.34"/>
    <n v="85.47"/>
    <n v="3"/>
    <s v="-Rp1250"/>
    <n v="-2.96"/>
  </r>
  <r>
    <x v="814"/>
    <n v="41000"/>
    <n v="977"/>
    <n v="9"/>
    <x v="1"/>
    <n v="6"/>
    <s v="False"/>
    <n v="42785.714285714283"/>
    <m/>
    <n v="41000"/>
    <n v="46400"/>
    <n v="56250"/>
    <n v="0"/>
    <n v="125.2984"/>
    <n v="1.1652316579999999"/>
    <n v="14902.099609999999"/>
    <n v="26.06"/>
    <n v="4.6100000000000003"/>
    <n v="83.37"/>
    <n v="4"/>
    <s v="-Rp1250"/>
    <n v="-2.96"/>
  </r>
  <r>
    <x v="815"/>
    <n v="39650"/>
    <n v="978"/>
    <n v="9"/>
    <x v="1"/>
    <n v="0"/>
    <s v="False"/>
    <n v="42057.142857142855"/>
    <m/>
    <n v="41000"/>
    <n v="44750"/>
    <n v="56250"/>
    <n v="-1350"/>
    <n v="125.2984"/>
    <n v="1.1652316579999999"/>
    <n v="14890"/>
    <n v="26.45"/>
    <n v="2.94"/>
    <n v="80.34"/>
    <n v="5"/>
    <s v="-Rp1350"/>
    <n v="-3.29"/>
  </r>
  <r>
    <x v="816"/>
    <n v="39650"/>
    <n v="979"/>
    <n v="9"/>
    <x v="1"/>
    <n v="1"/>
    <s v="False"/>
    <n v="41328.571428571428"/>
    <m/>
    <n v="39650"/>
    <n v="44750"/>
    <n v="56250"/>
    <n v="0"/>
    <n v="125.2984"/>
    <n v="1.1652316579999999"/>
    <n v="14882.299800000001"/>
    <n v="26.91"/>
    <n v="9.4700000000000006"/>
    <n v="79.58"/>
    <n v="6"/>
    <s v="Rp0"/>
    <n v="0"/>
  </r>
  <r>
    <x v="817"/>
    <n v="39000"/>
    <n v="980"/>
    <n v="9"/>
    <x v="1"/>
    <n v="2"/>
    <s v="False"/>
    <n v="40507.142857142855"/>
    <m/>
    <n v="39650"/>
    <n v="44750"/>
    <n v="54750"/>
    <n v="-650"/>
    <n v="125.2984"/>
    <n v="1.1652316579999999"/>
    <n v="14904"/>
    <n v="26"/>
    <n v="12.31"/>
    <n v="84.07"/>
    <n v="7"/>
    <s v="-Rp650"/>
    <n v="-1.64"/>
  </r>
  <r>
    <x v="818"/>
    <n v="39150"/>
    <n v="981"/>
    <n v="9"/>
    <x v="1"/>
    <n v="3"/>
    <s v="False"/>
    <n v="40064.285714285717"/>
    <m/>
    <n v="39000"/>
    <n v="42250"/>
    <n v="53250"/>
    <n v="150"/>
    <n v="125.2984"/>
    <n v="1.1652316579999999"/>
    <n v="14865.299800000001"/>
    <n v="26.74"/>
    <n v="0.46"/>
    <n v="83.64"/>
    <n v="8"/>
    <s v="Rp150"/>
    <n v="0.38"/>
  </r>
  <r>
    <x v="819"/>
    <n v="38500"/>
    <n v="982"/>
    <n v="9"/>
    <x v="1"/>
    <n v="4"/>
    <s v="False"/>
    <n v="39707.142857142855"/>
    <m/>
    <n v="39150"/>
    <n v="41000"/>
    <n v="54750"/>
    <n v="-650"/>
    <n v="125.2984"/>
    <n v="1.1652316579999999"/>
    <n v="14892.299800000001"/>
    <n v="26.85"/>
    <n v="1.82"/>
    <n v="83.26"/>
    <n v="9"/>
    <s v="-Rp650"/>
    <n v="-1.66"/>
  </r>
  <r>
    <x v="820"/>
    <n v="38500"/>
    <n v="983"/>
    <n v="9"/>
    <x v="1"/>
    <n v="5"/>
    <s v="False"/>
    <n v="39350"/>
    <m/>
    <n v="38500"/>
    <n v="41000"/>
    <n v="55500"/>
    <n v="0"/>
    <n v="125.2984"/>
    <n v="1.1652316579999999"/>
    <n v="14892.299800000001"/>
    <n v="26.86"/>
    <n v="9.83"/>
    <n v="82.71"/>
    <n v="10"/>
    <s v="-Rp650"/>
    <n v="-1.66"/>
  </r>
  <r>
    <x v="821"/>
    <n v="38500"/>
    <n v="984"/>
    <n v="9"/>
    <x v="1"/>
    <n v="6"/>
    <s v="False"/>
    <n v="38992.857142857145"/>
    <m/>
    <n v="38500"/>
    <n v="41000"/>
    <n v="53900"/>
    <n v="0"/>
    <n v="125.2984"/>
    <n v="1.1652316579999999"/>
    <n v="14892.299800000001"/>
    <n v="25.75"/>
    <n v="12.16"/>
    <n v="84.45"/>
    <n v="11"/>
    <s v="-Rp650"/>
    <n v="-1.66"/>
  </r>
  <r>
    <x v="822"/>
    <n v="42750"/>
    <n v="985"/>
    <n v="9"/>
    <x v="1"/>
    <n v="0"/>
    <s v="False"/>
    <n v="39435.714285714283"/>
    <m/>
    <n v="38500"/>
    <n v="39650"/>
    <n v="53900"/>
    <n v="4250"/>
    <n v="125.2984"/>
    <n v="1.1652316579999999"/>
    <n v="14823"/>
    <n v="26.98"/>
    <n v="3.47"/>
    <n v="76.650000000000006"/>
    <n v="12"/>
    <s v="Rp4250"/>
    <n v="11.04"/>
  </r>
  <r>
    <x v="823"/>
    <n v="42500"/>
    <n v="986"/>
    <n v="9"/>
    <x v="1"/>
    <n v="1"/>
    <s v="False"/>
    <n v="39842.857142857145"/>
    <m/>
    <n v="42750"/>
    <n v="39650"/>
    <n v="53900"/>
    <n v="-250"/>
    <n v="125.2984"/>
    <n v="1.1652316579999999"/>
    <n v="14858.700199999999"/>
    <n v="26.58"/>
    <n v="4.95"/>
    <n v="83.32"/>
    <n v="13"/>
    <s v="-Rp250"/>
    <n v="-0.57999999999999996"/>
  </r>
  <r>
    <x v="824"/>
    <n v="41750"/>
    <n v="987"/>
    <n v="9"/>
    <x v="1"/>
    <n v="2"/>
    <s v="False"/>
    <n v="40235.714285714283"/>
    <m/>
    <n v="42500"/>
    <n v="39000"/>
    <n v="53150"/>
    <n v="-750"/>
    <n v="125.2984"/>
    <n v="1.1652316579999999"/>
    <n v="14954.900390000001"/>
    <n v="26.78"/>
    <n v="1.98"/>
    <n v="77.75"/>
    <n v="14"/>
    <s v="-Rp750"/>
    <n v="-1.76"/>
  </r>
  <r>
    <x v="825"/>
    <n v="41750"/>
    <n v="988"/>
    <n v="9"/>
    <x v="1"/>
    <n v="3"/>
    <s v="False"/>
    <n v="40607.142857142855"/>
    <m/>
    <n v="41750"/>
    <n v="39150"/>
    <n v="52650"/>
    <n v="0"/>
    <n v="125.2984"/>
    <n v="1.1652316579999999"/>
    <n v="14915"/>
    <n v="27.12"/>
    <n v="6.54"/>
    <n v="77.86"/>
    <n v="15"/>
    <s v="Rp0"/>
    <n v="0"/>
  </r>
  <r>
    <x v="826"/>
    <n v="41750"/>
    <n v="989"/>
    <n v="9"/>
    <x v="1"/>
    <n v="4"/>
    <s v="False"/>
    <n v="41071.428571428572"/>
    <m/>
    <n v="41750"/>
    <n v="38500"/>
    <m/>
    <n v="0"/>
    <n v="125.2984"/>
    <n v="1.1652316579999999"/>
    <n v="14933.599609999999"/>
    <n v="27.21"/>
    <n v="12.02"/>
    <n v="82.24"/>
    <n v="16"/>
    <s v="Rp0"/>
    <n v="0"/>
  </r>
  <r>
    <x v="827"/>
    <n v="38250"/>
    <n v="992"/>
    <n v="9"/>
    <x v="1"/>
    <n v="0"/>
    <s v="False"/>
    <m/>
    <m/>
    <m/>
    <n v="42750"/>
    <m/>
    <m/>
    <n v="125.2984"/>
    <n v="1.1652316579999999"/>
    <n v="14946"/>
    <n v="27.03"/>
    <n v="1.61"/>
    <n v="80.83"/>
    <n v="19"/>
    <s v="-Rp3500"/>
    <n v="-8.3800000000000008"/>
  </r>
  <r>
    <x v="828"/>
    <n v="38750"/>
    <n v="993"/>
    <n v="9"/>
    <x v="1"/>
    <n v="1"/>
    <s v="False"/>
    <m/>
    <m/>
    <n v="38250"/>
    <n v="42500"/>
    <m/>
    <n v="500"/>
    <n v="125.2984"/>
    <n v="1.1652316579999999"/>
    <n v="14985.799800000001"/>
    <n v="27.19"/>
    <n v="1.18"/>
    <n v="79.23"/>
    <n v="20"/>
    <s v="Rp500"/>
    <n v="1.31"/>
  </r>
  <r>
    <x v="829"/>
    <n v="38750"/>
    <n v="994"/>
    <n v="9"/>
    <x v="1"/>
    <n v="2"/>
    <s v="False"/>
    <m/>
    <m/>
    <n v="38750"/>
    <n v="41750"/>
    <n v="48000"/>
    <n v="0"/>
    <n v="125.2984"/>
    <n v="1.1652316579999999"/>
    <n v="15008.599609999999"/>
    <n v="27.39"/>
    <n v="5.14"/>
    <n v="77.06"/>
    <n v="21"/>
    <s v="Rp0"/>
    <n v="0"/>
  </r>
  <r>
    <x v="830"/>
    <n v="37250"/>
    <n v="995"/>
    <n v="9"/>
    <x v="1"/>
    <n v="3"/>
    <s v="False"/>
    <m/>
    <m/>
    <n v="38750"/>
    <n v="41750"/>
    <n v="46900"/>
    <n v="-1500"/>
    <n v="125.2984"/>
    <n v="1.1652316579999999"/>
    <n v="15019"/>
    <n v="26.97"/>
    <n v="4.55"/>
    <n v="82.36"/>
    <n v="22"/>
    <s v="-Rp1500"/>
    <n v="-3.87"/>
  </r>
  <r>
    <x v="831"/>
    <n v="36750"/>
    <n v="996"/>
    <n v="9"/>
    <x v="1"/>
    <n v="4"/>
    <s v="False"/>
    <m/>
    <m/>
    <n v="37250"/>
    <n v="41750"/>
    <n v="46900"/>
    <n v="-500"/>
    <n v="125.2984"/>
    <n v="1.1652316579999999"/>
    <n v="15026.599609999999"/>
    <n v="27.38"/>
    <n v="2.15"/>
    <n v="80.38"/>
    <n v="23"/>
    <s v="-Rp500"/>
    <n v="-1.34"/>
  </r>
  <r>
    <x v="832"/>
    <n v="36750"/>
    <n v="999"/>
    <n v="9"/>
    <x v="1"/>
    <n v="0"/>
    <s v="False"/>
    <m/>
    <m/>
    <m/>
    <n v="38250"/>
    <n v="46400"/>
    <m/>
    <n v="125.2984"/>
    <n v="1.1652316579999999"/>
    <n v="15031"/>
    <n v="27.47"/>
    <n v="0.38"/>
    <n v="76.23"/>
    <n v="26"/>
    <s v="Rp0"/>
    <n v="0"/>
  </r>
  <r>
    <x v="833"/>
    <n v="36750"/>
    <n v="1000"/>
    <n v="9"/>
    <x v="1"/>
    <n v="1"/>
    <s v="False"/>
    <m/>
    <m/>
    <n v="36750"/>
    <n v="38750"/>
    <n v="46400"/>
    <n v="0"/>
    <n v="125.2984"/>
    <n v="1.1652316579999999"/>
    <n v="15204"/>
    <n v="27.51"/>
    <n v="1.86"/>
    <n v="77.55"/>
    <n v="27"/>
    <s v="Rp0"/>
    <n v="0"/>
  </r>
  <r>
    <x v="834"/>
    <n v="36750"/>
    <n v="1001"/>
    <n v="9"/>
    <x v="1"/>
    <n v="2"/>
    <s v="False"/>
    <m/>
    <m/>
    <n v="36750"/>
    <n v="38750"/>
    <n v="44750"/>
    <n v="0"/>
    <n v="125.2984"/>
    <n v="1.1652316579999999"/>
    <n v="15167.200199999999"/>
    <n v="27.18"/>
    <n v="4.38"/>
    <n v="79.62"/>
    <n v="28"/>
    <s v="Rp0"/>
    <n v="0"/>
  </r>
  <r>
    <x v="835"/>
    <n v="36500"/>
    <n v="1002"/>
    <n v="9"/>
    <x v="1"/>
    <n v="3"/>
    <s v="False"/>
    <m/>
    <m/>
    <n v="36750"/>
    <n v="37250"/>
    <n v="44750"/>
    <n v="-250"/>
    <n v="125.2984"/>
    <n v="1.1652316579999999"/>
    <n v="15175.299800000001"/>
    <n v="27.13"/>
    <n v="4.88"/>
    <n v="83.25"/>
    <n v="29"/>
    <s v="-Rp250"/>
    <n v="-0.68"/>
  </r>
  <r>
    <x v="836"/>
    <n v="35900"/>
    <n v="1003"/>
    <n v="9"/>
    <x v="1"/>
    <n v="4"/>
    <s v="False"/>
    <m/>
    <m/>
    <n v="36500"/>
    <n v="36750"/>
    <n v="44750"/>
    <n v="-600"/>
    <n v="125.2984"/>
    <n v="1.1652316579999999"/>
    <n v="15175.200199999999"/>
    <n v="27.4"/>
    <n v="4.18"/>
    <n v="81.22"/>
    <n v="30"/>
    <s v="-Rp600"/>
    <n v="-1.64"/>
  </r>
  <r>
    <x v="837"/>
    <n v="35900"/>
    <n v="1004"/>
    <n v="10"/>
    <x v="0"/>
    <n v="5"/>
    <s v="False"/>
    <m/>
    <m/>
    <n v="35900"/>
    <m/>
    <n v="42250"/>
    <n v="0"/>
    <n v="125.1652"/>
    <n v="-0.106306226"/>
    <n v="15175.200199999999"/>
    <n v="27.19"/>
    <n v="3.15"/>
    <n v="81.819999999999993"/>
    <n v="1"/>
    <s v="-Rp600"/>
    <n v="-1.64"/>
  </r>
  <r>
    <x v="838"/>
    <n v="35900"/>
    <n v="1005"/>
    <n v="10"/>
    <x v="0"/>
    <n v="6"/>
    <s v="False"/>
    <n v="36350"/>
    <m/>
    <n v="35900"/>
    <m/>
    <n v="41000"/>
    <n v="0"/>
    <n v="125.1652"/>
    <n v="-0.106306226"/>
    <n v="15175.200199999999"/>
    <n v="26.72"/>
    <n v="4.01"/>
    <n v="82.65"/>
    <n v="2"/>
    <s v="-Rp600"/>
    <n v="-1.64"/>
  </r>
  <r>
    <x v="839"/>
    <n v="34400"/>
    <n v="1006"/>
    <n v="10"/>
    <x v="0"/>
    <n v="0"/>
    <s v="False"/>
    <n v="36014.285714285717"/>
    <m/>
    <n v="35900"/>
    <n v="36750"/>
    <n v="41000"/>
    <n v="-1500"/>
    <n v="125.1652"/>
    <n v="-0.106306226"/>
    <n v="15221"/>
    <n v="27"/>
    <n v="2.21"/>
    <n v="81.67"/>
    <n v="3"/>
    <s v="-Rp1500"/>
    <n v="-4.18"/>
  </r>
  <r>
    <x v="840"/>
    <n v="34400"/>
    <n v="1007"/>
    <n v="10"/>
    <x v="0"/>
    <n v="1"/>
    <s v="False"/>
    <n v="35678.571428571428"/>
    <m/>
    <n v="34400"/>
    <n v="36750"/>
    <n v="41000"/>
    <n v="0"/>
    <n v="125.1652"/>
    <n v="-0.106306226"/>
    <n v="15290"/>
    <n v="26.86"/>
    <n v="8.26"/>
    <n v="83.37"/>
    <n v="4"/>
    <s v="Rp0"/>
    <n v="0"/>
  </r>
  <r>
    <x v="841"/>
    <n v="34900"/>
    <n v="1008"/>
    <n v="10"/>
    <x v="0"/>
    <n v="2"/>
    <s v="False"/>
    <n v="35414.285714285717"/>
    <m/>
    <n v="34400"/>
    <n v="36750"/>
    <n v="39650"/>
    <n v="500"/>
    <n v="125.1652"/>
    <n v="-0.106306226"/>
    <n v="15180"/>
    <n v="26.75"/>
    <n v="2.15"/>
    <n v="84.66"/>
    <n v="5"/>
    <s v="Rp500"/>
    <n v="1.45"/>
  </r>
  <r>
    <x v="842"/>
    <n v="35400"/>
    <n v="1009"/>
    <n v="10"/>
    <x v="0"/>
    <n v="3"/>
    <s v="False"/>
    <n v="35257.142857142855"/>
    <m/>
    <n v="34900"/>
    <n v="36500"/>
    <n v="39650"/>
    <n v="500"/>
    <n v="125.1652"/>
    <n v="-0.106306226"/>
    <n v="15206.700199999999"/>
    <n v="26.79"/>
    <n v="6.6"/>
    <n v="84.98"/>
    <n v="6"/>
    <s v="Rp500"/>
    <n v="1.43"/>
  </r>
  <r>
    <x v="843"/>
    <n v="36150"/>
    <n v="1010"/>
    <n v="10"/>
    <x v="0"/>
    <n v="4"/>
    <s v="False"/>
    <n v="35292.857142857145"/>
    <m/>
    <n v="35400"/>
    <n v="35900"/>
    <n v="39000"/>
    <n v="750"/>
    <n v="125.1652"/>
    <n v="-0.106306226"/>
    <n v="15215.799800000001"/>
    <n v="27.1"/>
    <n v="3.23"/>
    <n v="83.62"/>
    <n v="7"/>
    <s v="Rp750"/>
    <n v="2.12"/>
  </r>
  <r>
    <x v="844"/>
    <n v="36150"/>
    <n v="1011"/>
    <n v="10"/>
    <x v="0"/>
    <n v="5"/>
    <s v="True"/>
    <n v="35328.571428571428"/>
    <m/>
    <n v="36150"/>
    <n v="35900"/>
    <n v="39150"/>
    <n v="0"/>
    <n v="125.1652"/>
    <n v="-0.106306226"/>
    <n v="15215.799800000001"/>
    <n v="27.38"/>
    <n v="4.71"/>
    <n v="80.14"/>
    <n v="8"/>
    <s v="Rp750"/>
    <n v="2.12"/>
  </r>
  <r>
    <x v="845"/>
    <n v="36150"/>
    <n v="1012"/>
    <n v="10"/>
    <x v="0"/>
    <n v="6"/>
    <s v="False"/>
    <n v="35364.285714285717"/>
    <m/>
    <n v="36150"/>
    <n v="35900"/>
    <n v="38500"/>
    <n v="0"/>
    <n v="125.1652"/>
    <n v="-0.106306226"/>
    <n v="15215.799800000001"/>
    <n v="27.31"/>
    <n v="7.06"/>
    <n v="81.150000000000006"/>
    <n v="9"/>
    <s v="Rp750"/>
    <n v="2.12"/>
  </r>
  <r>
    <x v="846"/>
    <n v="39000"/>
    <n v="1013"/>
    <n v="10"/>
    <x v="0"/>
    <n v="0"/>
    <s v="False"/>
    <n v="36021.428571428572"/>
    <m/>
    <n v="36150"/>
    <n v="34400"/>
    <n v="38500"/>
    <n v="2850"/>
    <n v="125.1652"/>
    <n v="-0.106306226"/>
    <n v="15246"/>
    <n v="27"/>
    <n v="38.869999999999997"/>
    <n v="84.14"/>
    <n v="10"/>
    <s v="Rp2850"/>
    <n v="7.88"/>
  </r>
  <r>
    <x v="847"/>
    <n v="39000"/>
    <n v="1014"/>
    <n v="10"/>
    <x v="0"/>
    <n v="1"/>
    <s v="False"/>
    <n v="36678.571428571428"/>
    <m/>
    <n v="39000"/>
    <n v="34400"/>
    <n v="38500"/>
    <n v="0"/>
    <n v="125.1652"/>
    <n v="-0.106306226"/>
    <n v="15343"/>
    <n v="26.27"/>
    <n v="17.010000000000002"/>
    <n v="85.31"/>
    <n v="11"/>
    <s v="Rp0"/>
    <n v="0"/>
  </r>
  <r>
    <x v="848"/>
    <n v="39650"/>
    <n v="1015"/>
    <n v="10"/>
    <x v="0"/>
    <n v="2"/>
    <s v="False"/>
    <n v="37357.142857142855"/>
    <m/>
    <n v="39000"/>
    <n v="34900"/>
    <n v="42750"/>
    <n v="650"/>
    <n v="125.1652"/>
    <n v="-0.106306226"/>
    <n v="15338.5"/>
    <n v="27"/>
    <n v="3"/>
    <n v="81.34"/>
    <n v="12"/>
    <s v="Rp650"/>
    <n v="1.67"/>
  </r>
  <r>
    <x v="849"/>
    <n v="40250"/>
    <n v="1016"/>
    <n v="10"/>
    <x v="0"/>
    <n v="3"/>
    <s v="False"/>
    <n v="38050"/>
    <m/>
    <n v="39650"/>
    <n v="35400"/>
    <n v="42500"/>
    <n v="600"/>
    <n v="125.1652"/>
    <n v="-0.106306226"/>
    <n v="15318.599609999999"/>
    <n v="27.13"/>
    <n v="5.0199999999999996"/>
    <n v="81.64"/>
    <n v="13"/>
    <s v="Rp600"/>
    <n v="1.51"/>
  </r>
  <r>
    <x v="850"/>
    <n v="40400"/>
    <n v="1017"/>
    <n v="10"/>
    <x v="0"/>
    <n v="4"/>
    <s v="False"/>
    <n v="38657.142857142855"/>
    <m/>
    <n v="40250"/>
    <n v="36150"/>
    <n v="41750"/>
    <n v="150"/>
    <n v="125.1652"/>
    <n v="-0.106306226"/>
    <n v="15364"/>
    <n v="27.49"/>
    <n v="1.99"/>
    <n v="79.59"/>
    <n v="14"/>
    <s v="Rp150"/>
    <n v="0.37"/>
  </r>
  <r>
    <x v="851"/>
    <n v="40400"/>
    <n v="1018"/>
    <n v="10"/>
    <x v="0"/>
    <n v="5"/>
    <s v="False"/>
    <n v="39264.285714285717"/>
    <m/>
    <n v="40400"/>
    <n v="36150"/>
    <n v="41750"/>
    <n v="0"/>
    <n v="125.1652"/>
    <n v="-0.106306226"/>
    <n v="15364"/>
    <n v="27.61"/>
    <n v="3.86"/>
    <n v="79.89"/>
    <n v="15"/>
    <s v="Rp150"/>
    <n v="0.37"/>
  </r>
  <r>
    <x v="852"/>
    <n v="44150"/>
    <n v="1020"/>
    <n v="10"/>
    <x v="0"/>
    <n v="0"/>
    <s v="False"/>
    <m/>
    <m/>
    <m/>
    <n v="39000"/>
    <m/>
    <m/>
    <n v="125.1652"/>
    <n v="-0.106306226"/>
    <n v="15420"/>
    <n v="27.27"/>
    <n v="5.48"/>
    <n v="80.59"/>
    <n v="17"/>
    <s v="Rp3750"/>
    <n v="9.2799999999999994"/>
  </r>
  <r>
    <x v="853"/>
    <n v="42250"/>
    <n v="1021"/>
    <n v="10"/>
    <x v="0"/>
    <n v="1"/>
    <s v="False"/>
    <m/>
    <m/>
    <n v="44150"/>
    <n v="39000"/>
    <m/>
    <n v="-1900"/>
    <n v="125.1652"/>
    <n v="-0.106306226"/>
    <n v="15441.400390000001"/>
    <n v="27.36"/>
    <n v="3.53"/>
    <n v="80.61"/>
    <n v="18"/>
    <s v="-Rp1900"/>
    <n v="-4.3"/>
  </r>
  <r>
    <x v="854"/>
    <n v="42250"/>
    <n v="1022"/>
    <n v="10"/>
    <x v="0"/>
    <n v="2"/>
    <s v="False"/>
    <m/>
    <m/>
    <n v="42250"/>
    <n v="39650"/>
    <n v="38250"/>
    <n v="0"/>
    <n v="125.1652"/>
    <n v="-0.106306226"/>
    <n v="15466.200199999999"/>
    <n v="27.88"/>
    <n v="6.25"/>
    <n v="79.260000000000005"/>
    <n v="19"/>
    <s v="Rp0"/>
    <n v="0"/>
  </r>
  <r>
    <x v="855"/>
    <n v="41750"/>
    <n v="1023"/>
    <n v="10"/>
    <x v="0"/>
    <n v="3"/>
    <s v="False"/>
    <m/>
    <m/>
    <n v="42250"/>
    <n v="40250"/>
    <n v="38750"/>
    <n v="-500"/>
    <n v="125.1652"/>
    <n v="-0.106306226"/>
    <n v="15620"/>
    <n v="27.78"/>
    <n v="4.24"/>
    <n v="78.42"/>
    <n v="20"/>
    <s v="-Rp500"/>
    <n v="-1.18"/>
  </r>
  <r>
    <x v="856"/>
    <n v="42400"/>
    <n v="1024"/>
    <n v="10"/>
    <x v="0"/>
    <n v="4"/>
    <s v="False"/>
    <m/>
    <m/>
    <n v="41750"/>
    <n v="40400"/>
    <n v="38750"/>
    <n v="650"/>
    <n v="125.1652"/>
    <n v="-0.106306226"/>
    <n v="15562"/>
    <n v="26.83"/>
    <n v="1.1499999999999999"/>
    <n v="81.62"/>
    <n v="21"/>
    <s v="Rp650"/>
    <n v="1.56"/>
  </r>
  <r>
    <x v="857"/>
    <n v="42400"/>
    <n v="1025"/>
    <n v="10"/>
    <x v="0"/>
    <n v="5"/>
    <s v="False"/>
    <m/>
    <m/>
    <n v="42400"/>
    <n v="40400"/>
    <n v="37250"/>
    <n v="0"/>
    <n v="125.1652"/>
    <n v="-0.106306226"/>
    <n v="15562"/>
    <n v="27.34"/>
    <n v="15.28"/>
    <n v="83.6"/>
    <n v="22"/>
    <s v="Rp650"/>
    <n v="1.56"/>
  </r>
  <r>
    <x v="858"/>
    <n v="39150"/>
    <n v="1027"/>
    <n v="10"/>
    <x v="0"/>
    <n v="0"/>
    <s v="False"/>
    <m/>
    <m/>
    <m/>
    <n v="44150"/>
    <m/>
    <m/>
    <n v="125.1652"/>
    <n v="-0.106306226"/>
    <n v="15626"/>
    <n v="27.42"/>
    <n v="6.26"/>
    <n v="85.03"/>
    <n v="24"/>
    <s v="-Rp3250"/>
    <n v="-7.67"/>
  </r>
  <r>
    <x v="859"/>
    <n v="38750"/>
    <n v="1028"/>
    <n v="10"/>
    <x v="0"/>
    <n v="1"/>
    <s v="False"/>
    <m/>
    <m/>
    <n v="39150"/>
    <n v="42250"/>
    <m/>
    <n v="-400"/>
    <n v="125.1652"/>
    <n v="-0.106306226"/>
    <n v="15586.5"/>
    <n v="27.66"/>
    <n v="8.0500000000000007"/>
    <n v="82.91"/>
    <n v="25"/>
    <s v="-Rp400"/>
    <n v="-1.02"/>
  </r>
  <r>
    <x v="860"/>
    <n v="38750"/>
    <n v="1029"/>
    <n v="10"/>
    <x v="0"/>
    <n v="2"/>
    <s v="False"/>
    <m/>
    <m/>
    <n v="38750"/>
    <n v="42250"/>
    <n v="36750"/>
    <n v="0"/>
    <n v="125.1652"/>
    <n v="-0.106306226"/>
    <n v="15549"/>
    <n v="27.62"/>
    <n v="23.48"/>
    <n v="81.510000000000005"/>
    <n v="26"/>
    <s v="Rp0"/>
    <n v="0"/>
  </r>
  <r>
    <x v="861"/>
    <n v="38750"/>
    <n v="1030"/>
    <n v="10"/>
    <x v="0"/>
    <n v="3"/>
    <s v="False"/>
    <m/>
    <m/>
    <n v="38750"/>
    <n v="41750"/>
    <n v="36750"/>
    <n v="0"/>
    <n v="125.1652"/>
    <n v="-0.106306226"/>
    <n v="15502.700199999999"/>
    <n v="27"/>
    <n v="21.76"/>
    <n v="84.44"/>
    <n v="27"/>
    <s v="Rp0"/>
    <n v="0"/>
  </r>
  <r>
    <x v="862"/>
    <n v="38250"/>
    <n v="1031"/>
    <n v="10"/>
    <x v="0"/>
    <n v="4"/>
    <s v="False"/>
    <m/>
    <m/>
    <n v="38750"/>
    <n v="42400"/>
    <n v="36750"/>
    <n v="-500"/>
    <n v="125.1652"/>
    <n v="-0.106306226"/>
    <n v="15554.200199999999"/>
    <n v="27.58"/>
    <n v="5.23"/>
    <n v="80.52"/>
    <n v="28"/>
    <s v="-Rp500"/>
    <n v="-1.29"/>
  </r>
  <r>
    <x v="863"/>
    <n v="38250"/>
    <n v="1032"/>
    <n v="10"/>
    <x v="0"/>
    <n v="5"/>
    <s v="False"/>
    <m/>
    <m/>
    <n v="38250"/>
    <n v="42400"/>
    <n v="36500"/>
    <n v="0"/>
    <n v="125.1652"/>
    <n v="-0.106306226"/>
    <n v="15554.200199999999"/>
    <n v="27.7"/>
    <n v="3.95"/>
    <n v="81.319999999999993"/>
    <n v="29"/>
    <s v="-Rp500"/>
    <n v="-1.29"/>
  </r>
  <r>
    <x v="864"/>
    <n v="38250"/>
    <n v="1033"/>
    <n v="10"/>
    <x v="0"/>
    <n v="6"/>
    <s v="False"/>
    <n v="38592.857142857145"/>
    <m/>
    <n v="38250"/>
    <m/>
    <n v="35900"/>
    <n v="0"/>
    <n v="125.1652"/>
    <n v="-0.106306226"/>
    <n v="15554.200199999999"/>
    <n v="27.39"/>
    <n v="7.67"/>
    <n v="84.93"/>
    <n v="30"/>
    <s v="-Rp500"/>
    <n v="-1.29"/>
  </r>
  <r>
    <x v="865"/>
    <n v="38750"/>
    <n v="1034"/>
    <n v="10"/>
    <x v="0"/>
    <n v="0"/>
    <s v="False"/>
    <n v="38535.714285714283"/>
    <m/>
    <n v="38250"/>
    <n v="39150"/>
    <n v="35900"/>
    <n v="500"/>
    <n v="125.1652"/>
    <n v="-0.106306226"/>
    <n v="15549.200199999999"/>
    <n v="27.09"/>
    <n v="5.74"/>
    <n v="80.44"/>
    <n v="31"/>
    <s v="Rp500"/>
    <n v="1.31"/>
  </r>
  <r>
    <x v="866"/>
    <n v="38750"/>
    <n v="1035"/>
    <n v="11"/>
    <x v="0"/>
    <n v="1"/>
    <s v="False"/>
    <n v="38535.714285714283"/>
    <m/>
    <n v="38750"/>
    <n v="38750"/>
    <n v="35900"/>
    <n v="0"/>
    <n v="125.2762"/>
    <n v="8.8682796999999994E-2"/>
    <n v="15649"/>
    <n v="27.73"/>
    <n v="5.66"/>
    <n v="79.14"/>
    <n v="1"/>
    <s v="Rp0"/>
    <n v="0"/>
  </r>
  <r>
    <x v="867"/>
    <n v="38750"/>
    <n v="1036"/>
    <n v="11"/>
    <x v="0"/>
    <n v="2"/>
    <s v="False"/>
    <n v="38535.714285714283"/>
    <m/>
    <n v="38750"/>
    <n v="38750"/>
    <n v="34400"/>
    <n v="0"/>
    <n v="125.2762"/>
    <n v="8.8682796999999994E-2"/>
    <n v="15690"/>
    <n v="27.31"/>
    <n v="6.73"/>
    <n v="81.349999999999994"/>
    <n v="2"/>
    <s v="Rp0"/>
    <n v="0"/>
  </r>
  <r>
    <x v="868"/>
    <n v="38750"/>
    <n v="1037"/>
    <n v="11"/>
    <x v="0"/>
    <n v="3"/>
    <s v="False"/>
    <n v="38535.714285714283"/>
    <m/>
    <n v="38750"/>
    <n v="38750"/>
    <n v="34400"/>
    <n v="0"/>
    <n v="125.2762"/>
    <n v="8.8682796999999994E-2"/>
    <n v="15696"/>
    <n v="27.58"/>
    <n v="1.58"/>
    <n v="79.2"/>
    <n v="3"/>
    <s v="Rp0"/>
    <n v="0"/>
  </r>
  <r>
    <x v="869"/>
    <n v="39400"/>
    <n v="1038"/>
    <n v="11"/>
    <x v="0"/>
    <n v="4"/>
    <s v="False"/>
    <n v="38700"/>
    <m/>
    <n v="38750"/>
    <n v="38250"/>
    <n v="34900"/>
    <n v="650"/>
    <n v="125.2762"/>
    <n v="8.8682796999999994E-2"/>
    <n v="15780"/>
    <n v="27.84"/>
    <n v="2.35"/>
    <n v="76.23"/>
    <n v="4"/>
    <s v="Rp650"/>
    <n v="1.68"/>
  </r>
  <r>
    <x v="870"/>
    <n v="39400"/>
    <n v="1039"/>
    <n v="11"/>
    <x v="0"/>
    <n v="5"/>
    <s v="False"/>
    <n v="38864.285714285717"/>
    <m/>
    <n v="39400"/>
    <n v="38250"/>
    <n v="35400"/>
    <n v="0"/>
    <n v="125.2762"/>
    <n v="8.8682796999999994E-2"/>
    <n v="15780"/>
    <n v="27.98"/>
    <n v="4.04"/>
    <n v="76.98"/>
    <n v="5"/>
    <s v="Rp650"/>
    <n v="1.68"/>
  </r>
  <r>
    <x v="871"/>
    <n v="39400"/>
    <n v="1040"/>
    <n v="11"/>
    <x v="0"/>
    <n v="6"/>
    <s v="False"/>
    <n v="39028.571428571428"/>
    <m/>
    <n v="39400"/>
    <n v="38250"/>
    <n v="36150"/>
    <n v="0"/>
    <n v="125.2762"/>
    <n v="8.8682796999999994E-2"/>
    <n v="15780"/>
    <n v="27.25"/>
    <n v="24.74"/>
    <n v="82.67"/>
    <n v="6"/>
    <s v="Rp650"/>
    <n v="1.68"/>
  </r>
  <r>
    <x v="872"/>
    <n v="40400"/>
    <n v="1041"/>
    <n v="11"/>
    <x v="0"/>
    <n v="0"/>
    <s v="False"/>
    <n v="39264.285714285717"/>
    <m/>
    <n v="39400"/>
    <n v="38750"/>
    <n v="36150"/>
    <n v="1000"/>
    <n v="125.2762"/>
    <n v="8.8682796999999994E-2"/>
    <n v="15609.5"/>
    <n v="27.12"/>
    <n v="9.15"/>
    <n v="82.25"/>
    <n v="7"/>
    <m/>
    <n v="0"/>
  </r>
  <r>
    <x v="873"/>
    <n v="40900"/>
    <n v="1042"/>
    <n v="11"/>
    <x v="0"/>
    <n v="1"/>
    <s v="False"/>
    <n v="39571.428571428572"/>
    <m/>
    <n v="40400"/>
    <n v="38750"/>
    <n v="36150"/>
    <n v="500"/>
    <n v="125.2762"/>
    <n v="8.8682796999999994E-2"/>
    <n v="15675"/>
    <n v="26.79"/>
    <n v="13.34"/>
    <n v="85.22"/>
    <n v="8"/>
    <s v="Rp500"/>
    <n v="1.24"/>
  </r>
  <r>
    <x v="874"/>
    <n v="42250"/>
    <n v="1043"/>
    <n v="11"/>
    <x v="0"/>
    <n v="2"/>
    <s v="False"/>
    <n v="40071.428571428572"/>
    <m/>
    <n v="40900"/>
    <n v="38750"/>
    <n v="39000"/>
    <n v="1350"/>
    <n v="125.2762"/>
    <n v="8.8682796999999994E-2"/>
    <n v="15645"/>
    <n v="27.23"/>
    <n v="1.84"/>
    <n v="79.540000000000006"/>
    <n v="9"/>
    <s v="Rp1350"/>
    <n v="3.3"/>
  </r>
  <r>
    <x v="875"/>
    <n v="43500"/>
    <n v="1044"/>
    <n v="11"/>
    <x v="0"/>
    <n v="3"/>
    <s v="False"/>
    <n v="40750"/>
    <m/>
    <n v="42250"/>
    <n v="38750"/>
    <n v="39000"/>
    <n v="1250"/>
    <n v="125.2762"/>
    <n v="8.8682796999999994E-2"/>
    <n v="15671.5"/>
    <n v="27.27"/>
    <n v="3.26"/>
    <n v="81.010000000000005"/>
    <n v="10"/>
    <s v="Rp1250"/>
    <n v="2.96"/>
  </r>
  <r>
    <x v="876"/>
    <n v="44150"/>
    <n v="1045"/>
    <n v="11"/>
    <x v="0"/>
    <n v="4"/>
    <s v="False"/>
    <n v="41428.571428571428"/>
    <m/>
    <n v="43500"/>
    <n v="39400"/>
    <n v="39650"/>
    <n v="650"/>
    <n v="125.2762"/>
    <n v="8.8682796999999994E-2"/>
    <n v="15500"/>
    <n v="26.8"/>
    <n v="6.21"/>
    <n v="82.39"/>
    <n v="11"/>
    <s v="Rp650"/>
    <n v="1.49"/>
  </r>
  <r>
    <x v="877"/>
    <n v="44150"/>
    <n v="1046"/>
    <n v="11"/>
    <x v="0"/>
    <n v="5"/>
    <s v="False"/>
    <n v="42107.142857142855"/>
    <m/>
    <n v="44150"/>
    <n v="39400"/>
    <n v="40250"/>
    <n v="0"/>
    <n v="125.2762"/>
    <n v="8.8682796999999994E-2"/>
    <n v="15500"/>
    <n v="26.31"/>
    <n v="19.100000000000001"/>
    <n v="86.58"/>
    <n v="12"/>
    <s v="Rp650"/>
    <n v="1.49"/>
  </r>
  <r>
    <x v="878"/>
    <n v="44150"/>
    <n v="1047"/>
    <n v="11"/>
    <x v="0"/>
    <n v="6"/>
    <s v="False"/>
    <n v="42785.714285714283"/>
    <m/>
    <n v="44150"/>
    <n v="39400"/>
    <n v="40400"/>
    <n v="0"/>
    <n v="125.2762"/>
    <n v="8.8682796999999994E-2"/>
    <n v="15500"/>
    <n v="26.73"/>
    <n v="4.33"/>
    <n v="82.44"/>
    <n v="13"/>
    <s v="Rp650"/>
    <n v="1.49"/>
  </r>
  <r>
    <x v="879"/>
    <n v="45400"/>
    <n v="1048"/>
    <n v="11"/>
    <x v="0"/>
    <n v="0"/>
    <s v="False"/>
    <n v="43500"/>
    <m/>
    <n v="44150"/>
    <n v="40400"/>
    <n v="40400"/>
    <n v="1250"/>
    <n v="125.2762"/>
    <n v="8.8682796999999994E-2"/>
    <n v="15473.900390000001"/>
    <n v="27.46"/>
    <n v="3.04"/>
    <n v="80.760000000000005"/>
    <n v="14"/>
    <s v="Rp1250"/>
    <n v="2.83"/>
  </r>
  <r>
    <x v="880"/>
    <n v="45150"/>
    <n v="1049"/>
    <n v="11"/>
    <x v="0"/>
    <n v="1"/>
    <s v="False"/>
    <n v="44107.142857142855"/>
    <m/>
    <n v="45400"/>
    <n v="40900"/>
    <m/>
    <n v="-250"/>
    <n v="125.2762"/>
    <n v="8.8682796999999994E-2"/>
    <n v="15530.099609999999"/>
    <n v="27.2"/>
    <n v="33.979999999999997"/>
    <n v="82.79"/>
    <n v="15"/>
    <s v="-Rp250"/>
    <n v="-0.55000000000000004"/>
  </r>
  <r>
    <x v="881"/>
    <n v="45750"/>
    <n v="1050"/>
    <n v="11"/>
    <x v="0"/>
    <n v="2"/>
    <s v="False"/>
    <n v="44607.142857142855"/>
    <m/>
    <n v="45150"/>
    <n v="42250"/>
    <n v="44150"/>
    <n v="600"/>
    <n v="125.2762"/>
    <n v="8.8682796999999994E-2"/>
    <n v="15557"/>
    <n v="26.1"/>
    <n v="14.84"/>
    <n v="88.02"/>
    <n v="16"/>
    <s v="Rp600"/>
    <n v="1.33"/>
  </r>
  <r>
    <x v="882"/>
    <n v="45750"/>
    <n v="1051"/>
    <n v="11"/>
    <x v="0"/>
    <n v="3"/>
    <s v="False"/>
    <n v="44928.571428571428"/>
    <m/>
    <n v="45750"/>
    <n v="43500"/>
    <n v="42250"/>
    <n v="0"/>
    <n v="125.2762"/>
    <n v="8.8682796999999994E-2"/>
    <n v="15655"/>
    <n v="27.01"/>
    <n v="13.72"/>
    <n v="81.67"/>
    <n v="17"/>
    <s v="Rp0"/>
    <n v="0"/>
  </r>
  <r>
    <x v="883"/>
    <n v="44900"/>
    <n v="1052"/>
    <n v="11"/>
    <x v="0"/>
    <n v="4"/>
    <s v="False"/>
    <n v="45035.714285714283"/>
    <m/>
    <n v="45750"/>
    <n v="44150"/>
    <n v="42250"/>
    <n v="-850"/>
    <n v="125.2762"/>
    <n v="8.8682796999999994E-2"/>
    <n v="15720"/>
    <n v="27.33"/>
    <n v="11.08"/>
    <n v="80.5"/>
    <n v="18"/>
    <s v="-Rp850"/>
    <n v="-1.86"/>
  </r>
  <r>
    <x v="884"/>
    <n v="44900"/>
    <n v="1053"/>
    <n v="11"/>
    <x v="0"/>
    <n v="5"/>
    <s v="False"/>
    <n v="45142.857142857145"/>
    <m/>
    <n v="44900"/>
    <n v="44150"/>
    <n v="41750"/>
    <n v="0"/>
    <n v="125.2762"/>
    <n v="8.8682796999999994E-2"/>
    <n v="15720"/>
    <n v="26.65"/>
    <n v="24.85"/>
    <n v="86.14"/>
    <n v="19"/>
    <s v="-Rp850"/>
    <n v="-1.86"/>
  </r>
  <r>
    <x v="885"/>
    <n v="44900"/>
    <n v="1054"/>
    <n v="11"/>
    <x v="0"/>
    <n v="6"/>
    <s v="False"/>
    <n v="45250"/>
    <m/>
    <n v="44900"/>
    <n v="44150"/>
    <n v="42400"/>
    <n v="0"/>
    <n v="125.2762"/>
    <n v="8.8682796999999994E-2"/>
    <n v="15720"/>
    <n v="26.54"/>
    <n v="13.24"/>
    <n v="84.16"/>
    <n v="20"/>
    <s v="-Rp850"/>
    <n v="-1.86"/>
  </r>
  <r>
    <x v="886"/>
    <n v="45400"/>
    <n v="1055"/>
    <n v="11"/>
    <x v="0"/>
    <n v="0"/>
    <s v="False"/>
    <n v="45250"/>
    <m/>
    <n v="44900"/>
    <n v="45400"/>
    <n v="42400"/>
    <n v="500"/>
    <n v="125.2762"/>
    <n v="8.8682796999999994E-2"/>
    <n v="15629.400390000001"/>
    <n v="26.9"/>
    <n v="5.99"/>
    <n v="82.83"/>
    <n v="21"/>
    <s v="Rp500"/>
    <n v="1.1100000000000001"/>
  </r>
  <r>
    <x v="887"/>
    <n v="45400"/>
    <n v="1056"/>
    <n v="11"/>
    <x v="0"/>
    <n v="1"/>
    <s v="False"/>
    <n v="45285.714285714283"/>
    <n v="41680"/>
    <n v="45400"/>
    <n v="45150"/>
    <m/>
    <n v="0"/>
    <n v="125.2762"/>
    <n v="8.8682796999999994E-2"/>
    <n v="15755"/>
    <n v="26.35"/>
    <n v="7.88"/>
    <n v="85.29"/>
    <n v="22"/>
    <s v="Rp0"/>
    <n v="0"/>
  </r>
  <r>
    <x v="888"/>
    <n v="44500"/>
    <n v="1057"/>
    <n v="11"/>
    <x v="0"/>
    <n v="2"/>
    <s v="False"/>
    <n v="45107.142857142855"/>
    <n v="41858.333333333336"/>
    <n v="45400"/>
    <n v="45750"/>
    <n v="39150"/>
    <n v="-900"/>
    <n v="125.2762"/>
    <n v="8.8682796999999994E-2"/>
    <n v="15671"/>
    <n v="26.16"/>
    <n v="16.61"/>
    <n v="82.08"/>
    <n v="23"/>
    <s v="-Rp900"/>
    <n v="-1.98"/>
  </r>
  <r>
    <x v="889"/>
    <n v="44500"/>
    <n v="1058"/>
    <n v="11"/>
    <x v="0"/>
    <n v="3"/>
    <s v="False"/>
    <n v="44928.571428571428"/>
    <n v="42050"/>
    <n v="44500"/>
    <n v="45750"/>
    <n v="38750"/>
    <n v="0"/>
    <n v="125.2762"/>
    <n v="8.8682796999999994E-2"/>
    <n v="15619.599609999999"/>
    <n v="26.94"/>
    <n v="5.74"/>
    <n v="78.180000000000007"/>
    <n v="24"/>
    <s v="Rp0"/>
    <n v="0"/>
  </r>
  <r>
    <x v="890"/>
    <n v="44500"/>
    <n v="1059"/>
    <n v="11"/>
    <x v="0"/>
    <n v="4"/>
    <s v="False"/>
    <n v="44871.428571428572"/>
    <n v="42241.666666666664"/>
    <n v="44500"/>
    <n v="44900"/>
    <n v="38750"/>
    <n v="0"/>
    <n v="125.2762"/>
    <n v="8.8682796999999994E-2"/>
    <n v="15605"/>
    <n v="26.73"/>
    <n v="15.33"/>
    <n v="81.430000000000007"/>
    <n v="25"/>
    <s v="Rp0"/>
    <n v="0"/>
  </r>
  <r>
    <x v="891"/>
    <n v="44500"/>
    <n v="1060"/>
    <n v="11"/>
    <x v="0"/>
    <n v="5"/>
    <s v="False"/>
    <n v="44814.285714285717"/>
    <n v="42433.333333333336"/>
    <n v="44500"/>
    <n v="44900"/>
    <n v="38750"/>
    <n v="0"/>
    <n v="125.2762"/>
    <n v="8.8682796999999994E-2"/>
    <n v="15605"/>
    <n v="26.91"/>
    <n v="4.08"/>
    <n v="81.47"/>
    <n v="26"/>
    <s v="Rp0"/>
    <n v="0"/>
  </r>
  <r>
    <x v="892"/>
    <n v="44500"/>
    <n v="1061"/>
    <n v="11"/>
    <x v="0"/>
    <n v="6"/>
    <s v="False"/>
    <n v="44757.142857142855"/>
    <n v="42641.666666666664"/>
    <n v="44500"/>
    <n v="44900"/>
    <n v="38250"/>
    <n v="0"/>
    <n v="125.2762"/>
    <n v="8.8682796999999994E-2"/>
    <n v="15605"/>
    <n v="26.93"/>
    <n v="5.95"/>
    <n v="81.95"/>
    <n v="27"/>
    <s v="Rp0"/>
    <n v="0"/>
  </r>
  <r>
    <x v="893"/>
    <n v="43900"/>
    <n v="1062"/>
    <n v="11"/>
    <x v="0"/>
    <n v="0"/>
    <s v="False"/>
    <n v="44542.857142857145"/>
    <n v="42830"/>
    <n v="44500"/>
    <n v="45400"/>
    <n v="38250"/>
    <n v="-600"/>
    <n v="125.2762"/>
    <n v="8.8682796999999994E-2"/>
    <n v="15675.099609999999"/>
    <n v="27.07"/>
    <n v="2.2999999999999998"/>
    <n v="81.48"/>
    <n v="28"/>
    <s v="-Rp600"/>
    <n v="-1.35"/>
  </r>
  <r>
    <x v="894"/>
    <n v="44500"/>
    <n v="1063"/>
    <n v="11"/>
    <x v="0"/>
    <n v="1"/>
    <s v="False"/>
    <n v="44414.285714285717"/>
    <n v="43038.333333333336"/>
    <n v="43900"/>
    <n v="45400"/>
    <n v="38250"/>
    <n v="600"/>
    <n v="125.2762"/>
    <n v="8.8682796999999994E-2"/>
    <n v="15746"/>
    <n v="26.91"/>
    <n v="5.29"/>
    <n v="83.6"/>
    <n v="29"/>
    <s v="Rp600"/>
    <n v="1.37"/>
  </r>
  <r>
    <x v="895"/>
    <n v="43500"/>
    <n v="1064"/>
    <n v="11"/>
    <x v="0"/>
    <n v="2"/>
    <s v="False"/>
    <n v="44271.428571428572"/>
    <n v="43196.666666666664"/>
    <n v="44500"/>
    <n v="44500"/>
    <n v="38750"/>
    <n v="-1000"/>
    <n v="125.2762"/>
    <n v="8.8682796999999994E-2"/>
    <n v="15726.5"/>
    <n v="26.24"/>
    <n v="9.8800000000000008"/>
    <n v="82.09"/>
    <n v="30"/>
    <s v="-Rp1000"/>
    <n v="-2.25"/>
  </r>
  <r>
    <x v="896"/>
    <n v="43150"/>
    <n v="1065"/>
    <n v="12"/>
    <x v="0"/>
    <n v="3"/>
    <s v="False"/>
    <n v="44078.571428571428"/>
    <n v="43343.333333333336"/>
    <n v="43500"/>
    <n v="44500"/>
    <n v="38750"/>
    <n v="-350"/>
    <n v="126.0977"/>
    <n v="0.65575105199999995"/>
    <n v="15634.5"/>
    <n v="26.4"/>
    <n v="8.36"/>
    <n v="81.36"/>
    <n v="1"/>
    <s v="-Rp350"/>
    <n v="-0.8"/>
  </r>
  <r>
    <x v="897"/>
    <n v="43150"/>
    <n v="1066"/>
    <n v="12"/>
    <x v="0"/>
    <n v="4"/>
    <s v="False"/>
    <n v="43885.714285714283"/>
    <n v="43490"/>
    <n v="43150"/>
    <n v="44500"/>
    <n v="38750"/>
    <n v="0"/>
    <n v="126.0977"/>
    <n v="0.65575105199999995"/>
    <n v="15355.5"/>
    <n v="26.35"/>
    <n v="4.07"/>
    <n v="82.71"/>
    <n v="2"/>
    <s v="Rp0"/>
    <n v="0"/>
  </r>
  <r>
    <x v="898"/>
    <n v="43150"/>
    <n v="1067"/>
    <n v="12"/>
    <x v="0"/>
    <n v="5"/>
    <s v="False"/>
    <n v="43692.857142857145"/>
    <n v="43636.666666666664"/>
    <n v="43150"/>
    <n v="44500"/>
    <n v="38750"/>
    <n v="0"/>
    <n v="126.0977"/>
    <n v="0.65575105199999995"/>
    <n v="15355.5"/>
    <n v="26.87"/>
    <n v="2.63"/>
    <n v="81.09"/>
    <n v="3"/>
    <s v="Rp0"/>
    <n v="0"/>
  </r>
  <r>
    <x v="899"/>
    <n v="43150"/>
    <n v="1068"/>
    <n v="12"/>
    <x v="0"/>
    <n v="6"/>
    <s v="False"/>
    <n v="43500"/>
    <n v="43761.666666666664"/>
    <n v="43150"/>
    <n v="44500"/>
    <n v="39400"/>
    <n v="0"/>
    <n v="126.0977"/>
    <n v="0.65575105199999995"/>
    <n v="15355.5"/>
    <n v="26.83"/>
    <n v="5.84"/>
    <n v="79.97"/>
    <n v="4"/>
    <s v="Rp0"/>
    <n v="0"/>
  </r>
  <r>
    <x v="900"/>
    <n v="44400"/>
    <n v="1069"/>
    <n v="12"/>
    <x v="0"/>
    <n v="0"/>
    <s v="False"/>
    <n v="43571.428571428572"/>
    <n v="43928.333333333336"/>
    <n v="43150"/>
    <n v="43900"/>
    <n v="39400"/>
    <n v="1250"/>
    <n v="126.0977"/>
    <n v="0.65575105199999995"/>
    <n v="15421"/>
    <n v="26.24"/>
    <n v="6.62"/>
    <n v="83.27"/>
    <n v="5"/>
    <s v="Rp1250"/>
    <n v="2.9"/>
  </r>
  <r>
    <x v="901"/>
    <n v="43650"/>
    <n v="1070"/>
    <n v="12"/>
    <x v="0"/>
    <n v="1"/>
    <s v="False"/>
    <n v="43450"/>
    <n v="44070"/>
    <n v="44400"/>
    <n v="44500"/>
    <n v="39400"/>
    <n v="-750"/>
    <n v="126.0977"/>
    <n v="0.65575105199999995"/>
    <n v="15520.299800000001"/>
    <n v="26.68"/>
    <n v="4.8899999999999997"/>
    <n v="79.06"/>
    <n v="6"/>
    <s v="-Rp750"/>
    <n v="-1.69"/>
  </r>
  <r>
    <x v="902"/>
    <n v="45500"/>
    <n v="1071"/>
    <n v="12"/>
    <x v="0"/>
    <n v="2"/>
    <s v="False"/>
    <n v="43735.714285714283"/>
    <n v="44240"/>
    <n v="43650"/>
    <n v="43500"/>
    <n v="40400"/>
    <n v="1850"/>
    <n v="126.0977"/>
    <n v="0.65575105199999995"/>
    <n v="15623"/>
    <n v="27.37"/>
    <n v="4.91"/>
    <n v="75.52"/>
    <n v="7"/>
    <s v="Rp1850"/>
    <n v="4.24"/>
  </r>
  <r>
    <x v="903"/>
    <n v="45900"/>
    <n v="1072"/>
    <n v="12"/>
    <x v="0"/>
    <n v="3"/>
    <s v="False"/>
    <n v="44128.571428571428"/>
    <n v="44406.666666666664"/>
    <n v="45500"/>
    <n v="43150"/>
    <n v="40900"/>
    <n v="400"/>
    <n v="126.0977"/>
    <n v="0.65575105199999995"/>
    <n v="15596"/>
    <n v="26.98"/>
    <n v="3.16"/>
    <n v="79.11"/>
    <n v="8"/>
    <s v="Rp400"/>
    <n v="0.88"/>
  </r>
  <r>
    <x v="904"/>
    <n v="45250"/>
    <n v="1073"/>
    <n v="12"/>
    <x v="0"/>
    <n v="4"/>
    <s v="False"/>
    <n v="44428.571428571428"/>
    <n v="44506.666666666664"/>
    <n v="45900"/>
    <n v="43150"/>
    <n v="42250"/>
    <n v="-650"/>
    <n v="126.0977"/>
    <n v="0.65575105199999995"/>
    <n v="15590"/>
    <n v="27.66"/>
    <n v="1.91"/>
    <n v="77.42"/>
    <n v="9"/>
    <s v="-Rp650"/>
    <n v="-1.42"/>
  </r>
  <r>
    <x v="905"/>
    <n v="45250"/>
    <n v="1074"/>
    <n v="12"/>
    <x v="0"/>
    <n v="5"/>
    <s v="False"/>
    <n v="44728.571428571428"/>
    <n v="44565"/>
    <n v="45250"/>
    <n v="43150"/>
    <n v="43500"/>
    <n v="0"/>
    <n v="126.0977"/>
    <n v="0.65575105199999995"/>
    <n v="15590"/>
    <n v="27.55"/>
    <n v="3.88"/>
    <n v="80.19"/>
    <n v="10"/>
    <s v="-Rp650"/>
    <n v="-1.42"/>
  </r>
  <r>
    <x v="906"/>
    <n v="45250"/>
    <n v="1075"/>
    <n v="12"/>
    <x v="0"/>
    <n v="6"/>
    <s v="False"/>
    <n v="45028.571428571428"/>
    <n v="44601.666666666664"/>
    <n v="45250"/>
    <n v="43150"/>
    <n v="44150"/>
    <n v="0"/>
    <n v="126.0977"/>
    <n v="0.65575105199999995"/>
    <n v="15590"/>
    <n v="27.15"/>
    <n v="4.16"/>
    <n v="82.86"/>
    <n v="11"/>
    <s v="-Rp650"/>
    <n v="-1.42"/>
  </r>
  <r>
    <x v="907"/>
    <n v="45250"/>
    <n v="1076"/>
    <n v="12"/>
    <x v="0"/>
    <n v="0"/>
    <s v="False"/>
    <n v="45150"/>
    <n v="44638.333333333336"/>
    <n v="45250"/>
    <n v="44400"/>
    <n v="44150"/>
    <n v="0"/>
    <n v="126.0977"/>
    <n v="0.65575105199999995"/>
    <n v="15582"/>
    <n v="26.83"/>
    <n v="5.27"/>
    <n v="83.62"/>
    <n v="12"/>
    <s v="Rp0"/>
    <n v="0"/>
  </r>
  <r>
    <x v="908"/>
    <n v="45250"/>
    <n v="1077"/>
    <n v="12"/>
    <x v="0"/>
    <n v="1"/>
    <s v="False"/>
    <n v="45378.571428571428"/>
    <n v="44675"/>
    <n v="45250"/>
    <n v="43650"/>
    <n v="44150"/>
    <n v="0"/>
    <n v="126.0977"/>
    <n v="0.65575105199999995"/>
    <n v="15676.299800000001"/>
    <n v="26.51"/>
    <n v="10.15"/>
    <n v="83.38"/>
    <n v="13"/>
    <s v="Rp0"/>
    <n v="0"/>
  </r>
  <r>
    <x v="909"/>
    <n v="45900"/>
    <n v="1078"/>
    <n v="12"/>
    <x v="0"/>
    <n v="2"/>
    <s v="False"/>
    <n v="45435.714285714283"/>
    <n v="44691.666666666664"/>
    <n v="45250"/>
    <n v="45500"/>
    <n v="45400"/>
    <n v="650"/>
    <n v="126.0977"/>
    <n v="0.65575105199999995"/>
    <n v="15554.700199999999"/>
    <n v="26.4"/>
    <n v="7.33"/>
    <n v="82.17"/>
    <n v="14"/>
    <s v="Rp650"/>
    <n v="1.44"/>
  </r>
  <r>
    <x v="910"/>
    <n v="45650"/>
    <n v="1079"/>
    <n v="12"/>
    <x v="0"/>
    <n v="3"/>
    <s v="False"/>
    <n v="45400"/>
    <n v="44708.333333333336"/>
    <n v="45900"/>
    <n v="45900"/>
    <n v="45150"/>
    <n v="-250"/>
    <n v="126.0977"/>
    <n v="0.65575105199999995"/>
    <n v="15481"/>
    <n v="26.08"/>
    <n v="13.55"/>
    <n v="84.17"/>
    <n v="15"/>
    <s v="-Rp250"/>
    <n v="-0.54"/>
  </r>
  <r>
    <x v="911"/>
    <n v="45250"/>
    <n v="1080"/>
    <n v="12"/>
    <x v="0"/>
    <n v="4"/>
    <s v="False"/>
    <n v="45400"/>
    <n v="44691.666666666664"/>
    <n v="45650"/>
    <n v="45250"/>
    <n v="45750"/>
    <n v="-400"/>
    <n v="126.0977"/>
    <n v="0.65575105199999995"/>
    <n v="15626"/>
    <n v="26.76"/>
    <n v="3.78"/>
    <n v="80.739999999999995"/>
    <n v="16"/>
    <s v="-Rp400"/>
    <n v="-0.88"/>
  </r>
  <r>
    <x v="912"/>
    <n v="45250"/>
    <n v="1081"/>
    <n v="12"/>
    <x v="0"/>
    <n v="5"/>
    <s v="False"/>
    <n v="45400"/>
    <n v="44675"/>
    <n v="45250"/>
    <n v="45250"/>
    <n v="45750"/>
    <n v="0"/>
    <n v="126.0977"/>
    <n v="0.65575105199999995"/>
    <n v="15626"/>
    <n v="26.53"/>
    <n v="20.21"/>
    <n v="85.93"/>
    <n v="17"/>
    <s v="-Rp400"/>
    <n v="-0.88"/>
  </r>
  <r>
    <x v="913"/>
    <n v="45250"/>
    <n v="1082"/>
    <n v="12"/>
    <x v="0"/>
    <n v="6"/>
    <s v="False"/>
    <n v="45400"/>
    <n v="44686.666666666664"/>
    <n v="45250"/>
    <n v="45250"/>
    <n v="44900"/>
    <n v="0"/>
    <n v="126.0977"/>
    <n v="0.65575105199999995"/>
    <n v="15626"/>
    <n v="26.24"/>
    <n v="14.09"/>
    <n v="84.06"/>
    <n v="18"/>
    <s v="-Rp400"/>
    <n v="-0.88"/>
  </r>
  <r>
    <x v="914"/>
    <n v="45250"/>
    <n v="1083"/>
    <n v="12"/>
    <x v="0"/>
    <n v="0"/>
    <s v="False"/>
    <n v="45400"/>
    <n v="44698.333333333336"/>
    <n v="45250"/>
    <n v="45250"/>
    <n v="44900"/>
    <n v="0"/>
    <n v="126.0977"/>
    <n v="0.65575105199999995"/>
    <n v="15615.900390000001"/>
    <n v="26.69"/>
    <n v="6.01"/>
    <n v="84.63"/>
    <n v="19"/>
    <s v="Rp0"/>
    <n v="0"/>
  </r>
  <r>
    <x v="915"/>
    <n v="45250"/>
    <n v="1084"/>
    <n v="12"/>
    <x v="0"/>
    <n v="1"/>
    <s v="False"/>
    <n v="45400"/>
    <n v="44710"/>
    <n v="45250"/>
    <n v="45250"/>
    <n v="44900"/>
    <n v="0"/>
    <n v="126.0977"/>
    <n v="0.65575105199999995"/>
    <n v="15567.5"/>
    <n v="26.88"/>
    <n v="5.34"/>
    <n v="84.47"/>
    <n v="20"/>
    <s v="Rp0"/>
    <n v="0"/>
  </r>
  <r>
    <x v="916"/>
    <n v="44900"/>
    <n v="1085"/>
    <n v="12"/>
    <x v="0"/>
    <n v="2"/>
    <s v="False"/>
    <n v="45257.142857142855"/>
    <n v="44693.333333333336"/>
    <n v="45250"/>
    <n v="45900"/>
    <n v="45400"/>
    <n v="-350"/>
    <n v="126.0977"/>
    <n v="0.65575105199999995"/>
    <n v="15556"/>
    <n v="27.05"/>
    <n v="7.17"/>
    <n v="85.61"/>
    <n v="21"/>
    <s v="-Rp350"/>
    <n v="-0.77"/>
  </r>
  <r>
    <x v="917"/>
    <n v="44900"/>
    <n v="1086"/>
    <n v="12"/>
    <x v="0"/>
    <n v="3"/>
    <s v="False"/>
    <n v="45150"/>
    <n v="44676.666666666664"/>
    <n v="44900"/>
    <n v="45650"/>
    <n v="45400"/>
    <n v="0"/>
    <n v="126.0977"/>
    <n v="0.65575105199999995"/>
    <n v="15513"/>
    <n v="27.16"/>
    <n v="3.18"/>
    <n v="85.43"/>
    <n v="22"/>
    <s v="Rp0"/>
    <n v="0"/>
  </r>
  <r>
    <x v="918"/>
    <n v="44900"/>
    <n v="1087"/>
    <n v="12"/>
    <x v="0"/>
    <n v="4"/>
    <s v="False"/>
    <n v="45100"/>
    <n v="44690"/>
    <n v="44900"/>
    <n v="45250"/>
    <n v="44500"/>
    <n v="0"/>
    <n v="126.0977"/>
    <n v="0.65575105199999995"/>
    <n v="15563"/>
    <n v="27.57"/>
    <n v="2.6"/>
    <n v="81.87"/>
    <n v="23"/>
    <s v="Rp0"/>
    <n v="0"/>
  </r>
  <r>
    <x v="919"/>
    <n v="43900"/>
    <n v="1090"/>
    <n v="12"/>
    <x v="0"/>
    <n v="0"/>
    <s v="False"/>
    <m/>
    <m/>
    <m/>
    <n v="45250"/>
    <n v="44500"/>
    <m/>
    <n v="126.0977"/>
    <n v="0.65575105199999995"/>
    <n v="15565.900390000001"/>
    <n v="26.77"/>
    <n v="3.6"/>
    <n v="82.73"/>
    <n v="26"/>
    <s v="-Rp1000"/>
    <n v="-2.23"/>
  </r>
  <r>
    <x v="920"/>
    <n v="43650"/>
    <n v="1091"/>
    <n v="12"/>
    <x v="0"/>
    <n v="1"/>
    <s v="False"/>
    <m/>
    <m/>
    <n v="43900"/>
    <n v="45250"/>
    <n v="44500"/>
    <n v="-250"/>
    <n v="126.0977"/>
    <n v="0.65575105199999995"/>
    <n v="15607"/>
    <n v="26.2"/>
    <n v="5.67"/>
    <n v="86.03"/>
    <n v="27"/>
    <s v="-Rp250"/>
    <n v="-0.56999999999999995"/>
  </r>
  <r>
    <x v="921"/>
    <n v="43650"/>
    <n v="1092"/>
    <n v="12"/>
    <x v="0"/>
    <n v="2"/>
    <s v="False"/>
    <m/>
    <m/>
    <n v="43650"/>
    <n v="44900"/>
    <n v="43900"/>
    <n v="0"/>
    <n v="126.0977"/>
    <n v="0.65575105199999995"/>
    <n v="15617.5"/>
    <n v="26.17"/>
    <n v="2.11"/>
    <n v="86.07"/>
    <n v="28"/>
    <s v="Rp0"/>
    <n v="0"/>
  </r>
  <r>
    <x v="922"/>
    <n v="43650"/>
    <n v="1093"/>
    <n v="12"/>
    <x v="0"/>
    <n v="3"/>
    <s v="False"/>
    <m/>
    <m/>
    <n v="43650"/>
    <n v="44900"/>
    <n v="44500"/>
    <n v="0"/>
    <n v="126.0977"/>
    <n v="0.65575105199999995"/>
    <n v="15789"/>
    <n v="26.88"/>
    <n v="3.29"/>
    <n v="83.08"/>
    <n v="29"/>
    <s v="Rp0"/>
    <n v="0"/>
  </r>
  <r>
    <x v="923"/>
    <n v="42400"/>
    <n v="1094"/>
    <n v="12"/>
    <x v="0"/>
    <n v="4"/>
    <s v="False"/>
    <m/>
    <m/>
    <n v="43650"/>
    <n v="44900"/>
    <n v="43500"/>
    <n v="-1250"/>
    <n v="126.0977"/>
    <n v="0.65575105199999995"/>
    <n v="15620"/>
    <n v="26.86"/>
    <n v="4.95"/>
    <n v="81.150000000000006"/>
    <n v="30"/>
    <s v="-Rp1250"/>
    <n v="-2.86"/>
  </r>
  <r>
    <x v="924"/>
    <n v="42400"/>
    <n v="1095"/>
    <n v="12"/>
    <x v="0"/>
    <n v="5"/>
    <s v="False"/>
    <m/>
    <m/>
    <n v="42400"/>
    <m/>
    <n v="43150"/>
    <n v="0"/>
    <n v="126.0977"/>
    <n v="0.65575105199999995"/>
    <n v="15620"/>
    <n v="26.82"/>
    <n v="2.67"/>
    <n v="78.599999999999994"/>
    <n v="31"/>
    <s v="-Rp1250"/>
    <n v="-2.86"/>
  </r>
  <r>
    <x v="925"/>
    <n v="42400"/>
    <n v="1096"/>
    <n v="1"/>
    <x v="0"/>
    <n v="6"/>
    <s v="True"/>
    <n v="43150"/>
    <m/>
    <n v="42400"/>
    <m/>
    <n v="43150"/>
    <n v="0"/>
    <n v="126.53060000000001"/>
    <n v="0.34330523099999999"/>
    <n v="15620"/>
    <n v="26.25"/>
    <n v="1.44"/>
    <n v="84.44"/>
    <n v="1"/>
    <s v="-Rp1250"/>
    <n v="-2.86"/>
  </r>
  <r>
    <x v="926"/>
    <n v="42650"/>
    <n v="1097"/>
    <n v="1"/>
    <x v="0"/>
    <n v="0"/>
    <s v="False"/>
    <n v="42971.428571428572"/>
    <m/>
    <n v="42400"/>
    <n v="43900"/>
    <n v="43150"/>
    <n v="250"/>
    <n v="126.53060000000001"/>
    <n v="0.34330523099999999"/>
    <n v="15508.799800000001"/>
    <n v="26.5"/>
    <n v="2.5"/>
    <n v="82.3"/>
    <n v="2"/>
    <s v="Rp250"/>
    <n v="0.59"/>
  </r>
  <r>
    <x v="927"/>
    <n v="42650"/>
    <n v="1098"/>
    <n v="1"/>
    <x v="0"/>
    <n v="1"/>
    <s v="False"/>
    <n v="42828.571428571428"/>
    <m/>
    <n v="42650"/>
    <n v="43650"/>
    <n v="43150"/>
    <n v="0"/>
    <n v="126.53060000000001"/>
    <n v="0.34330523099999999"/>
    <n v="15550"/>
    <n v="25.99"/>
    <n v="3.06"/>
    <n v="85.51"/>
    <n v="3"/>
    <s v="Rp0"/>
    <n v="0"/>
  </r>
  <r>
    <x v="928"/>
    <n v="42650"/>
    <n v="1099"/>
    <n v="1"/>
    <x v="0"/>
    <n v="2"/>
    <s v="False"/>
    <n v="42685.714285714283"/>
    <m/>
    <n v="42650"/>
    <n v="43650"/>
    <n v="44400"/>
    <n v="0"/>
    <n v="126.53060000000001"/>
    <n v="0.34330523099999999"/>
    <n v="15571.799800000001"/>
    <n v="26.53"/>
    <n v="2.4300000000000002"/>
    <n v="84"/>
    <n v="4"/>
    <s v="Rp0"/>
    <n v="0"/>
  </r>
  <r>
    <x v="929"/>
    <n v="42650"/>
    <n v="1100"/>
    <n v="1"/>
    <x v="0"/>
    <n v="3"/>
    <s v="False"/>
    <n v="42542.857142857145"/>
    <m/>
    <n v="42650"/>
    <n v="43650"/>
    <n v="43650"/>
    <n v="0"/>
    <n v="126.53060000000001"/>
    <n v="0.34330523099999999"/>
    <n v="15560"/>
    <n v="26.66"/>
    <n v="2.52"/>
    <n v="85.91"/>
    <n v="5"/>
    <s v="Rp0"/>
    <n v="0"/>
  </r>
  <r>
    <x v="930"/>
    <n v="43150"/>
    <n v="1101"/>
    <n v="1"/>
    <x v="0"/>
    <n v="4"/>
    <s v="False"/>
    <n v="42650"/>
    <m/>
    <n v="42650"/>
    <n v="42400"/>
    <n v="45500"/>
    <n v="500"/>
    <n v="126.53060000000001"/>
    <n v="0.34330523099999999"/>
    <n v="15620"/>
    <n v="26.59"/>
    <n v="12.39"/>
    <n v="86.29"/>
    <n v="6"/>
    <s v="Rp500"/>
    <n v="1.17"/>
  </r>
  <r>
    <x v="931"/>
    <n v="43150"/>
    <n v="1102"/>
    <n v="1"/>
    <x v="0"/>
    <n v="5"/>
    <s v="False"/>
    <n v="42757.142857142855"/>
    <m/>
    <n v="43150"/>
    <n v="42400"/>
    <n v="45900"/>
    <n v="0"/>
    <n v="126.53060000000001"/>
    <n v="0.34330523099999999"/>
    <n v="15620"/>
    <n v="26.02"/>
    <n v="9.65"/>
    <n v="86.68"/>
    <n v="7"/>
    <s v="Rp500"/>
    <n v="1.17"/>
  </r>
  <r>
    <x v="932"/>
    <n v="43150"/>
    <n v="1103"/>
    <n v="1"/>
    <x v="0"/>
    <n v="6"/>
    <s v="False"/>
    <n v="42864.285714285717"/>
    <m/>
    <n v="43150"/>
    <n v="42400"/>
    <n v="45250"/>
    <n v="0"/>
    <n v="126.53060000000001"/>
    <n v="0.34330523099999999"/>
    <n v="15620"/>
    <n v="26.57"/>
    <n v="3.09"/>
    <n v="83.45"/>
    <n v="8"/>
    <s v="Rp500"/>
    <n v="1.17"/>
  </r>
  <r>
    <x v="933"/>
    <n v="42900"/>
    <n v="1104"/>
    <n v="1"/>
    <x v="0"/>
    <n v="0"/>
    <s v="False"/>
    <n v="42900"/>
    <m/>
    <n v="43150"/>
    <n v="42650"/>
    <n v="45250"/>
    <n v="-250"/>
    <n v="126.53060000000001"/>
    <n v="0.34330523099999999"/>
    <n v="15602.299800000001"/>
    <n v="26.32"/>
    <n v="10.36"/>
    <n v="84.4"/>
    <n v="9"/>
    <s v="-Rp250"/>
    <n v="-0.57999999999999996"/>
  </r>
  <r>
    <x v="934"/>
    <n v="42900"/>
    <n v="1105"/>
    <n v="1"/>
    <x v="0"/>
    <n v="1"/>
    <s v="False"/>
    <n v="42935.714285714283"/>
    <m/>
    <n v="42900"/>
    <n v="42650"/>
    <n v="45250"/>
    <n v="0"/>
    <n v="126.53060000000001"/>
    <n v="0.34330523099999999"/>
    <n v="15580"/>
    <n v="26.38"/>
    <n v="26.67"/>
    <n v="85.25"/>
    <n v="10"/>
    <s v="Rp0"/>
    <n v="0"/>
  </r>
  <r>
    <x v="935"/>
    <n v="42900"/>
    <n v="1106"/>
    <n v="1"/>
    <x v="0"/>
    <n v="2"/>
    <s v="False"/>
    <n v="42971.428571428572"/>
    <m/>
    <n v="42900"/>
    <n v="42650"/>
    <n v="45250"/>
    <n v="0"/>
    <n v="126.53060000000001"/>
    <n v="0.34330523099999999"/>
    <n v="15528.900390000001"/>
    <n v="26.77"/>
    <n v="7.3"/>
    <n v="81.31"/>
    <n v="11"/>
    <s v="Rp0"/>
    <n v="0"/>
  </r>
  <r>
    <x v="936"/>
    <n v="42900"/>
    <n v="1107"/>
    <n v="1"/>
    <x v="0"/>
    <n v="3"/>
    <s v="False"/>
    <n v="43007.142857142855"/>
    <m/>
    <n v="42900"/>
    <n v="42650"/>
    <n v="45250"/>
    <n v="0"/>
    <n v="126.53060000000001"/>
    <n v="0.34330523099999999"/>
    <n v="15414"/>
    <n v="26.6"/>
    <n v="6.99"/>
    <n v="82.77"/>
    <n v="12"/>
    <s v="Rp0"/>
    <n v="0"/>
  </r>
  <r>
    <x v="937"/>
    <n v="43150"/>
    <n v="1108"/>
    <n v="1"/>
    <x v="0"/>
    <n v="4"/>
    <s v="False"/>
    <n v="43007.142857142855"/>
    <m/>
    <n v="42900"/>
    <n v="43150"/>
    <n v="45900"/>
    <n v="250"/>
    <n v="126.53060000000001"/>
    <n v="0.34330523099999999"/>
    <n v="15172"/>
    <n v="26.95"/>
    <n v="3.52"/>
    <n v="81.84"/>
    <n v="13"/>
    <s v="Rp250"/>
    <n v="0.57999999999999996"/>
  </r>
  <r>
    <x v="938"/>
    <n v="43150"/>
    <n v="1109"/>
    <n v="1"/>
    <x v="0"/>
    <n v="5"/>
    <s v="False"/>
    <n v="43007.142857142855"/>
    <m/>
    <n v="43150"/>
    <n v="43150"/>
    <n v="45650"/>
    <n v="0"/>
    <n v="126.53060000000001"/>
    <n v="0.34330523099999999"/>
    <n v="15172"/>
    <n v="26.91"/>
    <n v="1.36"/>
    <n v="83.26"/>
    <n v="14"/>
    <s v="Rp250"/>
    <n v="0.57999999999999996"/>
  </r>
  <r>
    <x v="939"/>
    <n v="43150"/>
    <n v="1110"/>
    <n v="1"/>
    <x v="0"/>
    <n v="6"/>
    <s v="False"/>
    <n v="43007.142857142855"/>
    <m/>
    <n v="43150"/>
    <n v="43150"/>
    <n v="45250"/>
    <n v="0"/>
    <n v="126.53060000000001"/>
    <n v="0.34330523099999999"/>
    <n v="15172"/>
    <n v="26.98"/>
    <n v="2.5299999999999998"/>
    <n v="83.1"/>
    <n v="15"/>
    <s v="Rp250"/>
    <n v="0.57999999999999996"/>
  </r>
  <r>
    <x v="940"/>
    <n v="43150"/>
    <n v="1111"/>
    <n v="1"/>
    <x v="0"/>
    <n v="0"/>
    <s v="False"/>
    <n v="43042.857142857145"/>
    <m/>
    <n v="43150"/>
    <n v="42900"/>
    <n v="45250"/>
    <n v="0"/>
    <n v="126.53060000000001"/>
    <n v="0.34330523099999999"/>
    <n v="15114.799800000001"/>
    <n v="26.79"/>
    <n v="4.67"/>
    <n v="82.78"/>
    <n v="16"/>
    <s v="Rp0"/>
    <n v="0"/>
  </r>
  <r>
    <x v="941"/>
    <n v="43150"/>
    <n v="1112"/>
    <n v="1"/>
    <x v="0"/>
    <n v="1"/>
    <s v="False"/>
    <n v="43078.571428571428"/>
    <m/>
    <n v="43150"/>
    <n v="42900"/>
    <n v="45250"/>
    <n v="0"/>
    <n v="126.53060000000001"/>
    <n v="0.34330523099999999"/>
    <n v="15082"/>
    <n v="27.05"/>
    <n v="2.31"/>
    <n v="78.59"/>
    <n v="17"/>
    <s v="Rp0"/>
    <n v="0"/>
  </r>
  <r>
    <x v="942"/>
    <n v="43150"/>
    <n v="1113"/>
    <n v="1"/>
    <x v="0"/>
    <n v="2"/>
    <s v="False"/>
    <n v="43114.285714285717"/>
    <m/>
    <n v="43150"/>
    <n v="42900"/>
    <n v="45250"/>
    <n v="0"/>
    <n v="126.53060000000001"/>
    <n v="0.34330523099999999"/>
    <n v="15162"/>
    <n v="26.06"/>
    <n v="7.36"/>
    <n v="83.26"/>
    <n v="18"/>
    <s v="Rp0"/>
    <n v="0"/>
  </r>
  <r>
    <x v="943"/>
    <n v="43150"/>
    <n v="1114"/>
    <n v="1"/>
    <x v="0"/>
    <n v="3"/>
    <s v="False"/>
    <n v="43150"/>
    <m/>
    <n v="43150"/>
    <n v="42900"/>
    <n v="45250"/>
    <n v="0"/>
    <n v="126.53060000000001"/>
    <n v="0.34330523099999999"/>
    <n v="15096"/>
    <n v="26.1"/>
    <n v="1.64"/>
    <n v="82.39"/>
    <n v="19"/>
    <s v="Rp0"/>
    <n v="0"/>
  </r>
  <r>
    <x v="944"/>
    <n v="43150"/>
    <n v="1115"/>
    <n v="1"/>
    <x v="0"/>
    <n v="4"/>
    <s v="False"/>
    <n v="43150"/>
    <m/>
    <n v="43150"/>
    <n v="43150"/>
    <n v="44900"/>
    <n v="0"/>
    <n v="126.53060000000001"/>
    <n v="0.34330523099999999"/>
    <n v="15141"/>
    <n v="26.42"/>
    <n v="10.23"/>
    <n v="84.83"/>
    <n v="20"/>
    <s v="Rp0"/>
    <n v="0"/>
  </r>
  <r>
    <x v="945"/>
    <n v="43150"/>
    <n v="1116"/>
    <n v="1"/>
    <x v="0"/>
    <n v="5"/>
    <s v="False"/>
    <n v="43150"/>
    <m/>
    <n v="43150"/>
    <n v="43150"/>
    <n v="44900"/>
    <n v="0"/>
    <n v="126.53060000000001"/>
    <n v="0.34330523099999999"/>
    <n v="15141"/>
    <n v="25.35"/>
    <n v="17.32"/>
    <n v="82.86"/>
    <n v="21"/>
    <s v="Rp0"/>
    <n v="0"/>
  </r>
  <r>
    <x v="946"/>
    <n v="43150"/>
    <n v="1117"/>
    <n v="1"/>
    <x v="0"/>
    <n v="6"/>
    <s v="True"/>
    <n v="43150"/>
    <m/>
    <n v="43150"/>
    <n v="43150"/>
    <n v="44900"/>
    <n v="0"/>
    <n v="126.53060000000001"/>
    <n v="0.34330523099999999"/>
    <n v="15141"/>
    <n v="25.73"/>
    <n v="12.97"/>
    <n v="85.2"/>
    <n v="22"/>
    <s v="Rp0"/>
    <n v="0"/>
  </r>
  <r>
    <x v="947"/>
    <n v="43150"/>
    <n v="1118"/>
    <n v="1"/>
    <x v="0"/>
    <n v="0"/>
    <s v="False"/>
    <n v="43150"/>
    <m/>
    <n v="43150"/>
    <n v="43150"/>
    <m/>
    <n v="0"/>
    <n v="126.53060000000001"/>
    <n v="0.34330523099999999"/>
    <n v="15055.900390000001"/>
    <n v="25.8"/>
    <n v="32.950000000000003"/>
    <n v="87.07"/>
    <n v="23"/>
    <s v="Rp0"/>
    <n v="0"/>
  </r>
  <r>
    <x v="948"/>
    <n v="42150"/>
    <n v="1119"/>
    <n v="1"/>
    <x v="0"/>
    <n v="1"/>
    <s v="False"/>
    <n v="43007.142857142855"/>
    <n v="43016.666666666664"/>
    <n v="43150"/>
    <n v="43150"/>
    <m/>
    <n v="-1000"/>
    <n v="126.53060000000001"/>
    <n v="0.34330523099999999"/>
    <n v="15007"/>
    <n v="26.05"/>
    <n v="6.34"/>
    <n v="86.04"/>
    <n v="24"/>
    <s v="-Rp1000"/>
    <n v="-2.3199999999999998"/>
  </r>
  <r>
    <x v="949"/>
    <n v="41900"/>
    <n v="1120"/>
    <n v="1"/>
    <x v="0"/>
    <n v="2"/>
    <s v="False"/>
    <n v="42828.571428571428"/>
    <n v="42950"/>
    <n v="42150"/>
    <n v="43150"/>
    <n v="43900"/>
    <n v="-250"/>
    <n v="126.53060000000001"/>
    <n v="0.34330523099999999"/>
    <n v="14955.5"/>
    <n v="26.12"/>
    <n v="13.53"/>
    <n v="87.5"/>
    <n v="25"/>
    <s v="-Rp250"/>
    <n v="-0.59"/>
  </r>
  <r>
    <x v="950"/>
    <n v="41250"/>
    <n v="1121"/>
    <n v="1"/>
    <x v="0"/>
    <n v="3"/>
    <s v="False"/>
    <n v="42557.142857142855"/>
    <n v="42870"/>
    <n v="41900"/>
    <n v="43150"/>
    <n v="43650"/>
    <n v="-650"/>
    <n v="126.53060000000001"/>
    <n v="0.34330523099999999"/>
    <n v="14938.700199999999"/>
    <n v="26.64"/>
    <n v="33.78"/>
    <n v="84.93"/>
    <n v="26"/>
    <s v="-Rp650"/>
    <n v="-1.55"/>
  </r>
  <r>
    <x v="951"/>
    <n v="41250"/>
    <n v="1122"/>
    <n v="1"/>
    <x v="0"/>
    <n v="4"/>
    <s v="False"/>
    <n v="42285.714285714283"/>
    <n v="42790"/>
    <n v="41250"/>
    <n v="43150"/>
    <n v="43650"/>
    <n v="0"/>
    <n v="126.53060000000001"/>
    <n v="0.34330523099999999"/>
    <n v="14942.5"/>
    <n v="25.95"/>
    <n v="35.04"/>
    <n v="88.59"/>
    <n v="27"/>
    <s v="Rp0"/>
    <n v="0"/>
  </r>
  <r>
    <x v="952"/>
    <n v="41250"/>
    <n v="1123"/>
    <n v="1"/>
    <x v="0"/>
    <n v="5"/>
    <s v="False"/>
    <n v="42014.285714285717"/>
    <n v="42710"/>
    <n v="41250"/>
    <n v="43150"/>
    <n v="43650"/>
    <n v="0"/>
    <n v="126.53060000000001"/>
    <n v="0.34330523099999999"/>
    <n v="14942.5"/>
    <n v="26.29"/>
    <n v="10.029999999999999"/>
    <n v="83.61"/>
    <n v="28"/>
    <s v="Rp0"/>
    <n v="0"/>
  </r>
  <r>
    <x v="953"/>
    <n v="41250"/>
    <n v="1124"/>
    <n v="1"/>
    <x v="0"/>
    <n v="6"/>
    <s v="False"/>
    <n v="41742.857142857145"/>
    <n v="42671.666666666664"/>
    <n v="41250"/>
    <n v="43150"/>
    <n v="42400"/>
    <n v="0"/>
    <n v="126.53060000000001"/>
    <n v="0.34330523099999999"/>
    <n v="14942.5"/>
    <n v="26.53"/>
    <n v="2.0499999999999998"/>
    <n v="81.489999999999995"/>
    <n v="29"/>
    <s v="Rp0"/>
    <n v="0"/>
  </r>
  <r>
    <x v="954"/>
    <n v="41250"/>
    <n v="1125"/>
    <n v="1"/>
    <x v="0"/>
    <n v="0"/>
    <s v="False"/>
    <n v="41471.428571428572"/>
    <n v="42633.333333333336"/>
    <n v="41250"/>
    <n v="43150"/>
    <n v="42400"/>
    <n v="0"/>
    <n v="126.53060000000001"/>
    <n v="0.34330523099999999"/>
    <n v="14970.400390000001"/>
    <n v="26.28"/>
    <n v="4.47"/>
    <n v="84.28"/>
    <n v="30"/>
    <s v="Rp0"/>
    <n v="0"/>
  </r>
  <r>
    <x v="955"/>
    <n v="40500"/>
    <n v="1126"/>
    <n v="1"/>
    <x v="0"/>
    <n v="1"/>
    <s v="False"/>
    <n v="41235.714285714283"/>
    <n v="42570"/>
    <n v="41250"/>
    <n v="42150"/>
    <n v="42400"/>
    <n v="-750"/>
    <n v="126.53060000000001"/>
    <n v="0.34330523099999999"/>
    <n v="14995"/>
    <n v="26.03"/>
    <n v="9.34"/>
    <n v="87.2"/>
    <n v="31"/>
    <s v="-Rp750"/>
    <n v="-1.82"/>
  </r>
  <r>
    <x v="956"/>
    <n v="41000"/>
    <n v="1127"/>
    <n v="2"/>
    <x v="0"/>
    <n v="2"/>
    <s v="False"/>
    <n v="41107.142857142855"/>
    <n v="42515"/>
    <n v="40500"/>
    <n v="41900"/>
    <n v="42650"/>
    <n v="500"/>
    <n v="126.7304"/>
    <n v="0.15790646699999999"/>
    <n v="14990.700199999999"/>
    <n v="26.38"/>
    <n v="11.71"/>
    <n v="86.69"/>
    <n v="1"/>
    <s v="Rp500"/>
    <n v="1.23"/>
  </r>
  <r>
    <x v="957"/>
    <n v="41000"/>
    <n v="1128"/>
    <n v="2"/>
    <x v="0"/>
    <n v="3"/>
    <s v="False"/>
    <n v="41071.428571428572"/>
    <n v="42460"/>
    <n v="41000"/>
    <n v="41250"/>
    <n v="42650"/>
    <n v="0"/>
    <n v="126.7304"/>
    <n v="0.15790646699999999"/>
    <n v="14855"/>
    <n v="25.5"/>
    <n v="9.08"/>
    <n v="86.42"/>
    <n v="2"/>
    <s v="Rp0"/>
    <n v="0"/>
  </r>
  <r>
    <x v="958"/>
    <n v="42000"/>
    <n v="1129"/>
    <n v="2"/>
    <x v="0"/>
    <n v="4"/>
    <s v="False"/>
    <n v="41178.571428571428"/>
    <n v="42438.333333333336"/>
    <n v="41000"/>
    <n v="41250"/>
    <n v="42650"/>
    <n v="1000"/>
    <n v="126.7304"/>
    <n v="0.15790646699999999"/>
    <n v="14881"/>
    <n v="26.42"/>
    <n v="9.1300000000000008"/>
    <n v="85.62"/>
    <n v="3"/>
    <s v="Rp1000"/>
    <n v="2.44"/>
  </r>
  <r>
    <x v="959"/>
    <n v="42000"/>
    <n v="1130"/>
    <n v="2"/>
    <x v="0"/>
    <n v="5"/>
    <s v="False"/>
    <n v="41285.714285714283"/>
    <n v="42416.666666666664"/>
    <n v="42000"/>
    <n v="41250"/>
    <n v="42650"/>
    <n v="0"/>
    <n v="126.7304"/>
    <n v="0.15790646699999999"/>
    <n v="14881"/>
    <n v="25.68"/>
    <n v="14.93"/>
    <n v="86.38"/>
    <n v="4"/>
    <s v="Rp1000"/>
    <n v="2.44"/>
  </r>
  <r>
    <x v="960"/>
    <n v="42000"/>
    <n v="1131"/>
    <n v="2"/>
    <x v="0"/>
    <n v="6"/>
    <s v="False"/>
    <n v="41392.857142857145"/>
    <n v="42378.333333333336"/>
    <n v="42000"/>
    <n v="41250"/>
    <n v="43150"/>
    <n v="0"/>
    <n v="126.7304"/>
    <n v="0.15790646699999999"/>
    <n v="14881"/>
    <n v="25.71"/>
    <n v="5.73"/>
    <n v="83.4"/>
    <n v="5"/>
    <s v="Rp1000"/>
    <n v="2.44"/>
  </r>
  <r>
    <x v="961"/>
    <n v="43250"/>
    <n v="1132"/>
    <n v="2"/>
    <x v="0"/>
    <n v="0"/>
    <s v="False"/>
    <n v="41678.571428571428"/>
    <n v="42381.666666666664"/>
    <n v="42000"/>
    <n v="41250"/>
    <n v="43150"/>
    <n v="1250"/>
    <n v="126.7304"/>
    <n v="0.15790646699999999"/>
    <n v="15078.799800000001"/>
    <n v="26.09"/>
    <n v="3.22"/>
    <n v="83.91"/>
    <n v="6"/>
    <s v="Rp1250"/>
    <n v="2.98"/>
  </r>
  <r>
    <x v="962"/>
    <n v="43750"/>
    <n v="1133"/>
    <n v="2"/>
    <x v="0"/>
    <n v="1"/>
    <s v="False"/>
    <n v="42142.857142857145"/>
    <n v="42401.666666666664"/>
    <n v="43250"/>
    <n v="40500"/>
    <n v="43150"/>
    <n v="500"/>
    <n v="126.7304"/>
    <n v="0.15790646699999999"/>
    <n v="15200"/>
    <n v="25.7"/>
    <n v="23.43"/>
    <n v="86.27"/>
    <n v="7"/>
    <s v="Rp500"/>
    <n v="1.1599999999999999"/>
  </r>
  <r>
    <x v="963"/>
    <n v="43750"/>
    <n v="1134"/>
    <n v="2"/>
    <x v="0"/>
    <n v="2"/>
    <s v="False"/>
    <n v="42535.714285714283"/>
    <n v="42430"/>
    <n v="43750"/>
    <n v="41000"/>
    <n v="42900"/>
    <n v="0"/>
    <n v="126.7304"/>
    <n v="0.15790646699999999"/>
    <n v="15147"/>
    <n v="25.06"/>
    <n v="22.32"/>
    <n v="87.21"/>
    <n v="8"/>
    <s v="Rp0"/>
    <n v="0"/>
  </r>
  <r>
    <x v="964"/>
    <n v="45500"/>
    <n v="1135"/>
    <n v="2"/>
    <x v="0"/>
    <n v="3"/>
    <s v="False"/>
    <n v="43178.571428571428"/>
    <n v="42516.666666666664"/>
    <n v="43750"/>
    <n v="41000"/>
    <n v="42900"/>
    <n v="1750"/>
    <n v="126.7304"/>
    <n v="0.15790646699999999"/>
    <n v="15117"/>
    <n v="25.87"/>
    <n v="0.92"/>
    <n v="83.92"/>
    <n v="9"/>
    <s v="Rp1750"/>
    <n v="4"/>
  </r>
  <r>
    <x v="965"/>
    <n v="45500"/>
    <n v="1136"/>
    <n v="2"/>
    <x v="0"/>
    <n v="4"/>
    <s v="False"/>
    <n v="43678.571428571428"/>
    <n v="42603.333333333336"/>
    <n v="45500"/>
    <n v="42000"/>
    <n v="42900"/>
    <n v="0"/>
    <n v="126.7304"/>
    <n v="0.15790646699999999"/>
    <n v="15140"/>
    <n v="26.28"/>
    <n v="2.66"/>
    <n v="85.27"/>
    <n v="10"/>
    <s v="Rp0"/>
    <n v="0"/>
  </r>
  <r>
    <x v="966"/>
    <n v="45500"/>
    <n v="1137"/>
    <n v="2"/>
    <x v="0"/>
    <n v="5"/>
    <s v="False"/>
    <n v="44178.571428571428"/>
    <n v="42690"/>
    <n v="45500"/>
    <n v="42000"/>
    <n v="42900"/>
    <n v="0"/>
    <n v="126.7304"/>
    <n v="0.15790646699999999"/>
    <n v="15140"/>
    <n v="26.19"/>
    <n v="4.74"/>
    <n v="85.88"/>
    <n v="11"/>
    <s v="Rp0"/>
    <n v="0"/>
  </r>
  <r>
    <x v="967"/>
    <n v="45500"/>
    <n v="1138"/>
    <n v="2"/>
    <x v="0"/>
    <n v="6"/>
    <s v="False"/>
    <n v="44678.571428571428"/>
    <n v="42768.333333333336"/>
    <n v="45500"/>
    <n v="42000"/>
    <n v="43150"/>
    <n v="0"/>
    <n v="126.7304"/>
    <n v="0.15790646699999999"/>
    <n v="15140"/>
    <n v="26.38"/>
    <n v="3.56"/>
    <n v="86.02"/>
    <n v="12"/>
    <s v="Rp0"/>
    <n v="0"/>
  </r>
  <r>
    <x v="968"/>
    <n v="45250"/>
    <n v="1139"/>
    <n v="2"/>
    <x v="0"/>
    <n v="0"/>
    <s v="False"/>
    <n v="44964.285714285717"/>
    <n v="42838.333333333336"/>
    <n v="45500"/>
    <n v="43250"/>
    <n v="43150"/>
    <n v="-250"/>
    <n v="126.7304"/>
    <n v="0.15790646699999999"/>
    <n v="15182.200199999999"/>
    <n v="26.65"/>
    <n v="3.33"/>
    <n v="85.97"/>
    <n v="13"/>
    <s v="-Rp250"/>
    <n v="-0.55000000000000004"/>
  </r>
  <r>
    <x v="969"/>
    <n v="44750"/>
    <n v="1140"/>
    <n v="2"/>
    <x v="0"/>
    <n v="1"/>
    <s v="False"/>
    <n v="45107.142857142855"/>
    <n v="42891.666666666664"/>
    <n v="45250"/>
    <n v="43750"/>
    <n v="43150"/>
    <n v="-500"/>
    <n v="126.7304"/>
    <n v="0.15790646699999999"/>
    <n v="15211"/>
    <n v="26.08"/>
    <n v="9.5"/>
    <n v="84.77"/>
    <n v="14"/>
    <s v="-Rp500"/>
    <n v="-1.1000000000000001"/>
  </r>
  <r>
    <x v="970"/>
    <n v="44500"/>
    <n v="1141"/>
    <n v="2"/>
    <x v="0"/>
    <n v="2"/>
    <s v="False"/>
    <n v="45214.285714285717"/>
    <n v="42936.666666666664"/>
    <n v="44750"/>
    <n v="43750"/>
    <n v="43150"/>
    <n v="-250"/>
    <n v="126.7304"/>
    <n v="0.15790646699999999"/>
    <n v="15179"/>
    <n v="26.22"/>
    <n v="5.57"/>
    <n v="84.31"/>
    <n v="15"/>
    <s v="-Rp250"/>
    <n v="-0.56000000000000005"/>
  </r>
  <r>
    <x v="971"/>
    <n v="44250"/>
    <n v="1142"/>
    <n v="2"/>
    <x v="0"/>
    <n v="3"/>
    <s v="False"/>
    <n v="45035.714285714283"/>
    <n v="42973.333333333336"/>
    <n v="44500"/>
    <n v="45500"/>
    <n v="43150"/>
    <n v="-250"/>
    <n v="126.7304"/>
    <n v="0.15790646699999999"/>
    <n v="15210"/>
    <n v="26.35"/>
    <n v="3.1"/>
    <n v="84.09"/>
    <n v="16"/>
    <s v="-Rp250"/>
    <n v="-0.56000000000000005"/>
  </r>
  <r>
    <x v="972"/>
    <n v="43000"/>
    <n v="1143"/>
    <n v="2"/>
    <x v="0"/>
    <n v="4"/>
    <s v="False"/>
    <n v="44678.571428571428"/>
    <n v="42968.333333333336"/>
    <n v="44250"/>
    <n v="45500"/>
    <n v="43150"/>
    <n v="-1250"/>
    <n v="126.7304"/>
    <n v="0.15790646699999999"/>
    <n v="15142"/>
    <n v="26.65"/>
    <n v="2.33"/>
    <n v="83.72"/>
    <n v="17"/>
    <s v="-Rp1250"/>
    <n v="-2.82"/>
  </r>
  <r>
    <x v="973"/>
    <n v="41000"/>
    <n v="1146"/>
    <n v="2"/>
    <x v="0"/>
    <n v="0"/>
    <s v="False"/>
    <m/>
    <m/>
    <m/>
    <n v="45250"/>
    <n v="43150"/>
    <m/>
    <n v="126.7304"/>
    <n v="0.15790646699999999"/>
    <n v="15159"/>
    <n v="26.27"/>
    <n v="6.11"/>
    <n v="84.97"/>
    <n v="20"/>
    <s v="-Rp2000"/>
    <n v="-4.6500000000000004"/>
  </r>
  <r>
    <x v="974"/>
    <n v="40400"/>
    <n v="1147"/>
    <n v="2"/>
    <x v="0"/>
    <n v="1"/>
    <s v="False"/>
    <m/>
    <m/>
    <n v="41000"/>
    <n v="44750"/>
    <n v="43150"/>
    <n v="-600"/>
    <n v="126.7304"/>
    <n v="0.15790646699999999"/>
    <n v="15162.5"/>
    <n v="26.21"/>
    <n v="5.56"/>
    <n v="85.51"/>
    <n v="21"/>
    <s v="-Rp600"/>
    <n v="-1.46"/>
  </r>
  <r>
    <x v="975"/>
    <n v="39650"/>
    <n v="1148"/>
    <n v="2"/>
    <x v="0"/>
    <n v="2"/>
    <s v="False"/>
    <m/>
    <m/>
    <n v="40400"/>
    <n v="44500"/>
    <n v="43150"/>
    <n v="-750"/>
    <n v="126.7304"/>
    <n v="0.15790646699999999"/>
    <n v="15233"/>
    <n v="26.23"/>
    <n v="5.3"/>
    <n v="86.62"/>
    <n v="22"/>
    <s v="-Rp750"/>
    <n v="-1.86"/>
  </r>
  <r>
    <x v="976"/>
    <n v="39900"/>
    <n v="1149"/>
    <n v="2"/>
    <x v="0"/>
    <n v="3"/>
    <s v="False"/>
    <m/>
    <m/>
    <n v="39650"/>
    <n v="44250"/>
    <n v="42150"/>
    <n v="250"/>
    <n v="126.7304"/>
    <n v="0.15790646699999999"/>
    <n v="15192"/>
    <n v="26.56"/>
    <n v="3"/>
    <n v="85.47"/>
    <n v="23"/>
    <s v="Rp250"/>
    <n v="0.63"/>
  </r>
  <r>
    <x v="977"/>
    <n v="39900"/>
    <n v="1150"/>
    <n v="2"/>
    <x v="0"/>
    <n v="4"/>
    <s v="False"/>
    <m/>
    <m/>
    <n v="39900"/>
    <n v="43000"/>
    <n v="41900"/>
    <n v="0"/>
    <n v="126.7304"/>
    <n v="0.15790646699999999"/>
    <n v="15210"/>
    <n v="26.82"/>
    <n v="2.7"/>
    <n v="84.42"/>
    <n v="24"/>
    <s v="Rp0"/>
    <n v="0"/>
  </r>
  <r>
    <x v="978"/>
    <n v="39900"/>
    <n v="1153"/>
    <n v="2"/>
    <x v="0"/>
    <n v="0"/>
    <s v="False"/>
    <m/>
    <m/>
    <m/>
    <n v="41000"/>
    <n v="41250"/>
    <m/>
    <n v="126.7304"/>
    <n v="0.15790646699999999"/>
    <n v="15257.700199999999"/>
    <n v="26.35"/>
    <n v="8.92"/>
    <n v="85.53"/>
    <n v="27"/>
    <s v="Rp0"/>
    <n v="0"/>
  </r>
  <r>
    <x v="979"/>
    <n v="39900"/>
    <n v="1154"/>
    <n v="2"/>
    <x v="0"/>
    <n v="1"/>
    <s v="False"/>
    <m/>
    <m/>
    <n v="39900"/>
    <n v="40400"/>
    <n v="41250"/>
    <n v="0"/>
    <n v="126.7304"/>
    <n v="0.15790646699999999"/>
    <n v="15209"/>
    <n v="26.98"/>
    <n v="3.96"/>
    <n v="80.83"/>
    <n v="28"/>
    <s v="Rp0"/>
    <n v="0"/>
  </r>
  <r>
    <x v="980"/>
    <n v="39650"/>
    <n v="1155"/>
    <n v="3"/>
    <x v="0"/>
    <n v="2"/>
    <s v="False"/>
    <m/>
    <m/>
    <n v="39900"/>
    <n v="39650"/>
    <n v="41250"/>
    <n v="-250"/>
    <n v="126.9525"/>
    <n v="0.175253925"/>
    <n v="15240"/>
    <n v="26.84"/>
    <n v="0.56000000000000005"/>
    <n v="78.42"/>
    <n v="1"/>
    <s v="-Rp250"/>
    <n v="-0.63"/>
  </r>
  <r>
    <x v="981"/>
    <n v="38900"/>
    <n v="1156"/>
    <n v="3"/>
    <x v="0"/>
    <n v="3"/>
    <s v="False"/>
    <m/>
    <m/>
    <n v="39650"/>
    <n v="39900"/>
    <n v="40500"/>
    <n v="-750"/>
    <n v="126.9525"/>
    <n v="0.175253925"/>
    <n v="15243"/>
    <n v="26.24"/>
    <n v="6.29"/>
    <n v="85.61"/>
    <n v="2"/>
    <s v="-Rp750"/>
    <n v="-1.89"/>
  </r>
  <r>
    <x v="982"/>
    <n v="38650"/>
    <n v="1157"/>
    <n v="3"/>
    <x v="0"/>
    <n v="4"/>
    <s v="False"/>
    <m/>
    <m/>
    <n v="38900"/>
    <n v="39900"/>
    <n v="41000"/>
    <n v="-250"/>
    <n v="126.9525"/>
    <n v="0.175253925"/>
    <n v="15322"/>
    <n v="26.3"/>
    <n v="19.190000000000001"/>
    <n v="85.58"/>
    <n v="3"/>
    <s v="-Rp250"/>
    <n v="-0.64"/>
  </r>
  <r>
    <x v="983"/>
    <n v="38650"/>
    <n v="1158"/>
    <n v="3"/>
    <x v="0"/>
    <n v="5"/>
    <s v="False"/>
    <m/>
    <m/>
    <n v="38650"/>
    <m/>
    <n v="41000"/>
    <n v="0"/>
    <n v="126.9525"/>
    <n v="0.175253925"/>
    <n v="15322"/>
    <n v="25.74"/>
    <n v="23.46"/>
    <n v="88.1"/>
    <n v="4"/>
    <s v="-Rp250"/>
    <n v="-0.64"/>
  </r>
  <r>
    <x v="984"/>
    <n v="38650"/>
    <n v="1159"/>
    <n v="3"/>
    <x v="0"/>
    <n v="6"/>
    <s v="False"/>
    <n v="39185.714285714283"/>
    <m/>
    <n v="38650"/>
    <m/>
    <n v="42000"/>
    <n v="0"/>
    <n v="126.9525"/>
    <n v="0.175253925"/>
    <n v="15322"/>
    <n v="25.97"/>
    <n v="14.4"/>
    <n v="87.06"/>
    <n v="5"/>
    <s v="-Rp250"/>
    <n v="-0.64"/>
  </r>
  <r>
    <x v="985"/>
    <n v="39150"/>
    <n v="1160"/>
    <n v="3"/>
    <x v="0"/>
    <n v="0"/>
    <s v="False"/>
    <n v="39078.571428571428"/>
    <m/>
    <n v="38650"/>
    <n v="39900"/>
    <n v="42000"/>
    <n v="500"/>
    <n v="126.9525"/>
    <n v="0.175253925"/>
    <n v="15255.099609999999"/>
    <n v="26.35"/>
    <n v="2.4300000000000002"/>
    <n v="85.06"/>
    <n v="6"/>
    <s v="Rp500"/>
    <n v="1.29"/>
  </r>
  <r>
    <x v="986"/>
    <n v="39150"/>
    <n v="1161"/>
    <n v="3"/>
    <x v="0"/>
    <n v="1"/>
    <s v="False"/>
    <n v="38971.428571428572"/>
    <m/>
    <n v="39150"/>
    <n v="39900"/>
    <n v="42000"/>
    <n v="0"/>
    <n v="126.9525"/>
    <n v="0.175253925"/>
    <n v="15352"/>
    <n v="26.55"/>
    <n v="2.33"/>
    <n v="86.89"/>
    <n v="7"/>
    <s v="Rp0"/>
    <n v="0"/>
  </r>
  <r>
    <x v="987"/>
    <n v="40650"/>
    <n v="1162"/>
    <n v="3"/>
    <x v="0"/>
    <n v="2"/>
    <s v="False"/>
    <n v="39114.285714285717"/>
    <m/>
    <n v="39150"/>
    <n v="39650"/>
    <n v="43250"/>
    <n v="1500"/>
    <n v="126.9525"/>
    <n v="0.175253925"/>
    <n v="15437"/>
    <n v="26.38"/>
    <n v="1.86"/>
    <n v="87.45"/>
    <n v="8"/>
    <s v="Rp1500"/>
    <n v="3.83"/>
  </r>
  <r>
    <x v="988"/>
    <n v="40500"/>
    <n v="1163"/>
    <n v="3"/>
    <x v="0"/>
    <n v="3"/>
    <s v="False"/>
    <n v="39342.857142857145"/>
    <m/>
    <n v="40650"/>
    <n v="38900"/>
    <n v="43750"/>
    <n v="-150"/>
    <n v="126.9525"/>
    <n v="0.175253925"/>
    <n v="15450"/>
    <n v="26.6"/>
    <n v="0.76"/>
    <n v="84.38"/>
    <n v="9"/>
    <s v="-Rp150"/>
    <n v="-0.37"/>
  </r>
  <r>
    <x v="989"/>
    <n v="40000"/>
    <n v="1164"/>
    <n v="3"/>
    <x v="0"/>
    <n v="4"/>
    <s v="False"/>
    <n v="39535.714285714283"/>
    <m/>
    <n v="40500"/>
    <n v="38650"/>
    <n v="43750"/>
    <n v="-500"/>
    <n v="126.9525"/>
    <n v="0.175253925"/>
    <n v="15489"/>
    <n v="26.84"/>
    <n v="0.31"/>
    <n v="81.459999999999994"/>
    <n v="10"/>
    <s v="-Rp500"/>
    <n v="-1.23"/>
  </r>
  <r>
    <x v="990"/>
    <n v="40000"/>
    <n v="1165"/>
    <n v="3"/>
    <x v="0"/>
    <n v="5"/>
    <s v="False"/>
    <n v="39728.571428571428"/>
    <m/>
    <n v="40000"/>
    <n v="38650"/>
    <n v="45500"/>
    <n v="0"/>
    <n v="126.9525"/>
    <n v="0.175253925"/>
    <n v="15489"/>
    <n v="27.29"/>
    <n v="0.14000000000000001"/>
    <n v="78.86"/>
    <n v="11"/>
    <s v="-Rp500"/>
    <n v="-1.23"/>
  </r>
  <r>
    <x v="991"/>
    <n v="40000"/>
    <n v="1166"/>
    <n v="3"/>
    <x v="0"/>
    <n v="6"/>
    <s v="False"/>
    <n v="39921.428571428572"/>
    <m/>
    <n v="40000"/>
    <n v="38650"/>
    <n v="45500"/>
    <n v="0"/>
    <n v="126.9525"/>
    <n v="0.175253925"/>
    <n v="15489"/>
    <n v="26.97"/>
    <n v="1.04"/>
    <n v="82.64"/>
    <n v="12"/>
    <s v="-Rp500"/>
    <n v="-1.23"/>
  </r>
  <r>
    <x v="992"/>
    <n v="41250"/>
    <n v="1167"/>
    <n v="3"/>
    <x v="0"/>
    <n v="0"/>
    <s v="False"/>
    <n v="40221.428571428572"/>
    <m/>
    <n v="40000"/>
    <n v="39150"/>
    <n v="45500"/>
    <n v="1250"/>
    <n v="126.9525"/>
    <n v="0.175253925"/>
    <n v="15472.599609999999"/>
    <n v="27.07"/>
    <n v="1.73"/>
    <n v="81.98"/>
    <n v="13"/>
    <s v="Rp1250"/>
    <n v="3.13"/>
  </r>
  <r>
    <x v="993"/>
    <n v="40500"/>
    <n v="1168"/>
    <n v="3"/>
    <x v="0"/>
    <n v="1"/>
    <s v="False"/>
    <n v="40414.285714285717"/>
    <m/>
    <n v="41250"/>
    <n v="39150"/>
    <n v="45500"/>
    <n v="-750"/>
    <n v="126.9525"/>
    <n v="0.175253925"/>
    <n v="15409"/>
    <n v="26.56"/>
    <n v="14.03"/>
    <n v="85.03"/>
    <n v="14"/>
    <s v="-Rp750"/>
    <n v="-1.82"/>
  </r>
  <r>
    <x v="994"/>
    <n v="40250"/>
    <n v="1169"/>
    <n v="3"/>
    <x v="0"/>
    <n v="2"/>
    <s v="False"/>
    <n v="40357.142857142855"/>
    <m/>
    <n v="40500"/>
    <n v="40650"/>
    <n v="45250"/>
    <n v="-250"/>
    <n v="126.9525"/>
    <n v="0.175253925"/>
    <n v="15372"/>
    <n v="26.19"/>
    <n v="6.51"/>
    <n v="86.54"/>
    <n v="15"/>
    <s v="-Rp250"/>
    <n v="-0.62"/>
  </r>
  <r>
    <x v="995"/>
    <n v="40250"/>
    <n v="1170"/>
    <n v="3"/>
    <x v="0"/>
    <n v="3"/>
    <s v="False"/>
    <n v="40321.428571428572"/>
    <m/>
    <n v="40250"/>
    <n v="40500"/>
    <n v="44750"/>
    <n v="0"/>
    <n v="126.9525"/>
    <n v="0.175253925"/>
    <n v="15479"/>
    <n v="26.99"/>
    <n v="3.41"/>
    <n v="78.709999999999994"/>
    <n v="16"/>
    <s v="Rp0"/>
    <n v="0"/>
  </r>
  <r>
    <x v="996"/>
    <n v="40250"/>
    <n v="1171"/>
    <n v="3"/>
    <x v="0"/>
    <n v="4"/>
    <s v="False"/>
    <n v="40357.142857142855"/>
    <m/>
    <n v="40250"/>
    <n v="40000"/>
    <n v="44500"/>
    <n v="0"/>
    <n v="126.9525"/>
    <n v="0.175253925"/>
    <n v="15422"/>
    <n v="26.87"/>
    <n v="1.76"/>
    <n v="81.03"/>
    <n v="17"/>
    <s v="Rp0"/>
    <n v="0"/>
  </r>
  <r>
    <x v="997"/>
    <n v="40250"/>
    <n v="1172"/>
    <n v="3"/>
    <x v="0"/>
    <n v="5"/>
    <s v="False"/>
    <n v="40392.857142857145"/>
    <m/>
    <n v="40250"/>
    <n v="40000"/>
    <n v="44250"/>
    <n v="0"/>
    <n v="126.9525"/>
    <n v="0.175253925"/>
    <n v="15422"/>
    <n v="27.17"/>
    <n v="2.38"/>
    <n v="80.05"/>
    <n v="18"/>
    <s v="Rp0"/>
    <n v="0"/>
  </r>
  <r>
    <x v="998"/>
    <n v="38750"/>
    <n v="1174"/>
    <n v="3"/>
    <x v="0"/>
    <n v="0"/>
    <s v="False"/>
    <m/>
    <m/>
    <m/>
    <n v="41250"/>
    <m/>
    <m/>
    <n v="126.9525"/>
    <n v="0.175253925"/>
    <n v="15368.5"/>
    <n v="27"/>
    <n v="2.76"/>
    <n v="86.29"/>
    <n v="20"/>
    <s v="-Rp1500"/>
    <n v="-3.73"/>
  </r>
  <r>
    <x v="999"/>
    <n v="39500"/>
    <n v="1175"/>
    <n v="3"/>
    <x v="0"/>
    <n v="1"/>
    <s v="False"/>
    <m/>
    <m/>
    <n v="38750"/>
    <n v="40500"/>
    <m/>
    <n v="750"/>
    <n v="126.9525"/>
    <n v="0.175253925"/>
    <n v="15340"/>
    <n v="27.03"/>
    <n v="10.87"/>
    <n v="85.62"/>
    <n v="21"/>
    <s v="Rp750"/>
    <n v="1.94"/>
  </r>
  <r>
    <x v="1000"/>
    <n v="39500"/>
    <n v="1176"/>
    <n v="3"/>
    <x v="0"/>
    <n v="2"/>
    <s v="True"/>
    <m/>
    <m/>
    <n v="39500"/>
    <n v="40250"/>
    <n v="41000"/>
    <n v="0"/>
    <n v="126.9525"/>
    <n v="0.175253925"/>
    <n v="15294"/>
    <n v="26.21"/>
    <n v="13.86"/>
    <n v="86.91"/>
    <n v="22"/>
    <s v="Rp0"/>
    <n v="0"/>
  </r>
  <r>
    <x v="1001"/>
    <n v="39500"/>
    <n v="1177"/>
    <n v="3"/>
    <x v="0"/>
    <n v="3"/>
    <s v="False"/>
    <m/>
    <m/>
    <n v="39500"/>
    <n v="40250"/>
    <n v="40400"/>
    <n v="0"/>
    <n v="126.9525"/>
    <n v="0.175253925"/>
    <n v="15251"/>
    <n v="26.6"/>
    <n v="2.36"/>
    <n v="81.83"/>
    <n v="23"/>
    <s v="Rp0"/>
    <n v="0"/>
  </r>
  <r>
    <x v="1002"/>
    <n v="40150"/>
    <n v="1178"/>
    <n v="3"/>
    <x v="0"/>
    <n v="4"/>
    <s v="False"/>
    <m/>
    <m/>
    <n v="39500"/>
    <n v="40250"/>
    <n v="39650"/>
    <n v="650"/>
    <n v="126.9525"/>
    <n v="0.175253925"/>
    <n v="15047"/>
    <n v="26.92"/>
    <n v="6.72"/>
    <n v="85.73"/>
    <n v="24"/>
    <s v="Rp650"/>
    <n v="1.65"/>
  </r>
  <r>
    <x v="1003"/>
    <n v="39650"/>
    <n v="1181"/>
    <n v="3"/>
    <x v="0"/>
    <n v="0"/>
    <s v="False"/>
    <m/>
    <m/>
    <m/>
    <n v="38750"/>
    <m/>
    <m/>
    <n v="126.9525"/>
    <n v="0.175253925"/>
    <n v="15148"/>
    <n v="26.65"/>
    <n v="5.19"/>
    <n v="81.510000000000005"/>
    <n v="27"/>
    <m/>
    <n v="0"/>
  </r>
  <r>
    <x v="1004"/>
    <n v="39650"/>
    <n v="1182"/>
    <n v="3"/>
    <x v="0"/>
    <n v="1"/>
    <s v="False"/>
    <m/>
    <m/>
    <n v="39650"/>
    <n v="39500"/>
    <m/>
    <n v="0"/>
    <n v="126.9525"/>
    <n v="0.175253925"/>
    <n v="15107.5"/>
    <n v="26.8"/>
    <n v="2.25"/>
    <n v="79.760000000000005"/>
    <n v="28"/>
    <s v="Rp0"/>
    <n v="0"/>
  </r>
  <r>
    <x v="1005"/>
    <n v="39650"/>
    <n v="1183"/>
    <n v="3"/>
    <x v="0"/>
    <n v="2"/>
    <s v="False"/>
    <m/>
    <m/>
    <n v="39650"/>
    <n v="39500"/>
    <n v="39900"/>
    <n v="0"/>
    <n v="126.9525"/>
    <n v="0.175253925"/>
    <n v="15061"/>
    <n v="26.42"/>
    <n v="10.92"/>
    <n v="84.26"/>
    <n v="29"/>
    <s v="Rp0"/>
    <n v="0"/>
  </r>
  <r>
    <x v="1006"/>
    <n v="39650"/>
    <n v="1184"/>
    <n v="3"/>
    <x v="0"/>
    <n v="3"/>
    <s v="False"/>
    <m/>
    <m/>
    <n v="39650"/>
    <n v="39500"/>
    <n v="39900"/>
    <n v="0"/>
    <n v="126.9525"/>
    <n v="0.175253925"/>
    <n v="15031.5"/>
    <n v="26.78"/>
    <n v="6.26"/>
    <n v="80.03"/>
    <n v="30"/>
    <s v="Rp0"/>
    <n v="0"/>
  </r>
  <r>
    <x v="1007"/>
    <n v="39400"/>
    <n v="1185"/>
    <n v="3"/>
    <x v="0"/>
    <n v="4"/>
    <s v="False"/>
    <m/>
    <m/>
    <n v="39650"/>
    <n v="40150"/>
    <n v="39650"/>
    <n v="-250"/>
    <n v="126.9525"/>
    <n v="0.175253925"/>
    <n v="15020"/>
    <n v="27.16"/>
    <n v="10.46"/>
    <n v="82.12"/>
    <n v="31"/>
    <s v="-Rp250"/>
    <n v="-0.63"/>
  </r>
  <r>
    <x v="1008"/>
    <n v="39400"/>
    <n v="1186"/>
    <n v="4"/>
    <x v="1"/>
    <n v="5"/>
    <s v="False"/>
    <m/>
    <m/>
    <n v="39400"/>
    <m/>
    <n v="38900"/>
    <n v="0"/>
    <n v="127.37430000000001"/>
    <n v="0.332250251"/>
    <n v="15020"/>
    <n v="26.54"/>
    <n v="10.29"/>
    <n v="84.76"/>
    <n v="1"/>
    <s v="-Rp250"/>
    <n v="-0.63"/>
  </r>
  <r>
    <x v="1009"/>
    <n v="39400"/>
    <n v="1187"/>
    <n v="4"/>
    <x v="1"/>
    <n v="6"/>
    <s v="False"/>
    <n v="39542.857142857145"/>
    <m/>
    <n v="39400"/>
    <m/>
    <n v="38650"/>
    <n v="0"/>
    <n v="127.37430000000001"/>
    <n v="0.332250251"/>
    <n v="15020"/>
    <n v="26.18"/>
    <n v="12.62"/>
    <n v="87.45"/>
    <n v="2"/>
    <s v="-Rp250"/>
    <n v="-0.63"/>
  </r>
  <r>
    <x v="1010"/>
    <n v="39150"/>
    <n v="1188"/>
    <n v="4"/>
    <x v="1"/>
    <n v="0"/>
    <s v="False"/>
    <n v="39471.428571428572"/>
    <m/>
    <n v="39400"/>
    <n v="39650"/>
    <n v="38650"/>
    <n v="-250"/>
    <n v="127.37430000000001"/>
    <n v="0.332250251"/>
    <n v="14988"/>
    <n v="26.53"/>
    <n v="3.48"/>
    <n v="85.49"/>
    <n v="3"/>
    <m/>
    <n v="0"/>
  </r>
  <r>
    <x v="1011"/>
    <n v="39150"/>
    <n v="1189"/>
    <n v="4"/>
    <x v="1"/>
    <n v="1"/>
    <s v="False"/>
    <n v="39400"/>
    <m/>
    <n v="39150"/>
    <n v="39650"/>
    <n v="38650"/>
    <n v="0"/>
    <n v="127.37430000000001"/>
    <n v="0.332250251"/>
    <n v="14915"/>
    <n v="26.11"/>
    <n v="29.29"/>
    <n v="86.73"/>
    <n v="4"/>
    <s v="Rp0"/>
    <n v="0"/>
  </r>
  <r>
    <x v="1012"/>
    <n v="38650"/>
    <n v="1190"/>
    <n v="4"/>
    <x v="1"/>
    <n v="2"/>
    <s v="False"/>
    <n v="39257.142857142855"/>
    <m/>
    <n v="39150"/>
    <n v="39650"/>
    <n v="39150"/>
    <n v="-500"/>
    <n v="127.37430000000001"/>
    <n v="0.332250251"/>
    <n v="14958"/>
    <n v="25.96"/>
    <n v="11.72"/>
    <n v="84.06"/>
    <n v="5"/>
    <s v="-Rp500"/>
    <n v="-1.28"/>
  </r>
  <r>
    <x v="1013"/>
    <n v="38650"/>
    <n v="1191"/>
    <n v="4"/>
    <x v="1"/>
    <n v="3"/>
    <s v="False"/>
    <n v="39114.285714285717"/>
    <m/>
    <n v="38650"/>
    <n v="39650"/>
    <n v="39150"/>
    <n v="0"/>
    <n v="127.37430000000001"/>
    <n v="0.332250251"/>
    <n v="14956"/>
    <n v="26.63"/>
    <n v="3.71"/>
    <n v="79.260000000000005"/>
    <n v="6"/>
    <s v="Rp0"/>
    <n v="0"/>
  </r>
  <r>
    <x v="1014"/>
    <n v="38650"/>
    <n v="1195"/>
    <n v="4"/>
    <x v="1"/>
    <n v="0"/>
    <s v="True"/>
    <m/>
    <m/>
    <m/>
    <n v="39150"/>
    <n v="40000"/>
    <m/>
    <n v="127.37430000000001"/>
    <n v="0.332250251"/>
    <n v="14906"/>
    <n v="27.22"/>
    <n v="2"/>
    <n v="82.99"/>
    <n v="10"/>
    <m/>
    <n v="0"/>
  </r>
  <r>
    <x v="1015"/>
    <n v="38000"/>
    <n v="1196"/>
    <n v="4"/>
    <x v="1"/>
    <n v="1"/>
    <s v="False"/>
    <m/>
    <m/>
    <n v="38650"/>
    <n v="39150"/>
    <n v="40000"/>
    <n v="-650"/>
    <n v="127.37430000000001"/>
    <n v="0.332250251"/>
    <n v="14955"/>
    <n v="27.17"/>
    <n v="2.21"/>
    <n v="83.57"/>
    <n v="11"/>
    <s v="-Rp650"/>
    <n v="-1.68"/>
  </r>
  <r>
    <x v="1016"/>
    <n v="38000"/>
    <n v="1197"/>
    <n v="4"/>
    <x v="1"/>
    <n v="2"/>
    <s v="False"/>
    <m/>
    <m/>
    <n v="38000"/>
    <n v="38650"/>
    <n v="41250"/>
    <n v="0"/>
    <n v="127.37430000000001"/>
    <n v="0.332250251"/>
    <n v="14913"/>
    <n v="27.54"/>
    <n v="0.98"/>
    <n v="81.28"/>
    <n v="12"/>
    <s v="Rp0"/>
    <n v="0"/>
  </r>
  <r>
    <x v="1017"/>
    <n v="37400"/>
    <n v="1198"/>
    <n v="4"/>
    <x v="1"/>
    <n v="3"/>
    <s v="False"/>
    <m/>
    <m/>
    <n v="38000"/>
    <n v="38650"/>
    <n v="40500"/>
    <n v="-600"/>
    <n v="127.37430000000001"/>
    <n v="0.332250251"/>
    <n v="14823.5"/>
    <n v="27.48"/>
    <n v="1.91"/>
    <n v="79.72"/>
    <n v="13"/>
    <s v="-Rp600"/>
    <n v="-1.58"/>
  </r>
  <r>
    <x v="1018"/>
    <n v="37400"/>
    <n v="1199"/>
    <n v="4"/>
    <x v="1"/>
    <n v="4"/>
    <s v="False"/>
    <m/>
    <m/>
    <n v="37400"/>
    <m/>
    <n v="40250"/>
    <n v="0"/>
    <n v="127.37430000000001"/>
    <n v="0.332250251"/>
    <n v="14720"/>
    <n v="27.02"/>
    <n v="6.82"/>
    <n v="82.89"/>
    <n v="14"/>
    <s v="Rp0"/>
    <n v="0"/>
  </r>
  <r>
    <x v="1019"/>
    <n v="37400"/>
    <n v="1200"/>
    <n v="4"/>
    <x v="1"/>
    <n v="5"/>
    <s v="False"/>
    <m/>
    <m/>
    <n v="37400"/>
    <m/>
    <n v="40250"/>
    <n v="0"/>
    <n v="127.37430000000001"/>
    <n v="0.332250251"/>
    <n v="14720"/>
    <n v="27.32"/>
    <n v="3.98"/>
    <n v="81.59"/>
    <n v="15"/>
    <s v="Rp0"/>
    <n v="0"/>
  </r>
  <r>
    <x v="1020"/>
    <n v="40250"/>
    <n v="1202"/>
    <n v="4"/>
    <x v="1"/>
    <n v="0"/>
    <s v="False"/>
    <m/>
    <m/>
    <m/>
    <n v="38650"/>
    <n v="40250"/>
    <m/>
    <n v="127.37430000000001"/>
    <n v="0.332250251"/>
    <n v="14693"/>
    <n v="27.82"/>
    <n v="0.62"/>
    <n v="78.34"/>
    <n v="17"/>
    <s v="Rp2850"/>
    <n v="7.62"/>
  </r>
  <r>
    <x v="1021"/>
    <n v="40250"/>
    <n v="1203"/>
    <n v="4"/>
    <x v="1"/>
    <n v="1"/>
    <s v="False"/>
    <m/>
    <m/>
    <n v="40250"/>
    <n v="38000"/>
    <m/>
    <n v="0"/>
    <n v="127.37430000000001"/>
    <n v="0.332250251"/>
    <n v="14860"/>
    <n v="27.29"/>
    <n v="4.67"/>
    <n v="81.67"/>
    <n v="18"/>
    <s v="Rp0"/>
    <n v="0"/>
  </r>
  <r>
    <x v="1022"/>
    <n v="40250"/>
    <n v="1204"/>
    <n v="4"/>
    <x v="1"/>
    <n v="2"/>
    <s v="False"/>
    <m/>
    <m/>
    <n v="40250"/>
    <n v="38000"/>
    <n v="38750"/>
    <n v="0"/>
    <n v="127.37430000000001"/>
    <n v="0.332250251"/>
    <n v="14890"/>
    <n v="28"/>
    <n v="1.1000000000000001"/>
    <n v="74.83"/>
    <n v="19"/>
    <s v="Rp0"/>
    <n v="0"/>
  </r>
  <r>
    <x v="1023"/>
    <n v="40250"/>
    <n v="1205"/>
    <n v="4"/>
    <x v="1"/>
    <n v="3"/>
    <s v="False"/>
    <m/>
    <m/>
    <n v="40250"/>
    <n v="37400"/>
    <n v="39500"/>
    <n v="0"/>
    <n v="127.37430000000001"/>
    <n v="0.332250251"/>
    <n v="15006"/>
    <n v="28.11"/>
    <n v="2.06"/>
    <n v="78.16"/>
    <n v="20"/>
    <s v="Rp0"/>
    <n v="0"/>
  </r>
  <r>
    <x v="1024"/>
    <n v="40250"/>
    <n v="1206"/>
    <n v="4"/>
    <x v="1"/>
    <n v="4"/>
    <s v="False"/>
    <m/>
    <m/>
    <n v="40250"/>
    <n v="37400"/>
    <n v="39500"/>
    <n v="0"/>
    <n v="127.37430000000001"/>
    <n v="0.332250251"/>
    <n v="14946"/>
    <n v="28.07"/>
    <n v="1.71"/>
    <n v="77.33"/>
    <n v="21"/>
    <s v="Rp0"/>
    <n v="0"/>
  </r>
  <r>
    <x v="1025"/>
    <n v="40250"/>
    <n v="1209"/>
    <n v="4"/>
    <x v="1"/>
    <n v="0"/>
    <s v="False"/>
    <m/>
    <m/>
    <m/>
    <n v="40250"/>
    <m/>
    <m/>
    <n v="127.37430000000001"/>
    <n v="0.332250251"/>
    <n v="14838"/>
    <n v="27.81"/>
    <n v="1.34"/>
    <n v="80.75"/>
    <n v="24"/>
    <m/>
    <n v="0"/>
  </r>
  <r>
    <x v="1026"/>
    <n v="40250"/>
    <n v="1210"/>
    <n v="4"/>
    <x v="1"/>
    <n v="1"/>
    <s v="False"/>
    <m/>
    <m/>
    <n v="40250"/>
    <n v="40250"/>
    <m/>
    <n v="0"/>
    <n v="127.37430000000001"/>
    <n v="0.332250251"/>
    <n v="14945"/>
    <n v="28.1"/>
    <n v="0.18"/>
    <n v="78.06"/>
    <n v="25"/>
    <s v="Rp0"/>
    <n v="0"/>
  </r>
  <r>
    <x v="1027"/>
    <n v="44400"/>
    <n v="1211"/>
    <n v="4"/>
    <x v="1"/>
    <n v="2"/>
    <s v="False"/>
    <m/>
    <m/>
    <n v="40250"/>
    <n v="40250"/>
    <n v="39650"/>
    <n v="4150"/>
    <n v="127.37430000000001"/>
    <n v="0.332250251"/>
    <n v="14935"/>
    <n v="27.69"/>
    <n v="0.74"/>
    <n v="82.46"/>
    <n v="26"/>
    <s v="Rp4150"/>
    <n v="10.31"/>
  </r>
  <r>
    <x v="1028"/>
    <n v="44400"/>
    <n v="1212"/>
    <n v="4"/>
    <x v="1"/>
    <n v="3"/>
    <s v="False"/>
    <m/>
    <m/>
    <n v="44400"/>
    <n v="40250"/>
    <n v="39650"/>
    <n v="0"/>
    <n v="127.37430000000001"/>
    <n v="0.332250251"/>
    <n v="14841.5"/>
    <n v="27.84"/>
    <n v="1.31"/>
    <n v="82.32"/>
    <n v="27"/>
    <s v="Rp0"/>
    <n v="0"/>
  </r>
  <r>
    <x v="1029"/>
    <n v="46400"/>
    <n v="1213"/>
    <n v="4"/>
    <x v="1"/>
    <n v="4"/>
    <s v="False"/>
    <m/>
    <m/>
    <n v="44400"/>
    <n v="40250"/>
    <n v="39650"/>
    <n v="2000"/>
    <n v="127.37430000000001"/>
    <n v="0.332250251"/>
    <n v="14684"/>
    <n v="27.64"/>
    <n v="7.82"/>
    <n v="83.42"/>
    <n v="28"/>
    <s v="Rp2000"/>
    <n v="4.5"/>
  </r>
  <r>
    <x v="1030"/>
    <n v="46400"/>
    <n v="1214"/>
    <n v="4"/>
    <x v="1"/>
    <n v="5"/>
    <s v="False"/>
    <m/>
    <m/>
    <n v="46400"/>
    <m/>
    <n v="39650"/>
    <n v="0"/>
    <n v="127.37430000000001"/>
    <n v="0.332250251"/>
    <n v="14684"/>
    <n v="27.8"/>
    <n v="9.84"/>
    <n v="81.64"/>
    <n v="29"/>
    <s v="Rp2000"/>
    <n v="4.5"/>
  </r>
  <r>
    <x v="1031"/>
    <n v="46400"/>
    <n v="1215"/>
    <n v="4"/>
    <x v="1"/>
    <n v="6"/>
    <s v="False"/>
    <n v="44071.428571428572"/>
    <m/>
    <n v="46400"/>
    <m/>
    <n v="39400"/>
    <n v="0"/>
    <n v="127.37430000000001"/>
    <n v="0.332250251"/>
    <n v="14684"/>
    <n v="27.35"/>
    <n v="12.05"/>
    <n v="80.31"/>
    <n v="30"/>
    <s v="Rp2000"/>
    <n v="4.5"/>
  </r>
  <r>
    <x v="1032"/>
    <n v="46400"/>
    <n v="1216"/>
    <n v="5"/>
    <x v="1"/>
    <n v="0"/>
    <s v="True"/>
    <n v="44950"/>
    <m/>
    <n v="46400"/>
    <n v="40250"/>
    <n v="39400"/>
    <n v="0"/>
    <n v="127.4853"/>
    <n v="8.7144737999999999E-2"/>
    <n v="14663"/>
    <n v="26.98"/>
    <n v="5.81"/>
    <n v="82.23"/>
    <n v="1"/>
    <s v="Rp0"/>
    <n v="0"/>
  </r>
  <r>
    <x v="1033"/>
    <n v="43400"/>
    <n v="1217"/>
    <n v="5"/>
    <x v="1"/>
    <n v="1"/>
    <s v="False"/>
    <n v="45400"/>
    <m/>
    <n v="46400"/>
    <n v="40250"/>
    <n v="39400"/>
    <n v="-3000"/>
    <n v="127.4853"/>
    <n v="8.7144737999999999E-2"/>
    <n v="14671.5"/>
    <n v="28.06"/>
    <n v="3.11"/>
    <n v="78.86"/>
    <n v="2"/>
    <s v="-Rp3000"/>
    <n v="-6.47"/>
  </r>
  <r>
    <x v="1034"/>
    <n v="46400"/>
    <n v="1218"/>
    <n v="5"/>
    <x v="1"/>
    <n v="2"/>
    <s v="False"/>
    <n v="45685.714285714283"/>
    <m/>
    <n v="43400"/>
    <n v="44400"/>
    <n v="39150"/>
    <n v="3000"/>
    <n v="127.4853"/>
    <n v="8.7144737999999999E-2"/>
    <n v="14752.5"/>
    <n v="27.87"/>
    <n v="7.87"/>
    <n v="83.07"/>
    <n v="3"/>
    <s v="Rp3000"/>
    <n v="6.91"/>
  </r>
  <r>
    <x v="1035"/>
    <n v="43650"/>
    <n v="1219"/>
    <n v="5"/>
    <x v="1"/>
    <n v="3"/>
    <s v="False"/>
    <n v="45578.571428571428"/>
    <m/>
    <n v="46400"/>
    <n v="44400"/>
    <n v="39150"/>
    <n v="-2750"/>
    <n v="127.4853"/>
    <n v="8.7144737999999999E-2"/>
    <n v="14680.5"/>
    <n v="27.66"/>
    <n v="4.18"/>
    <n v="82.16"/>
    <n v="4"/>
    <s v="-Rp2750"/>
    <n v="-5.93"/>
  </r>
  <r>
    <x v="1036"/>
    <n v="43000"/>
    <n v="1220"/>
    <n v="5"/>
    <x v="1"/>
    <n v="4"/>
    <s v="False"/>
    <n v="45092.857142857145"/>
    <m/>
    <n v="43650"/>
    <n v="46400"/>
    <n v="38650"/>
    <n v="-650"/>
    <n v="127.4853"/>
    <n v="8.7144737999999999E-2"/>
    <n v="14700"/>
    <n v="27.9"/>
    <n v="9.23"/>
    <n v="80.17"/>
    <n v="5"/>
    <s v="-Rp650"/>
    <n v="-1.49"/>
  </r>
  <r>
    <x v="1037"/>
    <n v="43000"/>
    <n v="1221"/>
    <n v="5"/>
    <x v="1"/>
    <n v="5"/>
    <s v="False"/>
    <n v="44607.142857142855"/>
    <m/>
    <n v="43000"/>
    <n v="46400"/>
    <n v="38650"/>
    <n v="0"/>
    <n v="127.4853"/>
    <n v="8.7144737999999999E-2"/>
    <n v="14700"/>
    <n v="28"/>
    <n v="12.88"/>
    <n v="80.900000000000006"/>
    <n v="6"/>
    <s v="-Rp650"/>
    <n v="-1.49"/>
  </r>
  <r>
    <x v="1038"/>
    <n v="43000"/>
    <n v="1222"/>
    <n v="5"/>
    <x v="1"/>
    <n v="6"/>
    <s v="False"/>
    <n v="44121.428571428572"/>
    <m/>
    <n v="43000"/>
    <n v="46400"/>
    <m/>
    <n v="0"/>
    <n v="127.4853"/>
    <n v="8.7144737999999999E-2"/>
    <n v="14700"/>
    <n v="28.01"/>
    <n v="4.66"/>
    <n v="79.31"/>
    <n v="7"/>
    <s v="-Rp650"/>
    <n v="-1.49"/>
  </r>
  <r>
    <x v="1039"/>
    <n v="46400"/>
    <n v="1223"/>
    <n v="5"/>
    <x v="1"/>
    <n v="0"/>
    <s v="False"/>
    <n v="44121.428571428572"/>
    <m/>
    <n v="43000"/>
    <n v="46400"/>
    <m/>
    <n v="3400"/>
    <n v="127.4853"/>
    <n v="8.7144737999999999E-2"/>
    <n v="14668"/>
    <n v="27.88"/>
    <n v="5.66"/>
    <n v="80.66"/>
    <n v="8"/>
    <m/>
    <n v="0"/>
  </r>
  <r>
    <x v="1040"/>
    <n v="47150"/>
    <n v="1224"/>
    <n v="5"/>
    <x v="1"/>
    <n v="1"/>
    <s v="False"/>
    <n v="44657.142857142855"/>
    <m/>
    <n v="46400"/>
    <n v="43400"/>
    <m/>
    <n v="750"/>
    <n v="127.4853"/>
    <n v="8.7144737999999999E-2"/>
    <n v="14750"/>
    <n v="27.47"/>
    <n v="2.2999999999999998"/>
    <n v="84.13"/>
    <n v="9"/>
    <s v="Rp750"/>
    <n v="1.62"/>
  </r>
  <r>
    <x v="1041"/>
    <n v="47750"/>
    <n v="1225"/>
    <n v="5"/>
    <x v="1"/>
    <n v="2"/>
    <s v="False"/>
    <n v="44850"/>
    <m/>
    <n v="47150"/>
    <n v="46400"/>
    <n v="38650"/>
    <n v="600"/>
    <n v="127.4853"/>
    <n v="8.7144737999999999E-2"/>
    <n v="14767"/>
    <n v="27.7"/>
    <n v="2.0099999999999998"/>
    <n v="82.01"/>
    <n v="10"/>
    <s v="Rp600"/>
    <n v="1.27"/>
  </r>
  <r>
    <x v="1042"/>
    <n v="45900"/>
    <n v="1226"/>
    <n v="5"/>
    <x v="1"/>
    <n v="3"/>
    <s v="False"/>
    <n v="45171.428571428572"/>
    <m/>
    <n v="47750"/>
    <n v="43650"/>
    <n v="38000"/>
    <n v="-1850"/>
    <n v="127.4853"/>
    <n v="8.7144737999999999E-2"/>
    <n v="14691"/>
    <n v="28.47"/>
    <n v="2.56"/>
    <n v="78.64"/>
    <n v="11"/>
    <s v="-Rp1850"/>
    <n v="-3.87"/>
  </r>
  <r>
    <x v="1043"/>
    <n v="45900"/>
    <n v="1227"/>
    <n v="5"/>
    <x v="1"/>
    <n v="4"/>
    <s v="False"/>
    <n v="45585.714285714283"/>
    <m/>
    <n v="45900"/>
    <n v="43000"/>
    <n v="38000"/>
    <n v="0"/>
    <n v="127.4853"/>
    <n v="8.7144737999999999E-2"/>
    <n v="14770.5"/>
    <n v="28.39"/>
    <n v="1.83"/>
    <n v="80.97"/>
    <n v="12"/>
    <s v="Rp0"/>
    <n v="0"/>
  </r>
  <r>
    <x v="1044"/>
    <n v="45900"/>
    <n v="1228"/>
    <n v="5"/>
    <x v="1"/>
    <n v="5"/>
    <s v="False"/>
    <n v="46000"/>
    <m/>
    <n v="45900"/>
    <n v="43000"/>
    <n v="37400"/>
    <n v="0"/>
    <n v="127.4853"/>
    <n v="8.7144737999999999E-2"/>
    <n v="14770.5"/>
    <n v="28.12"/>
    <n v="1.71"/>
    <n v="80.45"/>
    <n v="13"/>
    <s v="Rp0"/>
    <n v="0"/>
  </r>
  <r>
    <x v="1045"/>
    <n v="45900"/>
    <n v="1229"/>
    <n v="5"/>
    <x v="1"/>
    <n v="6"/>
    <s v="False"/>
    <n v="46414.285714285717"/>
    <m/>
    <n v="45900"/>
    <n v="43000"/>
    <n v="37400"/>
    <n v="0"/>
    <n v="127.4853"/>
    <n v="8.7144737999999999E-2"/>
    <n v="14770.5"/>
    <n v="28.12"/>
    <n v="3.75"/>
    <n v="81.38"/>
    <n v="14"/>
    <s v="Rp0"/>
    <n v="0"/>
  </r>
  <r>
    <x v="1046"/>
    <n v="47150"/>
    <n v="1230"/>
    <n v="5"/>
    <x v="1"/>
    <n v="0"/>
    <s v="False"/>
    <n v="46521.428571428572"/>
    <m/>
    <n v="45900"/>
    <n v="46400"/>
    <n v="37400"/>
    <n v="1250"/>
    <n v="127.4853"/>
    <n v="8.7144737999999999E-2"/>
    <n v="14743"/>
    <n v="28.21"/>
    <n v="4.92"/>
    <n v="81.489999999999995"/>
    <n v="15"/>
    <s v="Rp1250"/>
    <n v="2.72"/>
  </r>
  <r>
    <x v="1047"/>
    <n v="47150"/>
    <n v="1231"/>
    <n v="5"/>
    <x v="1"/>
    <n v="1"/>
    <s v="False"/>
    <n v="46521.428571428572"/>
    <m/>
    <n v="47150"/>
    <n v="47150"/>
    <m/>
    <n v="0"/>
    <n v="127.4853"/>
    <n v="8.7144737999999999E-2"/>
    <n v="14795"/>
    <n v="27.28"/>
    <n v="21.4"/>
    <n v="84.82"/>
    <n v="16"/>
    <s v="Rp0"/>
    <n v="0"/>
  </r>
  <r>
    <x v="1048"/>
    <n v="47150"/>
    <n v="1232"/>
    <n v="5"/>
    <x v="1"/>
    <n v="2"/>
    <s v="False"/>
    <n v="46435.714285714283"/>
    <m/>
    <n v="47150"/>
    <n v="47750"/>
    <n v="40250"/>
    <n v="0"/>
    <n v="127.4853"/>
    <n v="8.7144737999999999E-2"/>
    <n v="14885"/>
    <n v="27.31"/>
    <n v="7.72"/>
    <n v="82.59"/>
    <n v="17"/>
    <s v="Rp0"/>
    <n v="0"/>
  </r>
  <r>
    <x v="1049"/>
    <n v="47150"/>
    <n v="1233"/>
    <n v="5"/>
    <x v="1"/>
    <n v="3"/>
    <s v="False"/>
    <n v="46614.285714285717"/>
    <m/>
    <n v="47150"/>
    <n v="45900"/>
    <n v="40250"/>
    <n v="0"/>
    <n v="127.4853"/>
    <n v="8.7144737999999999E-2"/>
    <n v="14876.5"/>
    <n v="26.85"/>
    <n v="9.16"/>
    <n v="81.540000000000006"/>
    <n v="18"/>
    <s v="Rp0"/>
    <n v="0"/>
  </r>
  <r>
    <x v="1050"/>
    <n v="46650"/>
    <n v="1234"/>
    <n v="5"/>
    <x v="1"/>
    <n v="4"/>
    <s v="False"/>
    <n v="46721.428571428572"/>
    <m/>
    <n v="47150"/>
    <n v="45900"/>
    <n v="40250"/>
    <n v="-500"/>
    <n v="127.4853"/>
    <n v="8.7144737999999999E-2"/>
    <n v="14916"/>
    <n v="27.07"/>
    <n v="4.83"/>
    <n v="80.81"/>
    <n v="19"/>
    <s v="-Rp500"/>
    <n v="-1.06"/>
  </r>
  <r>
    <x v="1051"/>
    <n v="46150"/>
    <n v="1237"/>
    <n v="5"/>
    <x v="1"/>
    <n v="0"/>
    <s v="False"/>
    <m/>
    <m/>
    <m/>
    <n v="47150"/>
    <m/>
    <m/>
    <n v="127.4853"/>
    <n v="8.7144737999999999E-2"/>
    <n v="14918"/>
    <n v="27.83"/>
    <n v="4.6900000000000004"/>
    <n v="80.78"/>
    <n v="22"/>
    <s v="-Rp500"/>
    <n v="-1.07"/>
  </r>
  <r>
    <x v="1052"/>
    <n v="46250"/>
    <n v="1238"/>
    <n v="5"/>
    <x v="1"/>
    <n v="1"/>
    <s v="False"/>
    <m/>
    <m/>
    <n v="46150"/>
    <n v="47150"/>
    <m/>
    <n v="100"/>
    <n v="127.4853"/>
    <n v="8.7144737999999999E-2"/>
    <n v="14886"/>
    <n v="27.68"/>
    <n v="2.78"/>
    <n v="80.540000000000006"/>
    <n v="23"/>
    <s v="Rp100"/>
    <n v="0.22"/>
  </r>
  <r>
    <x v="1053"/>
    <n v="46400"/>
    <n v="1239"/>
    <n v="5"/>
    <x v="1"/>
    <n v="2"/>
    <s v="False"/>
    <m/>
    <m/>
    <n v="46250"/>
    <n v="47150"/>
    <n v="40250"/>
    <n v="150"/>
    <n v="127.4853"/>
    <n v="8.7144737999999999E-2"/>
    <n v="14895"/>
    <n v="27.81"/>
    <n v="1.85"/>
    <n v="80.099999999999994"/>
    <n v="24"/>
    <s v="Rp150"/>
    <n v="0.32"/>
  </r>
  <r>
    <x v="1054"/>
    <n v="44750"/>
    <n v="1240"/>
    <n v="5"/>
    <x v="1"/>
    <n v="3"/>
    <s v="False"/>
    <m/>
    <m/>
    <n v="46400"/>
    <n v="47150"/>
    <n v="40250"/>
    <n v="-1650"/>
    <n v="127.4853"/>
    <n v="8.7144737999999999E-2"/>
    <n v="14945.900390000001"/>
    <n v="27.41"/>
    <n v="13.89"/>
    <n v="82.27"/>
    <n v="25"/>
    <s v="-Rp1650"/>
    <n v="-3.56"/>
  </r>
  <r>
    <x v="1055"/>
    <n v="44250"/>
    <n v="1241"/>
    <n v="5"/>
    <x v="1"/>
    <n v="4"/>
    <s v="False"/>
    <m/>
    <m/>
    <n v="44750"/>
    <n v="46650"/>
    <n v="44400"/>
    <n v="-500"/>
    <n v="127.4853"/>
    <n v="8.7144737999999999E-2"/>
    <n v="14970"/>
    <n v="26.67"/>
    <n v="14.84"/>
    <n v="82.93"/>
    <n v="26"/>
    <s v="-Rp500"/>
    <n v="-1.1200000000000001"/>
  </r>
  <r>
    <x v="1056"/>
    <n v="44250"/>
    <n v="1242"/>
    <n v="5"/>
    <x v="1"/>
    <n v="5"/>
    <s v="False"/>
    <m/>
    <m/>
    <n v="44250"/>
    <m/>
    <n v="44400"/>
    <n v="0"/>
    <n v="127.4853"/>
    <n v="8.7144737999999999E-2"/>
    <n v="14970"/>
    <n v="27.43"/>
    <n v="3.71"/>
    <n v="80.599999999999994"/>
    <n v="27"/>
    <s v="-Rp500"/>
    <n v="-1.1200000000000001"/>
  </r>
  <r>
    <x v="1057"/>
    <n v="44250"/>
    <n v="1243"/>
    <n v="5"/>
    <x v="1"/>
    <n v="6"/>
    <s v="False"/>
    <n v="45185.714285714283"/>
    <m/>
    <n v="44250"/>
    <m/>
    <n v="46400"/>
    <n v="0"/>
    <n v="127.4853"/>
    <n v="8.7144737999999999E-2"/>
    <n v="14970"/>
    <n v="27.53"/>
    <n v="1.99"/>
    <n v="83.61"/>
    <n v="28"/>
    <s v="-Rp500"/>
    <n v="-1.1200000000000001"/>
  </r>
  <r>
    <x v="1058"/>
    <n v="43400"/>
    <n v="1244"/>
    <n v="5"/>
    <x v="1"/>
    <n v="0"/>
    <s v="False"/>
    <n v="44792.857142857145"/>
    <m/>
    <n v="44250"/>
    <n v="46150"/>
    <n v="46400"/>
    <n v="-850"/>
    <n v="127.4853"/>
    <n v="8.7144737999999999E-2"/>
    <n v="14948"/>
    <n v="27.5"/>
    <n v="0.47"/>
    <n v="83.33"/>
    <n v="29"/>
    <s v="-Rp850"/>
    <n v="-1.92"/>
  </r>
  <r>
    <x v="1059"/>
    <n v="43650"/>
    <n v="1245"/>
    <n v="5"/>
    <x v="1"/>
    <n v="1"/>
    <s v="False"/>
    <n v="44421.428571428572"/>
    <m/>
    <n v="43400"/>
    <n v="46250"/>
    <n v="46400"/>
    <n v="250"/>
    <n v="127.4853"/>
    <n v="8.7144737999999999E-2"/>
    <n v="14960"/>
    <n v="27.57"/>
    <n v="1.08"/>
    <n v="84.8"/>
    <n v="30"/>
    <s v="Rp250"/>
    <n v="0.57999999999999996"/>
  </r>
  <r>
    <x v="1060"/>
    <n v="42750"/>
    <n v="1246"/>
    <n v="5"/>
    <x v="1"/>
    <n v="2"/>
    <s v="False"/>
    <n v="43900"/>
    <m/>
    <n v="43650"/>
    <n v="46400"/>
    <n v="46400"/>
    <n v="-900"/>
    <n v="127.4853"/>
    <n v="8.7144737999999999E-2"/>
    <n v="14979"/>
    <n v="28.02"/>
    <n v="0.91"/>
    <n v="82.03"/>
    <n v="31"/>
    <s v="-Rp900"/>
    <n v="-2.06"/>
  </r>
  <r>
    <x v="1061"/>
    <n v="42750"/>
    <n v="1247"/>
    <n v="6"/>
    <x v="1"/>
    <n v="3"/>
    <s v="True"/>
    <n v="43614.285714285717"/>
    <m/>
    <n v="42750"/>
    <n v="44750"/>
    <n v="43400"/>
    <n v="0"/>
    <n v="127.66289999999999"/>
    <n v="0.13931017900000001"/>
    <n v="14984"/>
    <n v="27.92"/>
    <n v="0.47"/>
    <n v="83.36"/>
    <n v="1"/>
    <s v="Rp0"/>
    <n v="0"/>
  </r>
  <r>
    <x v="1062"/>
    <n v="42750"/>
    <n v="1248"/>
    <n v="6"/>
    <x v="1"/>
    <n v="4"/>
    <s v="False"/>
    <n v="43400"/>
    <m/>
    <n v="42750"/>
    <n v="44250"/>
    <n v="46400"/>
    <n v="0"/>
    <n v="127.66289999999999"/>
    <n v="0.13931017900000001"/>
    <n v="14907"/>
    <n v="27.89"/>
    <n v="0.28999999999999998"/>
    <n v="81.44"/>
    <n v="2"/>
    <s v="Rp0"/>
    <n v="0"/>
  </r>
  <r>
    <x v="1063"/>
    <n v="42750"/>
    <n v="1249"/>
    <n v="6"/>
    <x v="1"/>
    <n v="5"/>
    <s v="False"/>
    <n v="43185.714285714283"/>
    <m/>
    <n v="42750"/>
    <n v="44250"/>
    <n v="43650"/>
    <n v="0"/>
    <n v="127.66289999999999"/>
    <n v="0.13931017900000001"/>
    <n v="14907"/>
    <n v="28.16"/>
    <n v="0.45"/>
    <n v="80.510000000000005"/>
    <n v="3"/>
    <s v="Rp0"/>
    <n v="0"/>
  </r>
  <r>
    <x v="1064"/>
    <n v="42750"/>
    <n v="1250"/>
    <n v="6"/>
    <x v="1"/>
    <n v="6"/>
    <s v="False"/>
    <n v="42971.428571428572"/>
    <m/>
    <n v="42750"/>
    <n v="44250"/>
    <n v="43000"/>
    <n v="0"/>
    <n v="127.66289999999999"/>
    <n v="0.13931017900000001"/>
    <n v="14907"/>
    <n v="28.04"/>
    <n v="0.64"/>
    <n v="83.03"/>
    <n v="4"/>
    <s v="Rp0"/>
    <n v="0"/>
  </r>
  <r>
    <x v="1065"/>
    <n v="42900"/>
    <n v="1251"/>
    <n v="6"/>
    <x v="1"/>
    <n v="0"/>
    <s v="False"/>
    <n v="42900"/>
    <m/>
    <n v="42750"/>
    <n v="43400"/>
    <n v="43000"/>
    <n v="150"/>
    <n v="127.66289999999999"/>
    <n v="0.13931017900000001"/>
    <n v="14983"/>
    <n v="27.96"/>
    <n v="6.67"/>
    <n v="81.17"/>
    <n v="5"/>
    <s v="Rp150"/>
    <n v="0.35"/>
  </r>
  <r>
    <x v="1066"/>
    <n v="42900"/>
    <n v="1252"/>
    <n v="6"/>
    <x v="1"/>
    <n v="1"/>
    <s v="True"/>
    <n v="42792.857142857145"/>
    <m/>
    <n v="42900"/>
    <n v="43650"/>
    <n v="43000"/>
    <n v="0"/>
    <n v="127.66289999999999"/>
    <n v="0.13931017900000001"/>
    <n v="14849.5"/>
    <n v="27.66"/>
    <n v="8.8800000000000008"/>
    <n v="81.790000000000006"/>
    <n v="6"/>
    <s v="Rp0"/>
    <n v="0"/>
  </r>
  <r>
    <x v="1067"/>
    <n v="42900"/>
    <n v="1253"/>
    <n v="6"/>
    <x v="1"/>
    <n v="2"/>
    <s v="False"/>
    <n v="42814.285714285717"/>
    <m/>
    <n v="42900"/>
    <n v="42750"/>
    <n v="46400"/>
    <n v="0"/>
    <n v="127.66289999999999"/>
    <n v="0.13931017900000001"/>
    <n v="14872"/>
    <n v="27.7"/>
    <n v="3.37"/>
    <n v="80.5"/>
    <n v="7"/>
    <s v="Rp0"/>
    <n v="0"/>
  </r>
  <r>
    <x v="1068"/>
    <n v="42900"/>
    <n v="1254"/>
    <n v="6"/>
    <x v="1"/>
    <n v="3"/>
    <s v="False"/>
    <n v="42835.714285714283"/>
    <m/>
    <n v="42900"/>
    <n v="42750"/>
    <n v="47150"/>
    <n v="0"/>
    <n v="127.66289999999999"/>
    <n v="0.13931017900000001"/>
    <n v="14889"/>
    <n v="27.99"/>
    <n v="0.13"/>
    <n v="75.27"/>
    <n v="8"/>
    <s v="Rp0"/>
    <n v="0"/>
  </r>
  <r>
    <x v="1069"/>
    <n v="43650"/>
    <n v="1255"/>
    <n v="6"/>
    <x v="1"/>
    <n v="4"/>
    <s v="False"/>
    <n v="42964.285714285717"/>
    <m/>
    <n v="42900"/>
    <n v="42750"/>
    <n v="47750"/>
    <n v="750"/>
    <n v="127.66289999999999"/>
    <n v="0.13931017900000001"/>
    <n v="14836"/>
    <n v="28.17"/>
    <n v="0.13"/>
    <n v="75.180000000000007"/>
    <n v="9"/>
    <s v="Rp750"/>
    <n v="1.75"/>
  </r>
  <r>
    <x v="1070"/>
    <n v="43400"/>
    <n v="1258"/>
    <n v="6"/>
    <x v="1"/>
    <n v="0"/>
    <s v="False"/>
    <m/>
    <m/>
    <m/>
    <n v="42900"/>
    <n v="45900"/>
    <m/>
    <n v="127.66289999999999"/>
    <n v="0.13931017900000001"/>
    <n v="14833"/>
    <n v="27.6"/>
    <n v="3.86"/>
    <n v="81.93"/>
    <n v="12"/>
    <m/>
    <n v="0"/>
  </r>
  <r>
    <x v="1071"/>
    <n v="43400"/>
    <n v="1259"/>
    <n v="6"/>
    <x v="1"/>
    <n v="1"/>
    <s v="False"/>
    <m/>
    <m/>
    <n v="43400"/>
    <n v="42900"/>
    <n v="45900"/>
    <n v="0"/>
    <n v="127.66289999999999"/>
    <n v="0.13931017900000001"/>
    <n v="14871.5"/>
    <n v="26.78"/>
    <n v="7.92"/>
    <n v="80.37"/>
    <n v="13"/>
    <s v="Rp0"/>
    <n v="0"/>
  </r>
  <r>
    <x v="1072"/>
    <n v="43900"/>
    <n v="1260"/>
    <n v="6"/>
    <x v="1"/>
    <n v="2"/>
    <s v="False"/>
    <m/>
    <m/>
    <n v="43400"/>
    <n v="42900"/>
    <n v="47150"/>
    <n v="500"/>
    <n v="127.66289999999999"/>
    <n v="0.13931017900000001"/>
    <n v="14869"/>
    <n v="26.88"/>
    <n v="14.83"/>
    <n v="80.77"/>
    <n v="14"/>
    <s v="Rp500"/>
    <n v="1.1499999999999999"/>
  </r>
  <r>
    <x v="1073"/>
    <n v="43650"/>
    <n v="1261"/>
    <n v="6"/>
    <x v="1"/>
    <n v="3"/>
    <s v="False"/>
    <m/>
    <m/>
    <n v="43900"/>
    <n v="42900"/>
    <n v="47150"/>
    <n v="-250"/>
    <n v="127.66289999999999"/>
    <n v="0.13931017900000001"/>
    <n v="14909"/>
    <n v="27.23"/>
    <n v="9.92"/>
    <n v="78.47"/>
    <n v="15"/>
    <s v="-Rp250"/>
    <n v="-0.56999999999999995"/>
  </r>
  <r>
    <x v="1074"/>
    <n v="43650"/>
    <n v="1262"/>
    <n v="6"/>
    <x v="1"/>
    <n v="4"/>
    <s v="False"/>
    <m/>
    <m/>
    <n v="43650"/>
    <n v="43650"/>
    <n v="47150"/>
    <n v="0"/>
    <n v="127.66289999999999"/>
    <n v="0.13931017900000001"/>
    <n v="14897"/>
    <n v="26.7"/>
    <n v="11.62"/>
    <n v="75.42"/>
    <n v="16"/>
    <s v="Rp0"/>
    <n v="0"/>
  </r>
  <r>
    <x v="1075"/>
    <n v="43650"/>
    <n v="1263"/>
    <n v="6"/>
    <x v="1"/>
    <n v="5"/>
    <s v="False"/>
    <m/>
    <m/>
    <n v="43650"/>
    <m/>
    <n v="47150"/>
    <n v="0"/>
    <n v="127.66289999999999"/>
    <n v="0.13931017900000001"/>
    <n v="14897"/>
    <n v="26.62"/>
    <n v="6.91"/>
    <n v="80.73"/>
    <n v="17"/>
    <s v="Rp0"/>
    <n v="0"/>
  </r>
  <r>
    <x v="1076"/>
    <n v="43650"/>
    <n v="1265"/>
    <n v="6"/>
    <x v="1"/>
    <n v="0"/>
    <s v="False"/>
    <m/>
    <m/>
    <m/>
    <n v="43400"/>
    <m/>
    <m/>
    <n v="127.66289999999999"/>
    <n v="0.13931017900000001"/>
    <n v="14928"/>
    <n v="26.84"/>
    <n v="15.09"/>
    <n v="79.63"/>
    <n v="19"/>
    <s v="Rp0"/>
    <n v="0"/>
  </r>
  <r>
    <x v="1077"/>
    <n v="43650"/>
    <n v="1266"/>
    <n v="6"/>
    <x v="1"/>
    <n v="1"/>
    <s v="False"/>
    <m/>
    <m/>
    <n v="43650"/>
    <n v="43400"/>
    <m/>
    <n v="0"/>
    <n v="127.66289999999999"/>
    <n v="0.13931017900000001"/>
    <n v="15008"/>
    <n v="26.54"/>
    <n v="16.14"/>
    <n v="80.260000000000005"/>
    <n v="20"/>
    <s v="Rp0"/>
    <n v="0"/>
  </r>
  <r>
    <x v="1078"/>
    <n v="43650"/>
    <n v="1267"/>
    <n v="6"/>
    <x v="1"/>
    <n v="2"/>
    <s v="False"/>
    <m/>
    <m/>
    <n v="43650"/>
    <n v="43900"/>
    <n v="46150"/>
    <n v="0"/>
    <n v="127.66289999999999"/>
    <n v="0.13931017900000001"/>
    <n v="15016"/>
    <n v="26.85"/>
    <n v="7.54"/>
    <n v="75.34"/>
    <n v="21"/>
    <s v="Rp0"/>
    <n v="0"/>
  </r>
  <r>
    <x v="1079"/>
    <n v="43650"/>
    <n v="1268"/>
    <n v="6"/>
    <x v="1"/>
    <n v="3"/>
    <s v="False"/>
    <m/>
    <m/>
    <n v="43650"/>
    <n v="43650"/>
    <n v="46250"/>
    <n v="0"/>
    <n v="127.66289999999999"/>
    <n v="0.13931017900000001"/>
    <n v="14943"/>
    <n v="27.19"/>
    <n v="1.97"/>
    <n v="76.2"/>
    <n v="22"/>
    <s v="Rp0"/>
    <n v="0"/>
  </r>
  <r>
    <x v="1080"/>
    <n v="44150"/>
    <n v="1269"/>
    <n v="6"/>
    <x v="1"/>
    <n v="4"/>
    <s v="False"/>
    <m/>
    <m/>
    <n v="43650"/>
    <n v="43650"/>
    <n v="46400"/>
    <n v="500"/>
    <n v="127.66289999999999"/>
    <n v="0.13931017900000001"/>
    <n v="14935"/>
    <n v="27.13"/>
    <n v="12.57"/>
    <n v="80.5"/>
    <n v="23"/>
    <s v="Rp500"/>
    <n v="1.1499999999999999"/>
  </r>
  <r>
    <x v="1081"/>
    <n v="44900"/>
    <n v="1272"/>
    <n v="6"/>
    <x v="1"/>
    <n v="0"/>
    <s v="False"/>
    <m/>
    <m/>
    <m/>
    <n v="43650"/>
    <n v="44250"/>
    <m/>
    <n v="127.66289999999999"/>
    <n v="0.13931017900000001"/>
    <n v="14987"/>
    <n v="27.32"/>
    <n v="7.73"/>
    <n v="81.319999999999993"/>
    <n v="26"/>
    <s v="Rp750"/>
    <n v="1.7"/>
  </r>
  <r>
    <x v="1082"/>
    <n v="44900"/>
    <n v="1273"/>
    <n v="6"/>
    <x v="1"/>
    <n v="1"/>
    <s v="False"/>
    <m/>
    <m/>
    <n v="44900"/>
    <n v="43650"/>
    <n v="44250"/>
    <n v="0"/>
    <n v="127.66289999999999"/>
    <n v="0.13931017900000001"/>
    <n v="15039"/>
    <n v="27.4"/>
    <n v="0.45"/>
    <n v="82"/>
    <n v="27"/>
    <s v="Rp0"/>
    <n v="0"/>
  </r>
  <r>
    <x v="1083"/>
    <n v="44900"/>
    <n v="1274"/>
    <n v="6"/>
    <x v="1"/>
    <n v="2"/>
    <s v="False"/>
    <m/>
    <m/>
    <n v="44900"/>
    <n v="43650"/>
    <n v="43400"/>
    <n v="0"/>
    <n v="127.66289999999999"/>
    <n v="0.13931017900000001"/>
    <n v="14982.5"/>
    <n v="26.83"/>
    <n v="3.52"/>
    <n v="84.97"/>
    <n v="28"/>
    <s v="Rp0"/>
    <n v="0"/>
  </r>
  <r>
    <x v="1084"/>
    <n v="44900"/>
    <n v="1275"/>
    <n v="6"/>
    <x v="1"/>
    <n v="3"/>
    <s v="True"/>
    <m/>
    <m/>
    <n v="44900"/>
    <n v="43650"/>
    <n v="43650"/>
    <n v="0"/>
    <n v="127.66289999999999"/>
    <n v="0.13931017900000001"/>
    <n v="14981"/>
    <n v="26.98"/>
    <n v="2.89"/>
    <n v="81.78"/>
    <n v="29"/>
    <s v="Rp0"/>
    <n v="0"/>
  </r>
  <r>
    <x v="1085"/>
    <n v="44900"/>
    <n v="1276"/>
    <n v="6"/>
    <x v="1"/>
    <n v="4"/>
    <s v="False"/>
    <m/>
    <m/>
    <n v="44900"/>
    <n v="44150"/>
    <n v="42750"/>
    <n v="0"/>
    <n v="127.66289999999999"/>
    <n v="0.13931017900000001"/>
    <n v="15064"/>
    <n v="27.28"/>
    <n v="0.63"/>
    <n v="81.99"/>
    <n v="30"/>
    <s v="Rp0"/>
    <n v="0"/>
  </r>
  <r>
    <x v="1086"/>
    <n v="44900"/>
    <n v="1277"/>
    <n v="7"/>
    <x v="1"/>
    <n v="5"/>
    <s v="False"/>
    <m/>
    <m/>
    <n v="44900"/>
    <m/>
    <n v="42750"/>
    <n v="0"/>
    <n v="127.9294"/>
    <n v="0.20875289499999999"/>
    <n v="15064"/>
    <n v="27.32"/>
    <n v="1.42"/>
    <n v="82.2"/>
    <n v="1"/>
    <s v="Rp0"/>
    <n v="0"/>
  </r>
  <r>
    <x v="1087"/>
    <n v="44900"/>
    <n v="1278"/>
    <n v="7"/>
    <x v="1"/>
    <n v="6"/>
    <s v="False"/>
    <n v="44900"/>
    <m/>
    <n v="44900"/>
    <m/>
    <n v="42750"/>
    <n v="0"/>
    <n v="127.9294"/>
    <n v="0.20875289499999999"/>
    <n v="15064"/>
    <n v="27.05"/>
    <n v="3.2"/>
    <n v="83.39"/>
    <n v="2"/>
    <s v="Rp0"/>
    <n v="0"/>
  </r>
  <r>
    <x v="1088"/>
    <n v="47400"/>
    <n v="1279"/>
    <n v="7"/>
    <x v="1"/>
    <n v="0"/>
    <s v="False"/>
    <n v="45257.142857142855"/>
    <m/>
    <n v="44900"/>
    <n v="44900"/>
    <n v="42750"/>
    <n v="2500"/>
    <n v="127.9294"/>
    <n v="0.20875289499999999"/>
    <n v="14986"/>
    <n v="27.22"/>
    <n v="6.22"/>
    <n v="83.52"/>
    <n v="3"/>
    <s v="Rp2500"/>
    <n v="5.57"/>
  </r>
  <r>
    <x v="1089"/>
    <n v="47400"/>
    <n v="1280"/>
    <n v="7"/>
    <x v="1"/>
    <n v="1"/>
    <s v="False"/>
    <n v="45614.285714285717"/>
    <m/>
    <n v="47400"/>
    <n v="44900"/>
    <n v="42750"/>
    <n v="0"/>
    <n v="127.9294"/>
    <n v="0.20875289499999999"/>
    <n v="15056"/>
    <n v="27.73"/>
    <n v="3.37"/>
    <n v="75.849999999999994"/>
    <n v="4"/>
    <s v="Rp0"/>
    <n v="0"/>
  </r>
  <r>
    <x v="1090"/>
    <n v="47650"/>
    <n v="1281"/>
    <n v="7"/>
    <x v="1"/>
    <n v="2"/>
    <s v="False"/>
    <n v="46007.142857142855"/>
    <m/>
    <n v="47400"/>
    <n v="44900"/>
    <n v="42900"/>
    <n v="250"/>
    <n v="127.9294"/>
    <n v="0.20875289499999999"/>
    <n v="15010"/>
    <n v="27.04"/>
    <n v="14.08"/>
    <n v="82.24"/>
    <n v="5"/>
    <s v="Rp250"/>
    <n v="0.53"/>
  </r>
  <r>
    <x v="1091"/>
    <n v="47650"/>
    <n v="1282"/>
    <n v="7"/>
    <x v="1"/>
    <n v="3"/>
    <s v="False"/>
    <n v="46400"/>
    <m/>
    <n v="47650"/>
    <n v="44900"/>
    <n v="42900"/>
    <n v="0"/>
    <n v="127.9294"/>
    <n v="0.20875289499999999"/>
    <n v="15077"/>
    <n v="26.97"/>
    <n v="5.35"/>
    <n v="84.77"/>
    <n v="6"/>
    <s v="Rp0"/>
    <n v="0"/>
  </r>
  <r>
    <x v="1092"/>
    <n v="49500"/>
    <n v="1283"/>
    <n v="7"/>
    <x v="1"/>
    <n v="4"/>
    <s v="False"/>
    <n v="47057.142857142855"/>
    <m/>
    <n v="47650"/>
    <n v="44900"/>
    <n v="42900"/>
    <n v="1850"/>
    <n v="127.9294"/>
    <n v="0.20875289499999999"/>
    <n v="15189.299800000001"/>
    <n v="26.88"/>
    <n v="4.2300000000000004"/>
    <n v="83.47"/>
    <n v="7"/>
    <s v="Rp1850"/>
    <n v="3.88"/>
  </r>
  <r>
    <x v="1093"/>
    <n v="49500"/>
    <n v="1284"/>
    <n v="7"/>
    <x v="1"/>
    <n v="5"/>
    <s v="False"/>
    <n v="47714.285714285717"/>
    <m/>
    <n v="49500"/>
    <n v="44900"/>
    <n v="42900"/>
    <n v="0"/>
    <n v="127.9294"/>
    <n v="0.20875289499999999"/>
    <n v="15189.299800000001"/>
    <n v="27.17"/>
    <n v="5.0199999999999996"/>
    <n v="79.58"/>
    <n v="8"/>
    <s v="Rp1850"/>
    <n v="3.88"/>
  </r>
  <r>
    <x v="1094"/>
    <n v="49500"/>
    <n v="1285"/>
    <n v="7"/>
    <x v="1"/>
    <n v="6"/>
    <s v="False"/>
    <n v="48371.428571428572"/>
    <m/>
    <n v="49500"/>
    <n v="44900"/>
    <n v="43650"/>
    <n v="0"/>
    <n v="127.9294"/>
    <n v="0.20875289499999999"/>
    <n v="15189.299800000001"/>
    <n v="26.51"/>
    <n v="4.43"/>
    <n v="82.41"/>
    <n v="9"/>
    <s v="Rp1850"/>
    <n v="3.88"/>
  </r>
  <r>
    <x v="1095"/>
    <n v="49500"/>
    <n v="1286"/>
    <n v="7"/>
    <x v="1"/>
    <n v="0"/>
    <s v="False"/>
    <n v="48671.428571428572"/>
    <m/>
    <n v="49500"/>
    <n v="47400"/>
    <m/>
    <n v="0"/>
    <n v="127.9294"/>
    <n v="0.20875289499999999"/>
    <n v="15128"/>
    <n v="26.53"/>
    <n v="25.41"/>
    <n v="86.09"/>
    <n v="10"/>
    <s v="Rp0"/>
    <n v="0"/>
  </r>
  <r>
    <x v="1096"/>
    <n v="49250"/>
    <n v="1287"/>
    <n v="7"/>
    <x v="1"/>
    <n v="1"/>
    <s v="False"/>
    <n v="48935.714285714283"/>
    <m/>
    <n v="49500"/>
    <n v="47400"/>
    <m/>
    <n v="-250"/>
    <n v="127.9294"/>
    <n v="0.20875289499999999"/>
    <n v="15216"/>
    <n v="27.05"/>
    <n v="13.23"/>
    <n v="85.23"/>
    <n v="11"/>
    <s v="-Rp250"/>
    <n v="-0.51"/>
  </r>
  <r>
    <x v="1097"/>
    <n v="48500"/>
    <n v="1288"/>
    <n v="7"/>
    <x v="1"/>
    <n v="2"/>
    <s v="False"/>
    <n v="49057.142857142855"/>
    <m/>
    <n v="49250"/>
    <n v="47650"/>
    <n v="43400"/>
    <n v="-750"/>
    <n v="127.9294"/>
    <n v="0.20875289499999999"/>
    <n v="15156.799800000001"/>
    <n v="27.33"/>
    <n v="2.5"/>
    <n v="83.63"/>
    <n v="12"/>
    <s v="-Rp750"/>
    <n v="-1.52"/>
  </r>
  <r>
    <x v="1098"/>
    <n v="47900"/>
    <n v="1289"/>
    <n v="7"/>
    <x v="1"/>
    <n v="3"/>
    <s v="False"/>
    <n v="49092.857142857145"/>
    <m/>
    <n v="48500"/>
    <n v="47650"/>
    <n v="43400"/>
    <n v="-600"/>
    <n v="127.9294"/>
    <n v="0.20875289499999999"/>
    <n v="14928"/>
    <n v="26.87"/>
    <n v="5.71"/>
    <n v="82.21"/>
    <n v="13"/>
    <s v="-Rp600"/>
    <n v="-1.24"/>
  </r>
  <r>
    <x v="1099"/>
    <n v="47650"/>
    <n v="1290"/>
    <n v="7"/>
    <x v="1"/>
    <n v="4"/>
    <s v="False"/>
    <n v="48828.571428571428"/>
    <m/>
    <n v="47900"/>
    <n v="49500"/>
    <n v="43900"/>
    <n v="-250"/>
    <n v="127.9294"/>
    <n v="0.20875289499999999"/>
    <n v="14954"/>
    <n v="26.91"/>
    <n v="5.2"/>
    <n v="82.54"/>
    <n v="14"/>
    <s v="-Rp250"/>
    <n v="-0.52"/>
  </r>
  <r>
    <x v="1100"/>
    <n v="46000"/>
    <n v="1293"/>
    <n v="7"/>
    <x v="1"/>
    <n v="0"/>
    <s v="False"/>
    <m/>
    <m/>
    <m/>
    <n v="49500"/>
    <n v="43650"/>
    <m/>
    <n v="127.9294"/>
    <n v="0.20875289499999999"/>
    <n v="14951"/>
    <n v="26.44"/>
    <n v="4.42"/>
    <n v="78.2"/>
    <n v="17"/>
    <s v="-Rp1650"/>
    <n v="-3.46"/>
  </r>
  <r>
    <x v="1101"/>
    <n v="45500"/>
    <n v="1294"/>
    <n v="7"/>
    <x v="1"/>
    <n v="1"/>
    <s v="False"/>
    <m/>
    <m/>
    <n v="46000"/>
    <n v="49250"/>
    <m/>
    <n v="-500"/>
    <n v="127.9294"/>
    <n v="0.20875289499999999"/>
    <n v="14982.5"/>
    <n v="26.9"/>
    <n v="6.72"/>
    <n v="78.650000000000006"/>
    <n v="18"/>
    <s v="-Rp500"/>
    <n v="-1.0900000000000001"/>
  </r>
  <r>
    <x v="1102"/>
    <n v="45500"/>
    <n v="1295"/>
    <n v="7"/>
    <x v="1"/>
    <n v="2"/>
    <s v="True"/>
    <m/>
    <m/>
    <n v="45500"/>
    <n v="48500"/>
    <n v="43650"/>
    <n v="0"/>
    <n v="127.9294"/>
    <n v="0.20875289499999999"/>
    <n v="14986"/>
    <n v="27.19"/>
    <n v="2.69"/>
    <n v="82.09"/>
    <n v="19"/>
    <s v="Rp0"/>
    <n v="0"/>
  </r>
  <r>
    <x v="1103"/>
    <n v="43250"/>
    <n v="1296"/>
    <n v="7"/>
    <x v="1"/>
    <n v="3"/>
    <s v="False"/>
    <m/>
    <m/>
    <n v="45500"/>
    <n v="47900"/>
    <n v="43650"/>
    <n v="-2250"/>
    <n v="127.9294"/>
    <n v="0.20875289499999999"/>
    <n v="14992"/>
    <n v="27.49"/>
    <n v="1.71"/>
    <n v="81.88"/>
    <n v="20"/>
    <s v="-Rp2250"/>
    <n v="-4.95"/>
  </r>
  <r>
    <x v="1104"/>
    <n v="43250"/>
    <n v="1297"/>
    <n v="7"/>
    <x v="1"/>
    <n v="4"/>
    <s v="False"/>
    <m/>
    <m/>
    <n v="43250"/>
    <n v="47650"/>
    <n v="43650"/>
    <n v="0"/>
    <n v="127.9294"/>
    <n v="0.20875289499999999"/>
    <n v="15051.5"/>
    <n v="27.27"/>
    <n v="1.51"/>
    <n v="83.88"/>
    <n v="21"/>
    <s v="Rp0"/>
    <n v="0"/>
  </r>
  <r>
    <x v="1105"/>
    <n v="43250"/>
    <n v="1298"/>
    <n v="7"/>
    <x v="1"/>
    <n v="5"/>
    <s v="False"/>
    <m/>
    <m/>
    <n v="43250"/>
    <m/>
    <n v="43650"/>
    <n v="0"/>
    <n v="127.9294"/>
    <n v="0.20875289499999999"/>
    <n v="15051.5"/>
    <n v="27.25"/>
    <n v="1.43"/>
    <n v="82.29"/>
    <n v="22"/>
    <s v="Rp0"/>
    <n v="0"/>
  </r>
  <r>
    <x v="1106"/>
    <n v="43250"/>
    <n v="1299"/>
    <n v="7"/>
    <x v="1"/>
    <n v="6"/>
    <s v="False"/>
    <n v="44285.714285714283"/>
    <m/>
    <n v="43250"/>
    <m/>
    <n v="44150"/>
    <n v="0"/>
    <n v="127.9294"/>
    <n v="0.20875289499999999"/>
    <n v="15051.5"/>
    <n v="27.13"/>
    <n v="1.1499999999999999"/>
    <n v="81.19"/>
    <n v="23"/>
    <s v="Rp0"/>
    <n v="0"/>
  </r>
  <r>
    <x v="1107"/>
    <n v="41500"/>
    <n v="1300"/>
    <n v="7"/>
    <x v="1"/>
    <n v="0"/>
    <s v="False"/>
    <n v="43642.857142857145"/>
    <m/>
    <n v="43250"/>
    <n v="46000"/>
    <m/>
    <n v="-1750"/>
    <n v="127.9294"/>
    <n v="0.20875289499999999"/>
    <n v="15018"/>
    <n v="26.89"/>
    <n v="0.41"/>
    <n v="82.16"/>
    <n v="24"/>
    <s v="-Rp1750"/>
    <n v="-4.05"/>
  </r>
  <r>
    <x v="1108"/>
    <n v="40900"/>
    <n v="1301"/>
    <n v="7"/>
    <x v="1"/>
    <n v="1"/>
    <s v="False"/>
    <n v="42985.714285714283"/>
    <m/>
    <n v="41500"/>
    <n v="45500"/>
    <m/>
    <n v="-600"/>
    <n v="127.9294"/>
    <n v="0.20875289499999999"/>
    <n v="15021.5"/>
    <n v="26.8"/>
    <n v="0.28000000000000003"/>
    <n v="83.78"/>
    <n v="25"/>
    <s v="-Rp600"/>
    <n v="-1.45"/>
  </r>
  <r>
    <x v="1109"/>
    <n v="41400"/>
    <n v="1302"/>
    <n v="7"/>
    <x v="1"/>
    <n v="2"/>
    <s v="False"/>
    <n v="42400"/>
    <m/>
    <n v="40900"/>
    <n v="45500"/>
    <n v="44900"/>
    <n v="500"/>
    <n v="127.9294"/>
    <n v="0.20875289499999999"/>
    <n v="15032"/>
    <n v="27.06"/>
    <n v="0.08"/>
    <n v="82.51"/>
    <n v="26"/>
    <s v="Rp500"/>
    <n v="1.22"/>
  </r>
  <r>
    <x v="1110"/>
    <n v="41650"/>
    <n v="1303"/>
    <n v="7"/>
    <x v="1"/>
    <n v="3"/>
    <s v="False"/>
    <n v="42171.428571428572"/>
    <m/>
    <n v="41400"/>
    <n v="43250"/>
    <n v="44900"/>
    <n v="250"/>
    <n v="127.9294"/>
    <n v="0.20875289499999999"/>
    <n v="15007"/>
    <n v="26.85"/>
    <n v="0.12"/>
    <n v="84.34"/>
    <n v="27"/>
    <s v="Rp250"/>
    <n v="0.6"/>
  </r>
  <r>
    <x v="1111"/>
    <n v="41400"/>
    <n v="1304"/>
    <n v="7"/>
    <x v="1"/>
    <n v="4"/>
    <s v="False"/>
    <n v="41907.142857142855"/>
    <m/>
    <n v="41650"/>
    <n v="43250"/>
    <n v="44900"/>
    <n v="-250"/>
    <n v="127.9294"/>
    <n v="0.20875289499999999"/>
    <n v="15095"/>
    <n v="26.87"/>
    <n v="0.12"/>
    <n v="85.42"/>
    <n v="28"/>
    <s v="-Rp250"/>
    <n v="-0.6"/>
  </r>
  <r>
    <x v="1112"/>
    <n v="41400"/>
    <n v="1305"/>
    <n v="7"/>
    <x v="1"/>
    <n v="5"/>
    <s v="False"/>
    <n v="41642.857142857145"/>
    <m/>
    <n v="41400"/>
    <n v="43250"/>
    <n v="44900"/>
    <n v="0"/>
    <n v="127.9294"/>
    <n v="0.20875289499999999"/>
    <n v="15095"/>
    <n v="27.11"/>
    <n v="0.06"/>
    <n v="83.6"/>
    <n v="29"/>
    <s v="-Rp250"/>
    <n v="-0.6"/>
  </r>
  <r>
    <x v="1113"/>
    <n v="41400"/>
    <n v="1306"/>
    <n v="7"/>
    <x v="1"/>
    <n v="6"/>
    <s v="False"/>
    <n v="41378.571428571428"/>
    <m/>
    <n v="41400"/>
    <n v="43250"/>
    <n v="44900"/>
    <n v="0"/>
    <n v="127.9294"/>
    <n v="0.20875289499999999"/>
    <n v="15095"/>
    <n v="26.92"/>
    <n v="0.05"/>
    <n v="82.38"/>
    <n v="30"/>
    <s v="-Rp250"/>
    <n v="-0.6"/>
  </r>
  <r>
    <x v="1114"/>
    <n v="40900"/>
    <n v="1307"/>
    <n v="7"/>
    <x v="1"/>
    <n v="0"/>
    <s v="False"/>
    <n v="41292.857142857145"/>
    <m/>
    <n v="41400"/>
    <n v="41500"/>
    <n v="44900"/>
    <n v="-500"/>
    <n v="127.9294"/>
    <n v="0.20875289499999999"/>
    <n v="15088"/>
    <n v="27.23"/>
    <n v="0.15"/>
    <n v="83.92"/>
    <n v="31"/>
    <s v="-Rp500"/>
    <n v="-1.21"/>
  </r>
  <r>
    <x v="1115"/>
    <n v="40650"/>
    <n v="1308"/>
    <n v="8"/>
    <x v="1"/>
    <n v="1"/>
    <s v="False"/>
    <n v="41257.142857142855"/>
    <m/>
    <n v="40900"/>
    <n v="40900"/>
    <n v="44900"/>
    <n v="-250"/>
    <n v="127.9072"/>
    <n v="-1.7353321000000001E-2"/>
    <n v="15104"/>
    <n v="27.08"/>
    <n v="2.33"/>
    <n v="86.24"/>
    <n v="1"/>
    <s v="-Rp250"/>
    <n v="-0.61"/>
  </r>
  <r>
    <x v="1116"/>
    <n v="41250"/>
    <n v="1309"/>
    <n v="8"/>
    <x v="1"/>
    <n v="2"/>
    <s v="False"/>
    <n v="41235.714285714283"/>
    <m/>
    <n v="40650"/>
    <n v="41400"/>
    <n v="47400"/>
    <n v="600"/>
    <n v="127.9072"/>
    <n v="-1.7353321000000001E-2"/>
    <n v="15131"/>
    <n v="27.1"/>
    <n v="1.23"/>
    <n v="84.25"/>
    <n v="2"/>
    <s v="Rp600"/>
    <n v="1.48"/>
  </r>
  <r>
    <x v="1117"/>
    <n v="40750"/>
    <n v="1310"/>
    <n v="8"/>
    <x v="1"/>
    <n v="3"/>
    <s v="False"/>
    <n v="41107.142857142855"/>
    <m/>
    <n v="41250"/>
    <n v="41650"/>
    <n v="47400"/>
    <n v="-500"/>
    <n v="127.9072"/>
    <n v="-1.7353321000000001E-2"/>
    <n v="15220"/>
    <n v="27.11"/>
    <n v="0.54"/>
    <n v="84.2"/>
    <n v="3"/>
    <s v="-Rp500"/>
    <n v="-1.21"/>
  </r>
  <r>
    <x v="1118"/>
    <n v="40750"/>
    <n v="1311"/>
    <n v="8"/>
    <x v="1"/>
    <n v="4"/>
    <s v="False"/>
    <n v="41014.285714285717"/>
    <m/>
    <n v="40750"/>
    <n v="41400"/>
    <n v="47650"/>
    <n v="0"/>
    <n v="127.9072"/>
    <n v="-1.7353321000000001E-2"/>
    <n v="15161"/>
    <n v="27.07"/>
    <n v="0.39"/>
    <n v="84.76"/>
    <n v="4"/>
    <s v="Rp0"/>
    <n v="0"/>
  </r>
  <r>
    <x v="1119"/>
    <n v="40000"/>
    <n v="1314"/>
    <n v="8"/>
    <x v="1"/>
    <n v="0"/>
    <s v="False"/>
    <m/>
    <m/>
    <m/>
    <n v="40900"/>
    <n v="49500"/>
    <m/>
    <n v="127.9072"/>
    <n v="-1.7353321000000001E-2"/>
    <n v="15163"/>
    <n v="26.81"/>
    <n v="0.4"/>
    <n v="82.14"/>
    <n v="7"/>
    <m/>
    <n v="0"/>
  </r>
  <r>
    <x v="1120"/>
    <n v="36250"/>
    <n v="1315"/>
    <n v="8"/>
    <x v="1"/>
    <n v="1"/>
    <s v="False"/>
    <m/>
    <m/>
    <n v="40000"/>
    <n v="40650"/>
    <n v="49500"/>
    <n v="-3750"/>
    <n v="127.9072"/>
    <n v="-1.7353321000000001E-2"/>
    <n v="15232"/>
    <n v="26.99"/>
    <n v="0.03"/>
    <n v="80.45"/>
    <n v="8"/>
    <s v="-Rp3750"/>
    <n v="-9.3800000000000008"/>
  </r>
  <r>
    <x v="1121"/>
    <n v="36250"/>
    <n v="1316"/>
    <n v="8"/>
    <x v="1"/>
    <n v="2"/>
    <s v="False"/>
    <m/>
    <m/>
    <n v="36250"/>
    <n v="41250"/>
    <n v="49500"/>
    <n v="0"/>
    <n v="127.9072"/>
    <n v="-1.7353321000000001E-2"/>
    <n v="15207.200199999999"/>
    <n v="27.03"/>
    <n v="0.61"/>
    <n v="80.78"/>
    <n v="9"/>
    <s v="Rp0"/>
    <n v="0"/>
  </r>
  <r>
    <x v="1122"/>
    <n v="36250"/>
    <n v="1317"/>
    <n v="8"/>
    <x v="1"/>
    <n v="3"/>
    <s v="False"/>
    <m/>
    <m/>
    <n v="36250"/>
    <n v="40750"/>
    <n v="49250"/>
    <n v="0"/>
    <n v="127.9072"/>
    <n v="-1.7353321000000001E-2"/>
    <n v="15207"/>
    <n v="26.97"/>
    <n v="1.06"/>
    <n v="82.67"/>
    <n v="10"/>
    <s v="Rp0"/>
    <n v="0"/>
  </r>
  <r>
    <x v="1123"/>
    <n v="35750"/>
    <n v="1318"/>
    <n v="8"/>
    <x v="1"/>
    <n v="4"/>
    <s v="False"/>
    <m/>
    <m/>
    <n v="36250"/>
    <n v="40750"/>
    <n v="48500"/>
    <n v="-500"/>
    <n v="127.9072"/>
    <n v="-1.7353321000000001E-2"/>
    <n v="15259"/>
    <n v="26.72"/>
    <n v="0.96"/>
    <n v="83.07"/>
    <n v="11"/>
    <s v="-Rp500"/>
    <n v="-1.38"/>
  </r>
  <r>
    <x v="1124"/>
    <n v="35750"/>
    <n v="1319"/>
    <n v="8"/>
    <x v="1"/>
    <n v="5"/>
    <s v="False"/>
    <m/>
    <m/>
    <n v="35750"/>
    <m/>
    <n v="47900"/>
    <n v="0"/>
    <n v="127.9072"/>
    <n v="-1.7353321000000001E-2"/>
    <n v="15259"/>
    <n v="26.98"/>
    <n v="9.3699999999999992"/>
    <n v="81.12"/>
    <n v="12"/>
    <s v="-Rp500"/>
    <n v="-1.38"/>
  </r>
  <r>
    <x v="1125"/>
    <n v="35750"/>
    <n v="1320"/>
    <n v="8"/>
    <x v="1"/>
    <n v="6"/>
    <s v="False"/>
    <n v="36571.428571428572"/>
    <m/>
    <n v="35750"/>
    <m/>
    <n v="47650"/>
    <n v="0"/>
    <n v="127.9072"/>
    <n v="-1.7353321000000001E-2"/>
    <n v="15259"/>
    <n v="26.5"/>
    <n v="2.98"/>
    <n v="84.34"/>
    <n v="13"/>
    <s v="-Rp500"/>
    <n v="-1.38"/>
  </r>
  <r>
    <x v="1126"/>
    <n v="35900"/>
    <n v="1321"/>
    <n v="8"/>
    <x v="1"/>
    <n v="0"/>
    <s v="False"/>
    <n v="35985.714285714283"/>
    <m/>
    <n v="35750"/>
    <n v="40000"/>
    <m/>
    <n v="150"/>
    <n v="127.9072"/>
    <n v="-1.7353321000000001E-2"/>
    <n v="15317"/>
    <n v="26.63"/>
    <n v="0.49"/>
    <n v="83.28"/>
    <n v="14"/>
    <m/>
    <n v="0"/>
  </r>
  <r>
    <x v="1127"/>
    <n v="34650"/>
    <n v="1322"/>
    <n v="8"/>
    <x v="1"/>
    <n v="1"/>
    <s v="False"/>
    <n v="35757.142857142855"/>
    <m/>
    <n v="35900"/>
    <n v="36250"/>
    <m/>
    <n v="-1250"/>
    <n v="127.9072"/>
    <n v="-1.7353321000000001E-2"/>
    <n v="15347"/>
    <n v="26.82"/>
    <n v="0.6"/>
    <n v="84.02"/>
    <n v="15"/>
    <s v="-Rp1250"/>
    <n v="-3.48"/>
  </r>
  <r>
    <x v="1128"/>
    <n v="34650"/>
    <n v="1323"/>
    <n v="8"/>
    <x v="1"/>
    <n v="2"/>
    <s v="False"/>
    <n v="35528.571428571428"/>
    <m/>
    <n v="34650"/>
    <n v="36250"/>
    <n v="46000"/>
    <n v="0"/>
    <n v="127.9072"/>
    <n v="-1.7353321000000001E-2"/>
    <n v="15311.5"/>
    <n v="26.89"/>
    <n v="2.72"/>
    <n v="82.5"/>
    <n v="16"/>
    <s v="Rp0"/>
    <n v="0"/>
  </r>
  <r>
    <x v="1129"/>
    <n v="34650"/>
    <n v="1324"/>
    <n v="8"/>
    <x v="1"/>
    <n v="3"/>
    <s v="True"/>
    <n v="35300"/>
    <m/>
    <n v="34650"/>
    <n v="36250"/>
    <n v="45500"/>
    <n v="0"/>
    <n v="127.9072"/>
    <n v="-1.7353321000000001E-2"/>
    <n v="15362"/>
    <n v="26.53"/>
    <n v="6.39"/>
    <n v="81.92"/>
    <n v="17"/>
    <s v="Rp0"/>
    <n v="0"/>
  </r>
  <r>
    <x v="1130"/>
    <n v="35150"/>
    <n v="1325"/>
    <n v="8"/>
    <x v="1"/>
    <n v="4"/>
    <s v="False"/>
    <n v="35214.285714285717"/>
    <m/>
    <n v="34650"/>
    <n v="35750"/>
    <n v="45500"/>
    <n v="500"/>
    <n v="127.9072"/>
    <n v="-1.7353321000000001E-2"/>
    <n v="15362.5"/>
    <n v="26.53"/>
    <n v="5.35"/>
    <n v="83.66"/>
    <n v="18"/>
    <s v="Rp500"/>
    <n v="1.44"/>
  </r>
  <r>
    <x v="1131"/>
    <n v="35150"/>
    <n v="1328"/>
    <n v="8"/>
    <x v="1"/>
    <n v="0"/>
    <s v="False"/>
    <m/>
    <m/>
    <m/>
    <n v="35900"/>
    <n v="43250"/>
    <m/>
    <n v="127.9072"/>
    <n v="-1.7353321000000001E-2"/>
    <n v="15278"/>
    <n v="26.56"/>
    <n v="0.41"/>
    <n v="82.45"/>
    <n v="21"/>
    <s v="Rp0"/>
    <n v="0"/>
  </r>
  <r>
    <x v="1132"/>
    <n v="34650"/>
    <n v="1329"/>
    <n v="8"/>
    <x v="1"/>
    <n v="1"/>
    <s v="False"/>
    <m/>
    <m/>
    <n v="35150"/>
    <n v="34650"/>
    <n v="43250"/>
    <n v="-500"/>
    <n v="127.9072"/>
    <n v="-1.7353321000000001E-2"/>
    <n v="15318.900390000001"/>
    <n v="26.38"/>
    <n v="3.1"/>
    <n v="83.27"/>
    <n v="22"/>
    <s v="-Rp500"/>
    <n v="-1.42"/>
  </r>
  <r>
    <x v="1133"/>
    <n v="34000"/>
    <n v="1330"/>
    <n v="8"/>
    <x v="1"/>
    <n v="2"/>
    <s v="False"/>
    <m/>
    <m/>
    <n v="34650"/>
    <n v="34650"/>
    <n v="41500"/>
    <n v="-650"/>
    <n v="127.9072"/>
    <n v="-1.7353321000000001E-2"/>
    <n v="15317"/>
    <n v="26.19"/>
    <n v="1.66"/>
    <n v="85.2"/>
    <n v="23"/>
    <s v="-Rp650"/>
    <n v="-1.88"/>
  </r>
  <r>
    <x v="1134"/>
    <n v="33150"/>
    <n v="1331"/>
    <n v="8"/>
    <x v="1"/>
    <n v="3"/>
    <s v="False"/>
    <m/>
    <m/>
    <n v="34000"/>
    <n v="34650"/>
    <n v="40900"/>
    <n v="-850"/>
    <n v="127.9072"/>
    <n v="-1.7353321000000001E-2"/>
    <n v="15294.099609999999"/>
    <n v="26.15"/>
    <n v="1.46"/>
    <n v="86.95"/>
    <n v="24"/>
    <s v="-Rp850"/>
    <n v="-2.5"/>
  </r>
  <r>
    <x v="1135"/>
    <n v="33500"/>
    <n v="1332"/>
    <n v="8"/>
    <x v="1"/>
    <n v="4"/>
    <s v="False"/>
    <m/>
    <m/>
    <n v="33150"/>
    <n v="35150"/>
    <n v="41400"/>
    <n v="350"/>
    <n v="127.9072"/>
    <n v="-1.7353321000000001E-2"/>
    <n v="15239"/>
    <n v="26.59"/>
    <n v="1.01"/>
    <n v="86.12"/>
    <n v="25"/>
    <s v="Rp350"/>
    <n v="1.06"/>
  </r>
  <r>
    <x v="1136"/>
    <n v="33500"/>
    <n v="1333"/>
    <n v="8"/>
    <x v="1"/>
    <n v="5"/>
    <s v="False"/>
    <m/>
    <m/>
    <n v="33500"/>
    <m/>
    <n v="41650"/>
    <n v="0"/>
    <n v="127.9072"/>
    <n v="-1.7353321000000001E-2"/>
    <n v="15239"/>
    <n v="26.93"/>
    <n v="3.7"/>
    <n v="82.92"/>
    <n v="26"/>
    <s v="Rp350"/>
    <n v="1.06"/>
  </r>
  <r>
    <x v="1137"/>
    <n v="33500"/>
    <n v="1334"/>
    <n v="8"/>
    <x v="1"/>
    <n v="6"/>
    <s v="False"/>
    <n v="33921.428571428572"/>
    <m/>
    <n v="33500"/>
    <m/>
    <n v="41400"/>
    <n v="0"/>
    <n v="127.9072"/>
    <n v="-1.7353321000000001E-2"/>
    <n v="15239"/>
    <n v="26.56"/>
    <n v="8.09"/>
    <n v="82.46"/>
    <n v="27"/>
    <s v="Rp350"/>
    <n v="1.06"/>
  </r>
  <r>
    <x v="1138"/>
    <n v="32500"/>
    <n v="1335"/>
    <n v="8"/>
    <x v="1"/>
    <n v="0"/>
    <s v="False"/>
    <n v="33542.857142857145"/>
    <m/>
    <n v="33500"/>
    <n v="35150"/>
    <n v="41400"/>
    <n v="-1000"/>
    <n v="127.9072"/>
    <n v="-1.7353321000000001E-2"/>
    <n v="15288"/>
    <n v="26.82"/>
    <n v="0.22"/>
    <n v="82.4"/>
    <n v="28"/>
    <m/>
    <n v="0"/>
  </r>
  <r>
    <x v="1139"/>
    <n v="31250"/>
    <n v="1336"/>
    <n v="8"/>
    <x v="1"/>
    <n v="1"/>
    <s v="False"/>
    <n v="33057.142857142855"/>
    <m/>
    <n v="32500"/>
    <n v="34650"/>
    <n v="41400"/>
    <n v="-1250"/>
    <n v="127.9072"/>
    <n v="-1.7353321000000001E-2"/>
    <n v="15255.5"/>
    <n v="26.75"/>
    <n v="0.63"/>
    <n v="84.26"/>
    <n v="29"/>
    <s v="-Rp1250"/>
    <n v="-3.85"/>
  </r>
  <r>
    <x v="1140"/>
    <n v="31250"/>
    <n v="1337"/>
    <n v="8"/>
    <x v="1"/>
    <n v="2"/>
    <s v="False"/>
    <n v="32664.285714285714"/>
    <m/>
    <n v="31250"/>
    <n v="34000"/>
    <n v="40900"/>
    <n v="0"/>
    <n v="127.9072"/>
    <n v="-1.7353321000000001E-2"/>
    <n v="15196.5"/>
    <n v="26.89"/>
    <n v="0.46"/>
    <n v="83.24"/>
    <n v="30"/>
    <s v="Rp0"/>
    <n v="0"/>
  </r>
  <r>
    <x v="1141"/>
    <n v="31000"/>
    <n v="1338"/>
    <n v="8"/>
    <x v="1"/>
    <n v="3"/>
    <s v="False"/>
    <n v="32357.142857142859"/>
    <m/>
    <n v="31250"/>
    <n v="33150"/>
    <n v="40650"/>
    <n v="-250"/>
    <n v="127.9072"/>
    <n v="-1.7353321000000001E-2"/>
    <n v="15216"/>
    <n v="26.92"/>
    <n v="0.15"/>
    <n v="80.88"/>
    <n v="31"/>
    <s v="-Rp250"/>
    <n v="-0.8"/>
  </r>
  <r>
    <x v="1142"/>
    <n v="30500"/>
    <n v="1339"/>
    <n v="9"/>
    <x v="1"/>
    <n v="4"/>
    <s v="False"/>
    <n v="31928.571428571428"/>
    <m/>
    <n v="31000"/>
    <n v="33500"/>
    <n v="41250"/>
    <n v="-500"/>
    <n v="128.1514"/>
    <n v="0.19091966699999999"/>
    <n v="15231"/>
    <n v="27.06"/>
    <n v="0.31"/>
    <n v="82.77"/>
    <n v="1"/>
    <s v="-Rp500"/>
    <n v="-1.61"/>
  </r>
  <r>
    <x v="1143"/>
    <n v="30500"/>
    <n v="1340"/>
    <n v="9"/>
    <x v="1"/>
    <n v="5"/>
    <s v="False"/>
    <n v="31500"/>
    <m/>
    <n v="30500"/>
    <n v="33500"/>
    <n v="40750"/>
    <n v="0"/>
    <n v="128.1514"/>
    <n v="0.19091966699999999"/>
    <n v="15231"/>
    <n v="26.92"/>
    <n v="0.04"/>
    <n v="80.47"/>
    <n v="2"/>
    <s v="-Rp500"/>
    <n v="-1.61"/>
  </r>
  <r>
    <x v="1144"/>
    <n v="30500"/>
    <n v="1341"/>
    <n v="9"/>
    <x v="1"/>
    <n v="6"/>
    <s v="False"/>
    <n v="31071.428571428572"/>
    <m/>
    <n v="30500"/>
    <n v="33500"/>
    <n v="40750"/>
    <n v="0"/>
    <n v="128.1514"/>
    <n v="0.19091966699999999"/>
    <n v="15231"/>
    <n v="26.72"/>
    <n v="0.03"/>
    <n v="79.91"/>
    <n v="3"/>
    <s v="-Rp500"/>
    <n v="-1.61"/>
  </r>
  <r>
    <x v="1145"/>
    <n v="30250"/>
    <n v="1342"/>
    <n v="9"/>
    <x v="1"/>
    <n v="0"/>
    <s v="False"/>
    <n v="30750"/>
    <m/>
    <n v="30500"/>
    <n v="32500"/>
    <m/>
    <n v="-250"/>
    <n v="128.1514"/>
    <n v="0.19091966699999999"/>
    <n v="15233"/>
    <n v="26.65"/>
    <n v="0.06"/>
    <n v="83.64"/>
    <n v="4"/>
    <s v="-Rp250"/>
    <n v="-0.82"/>
  </r>
  <r>
    <x v="1146"/>
    <n v="30250"/>
    <n v="1343"/>
    <n v="9"/>
    <x v="1"/>
    <n v="1"/>
    <s v="False"/>
    <n v="30607.142857142859"/>
    <m/>
    <n v="30250"/>
    <n v="31250"/>
    <m/>
    <n v="0"/>
    <n v="128.1514"/>
    <n v="0.19091966699999999"/>
    <n v="15227"/>
    <n v="26.6"/>
    <n v="1.05"/>
    <n v="84.1"/>
    <n v="5"/>
    <s v="Rp0"/>
    <n v="0"/>
  </r>
  <r>
    <x v="1147"/>
    <n v="30750"/>
    <n v="1344"/>
    <n v="9"/>
    <x v="1"/>
    <n v="2"/>
    <s v="False"/>
    <n v="30535.714285714286"/>
    <m/>
    <n v="30250"/>
    <n v="31250"/>
    <n v="40000"/>
    <n v="500"/>
    <n v="128.1514"/>
    <n v="0.19091966699999999"/>
    <n v="15298"/>
    <n v="26.75"/>
    <n v="2.02"/>
    <n v="84.19"/>
    <n v="6"/>
    <s v="Rp500"/>
    <n v="1.65"/>
  </r>
  <r>
    <x v="1148"/>
    <n v="30250"/>
    <n v="1345"/>
    <n v="9"/>
    <x v="1"/>
    <n v="3"/>
    <s v="False"/>
    <n v="30428.571428571428"/>
    <m/>
    <n v="30750"/>
    <n v="31000"/>
    <n v="36250"/>
    <n v="-500"/>
    <n v="128.1514"/>
    <n v="0.19091966699999999"/>
    <n v="15336"/>
    <n v="26.64"/>
    <n v="1.44"/>
    <n v="83.97"/>
    <n v="7"/>
    <s v="-Rp500"/>
    <n v="-1.63"/>
  </r>
  <r>
    <x v="1149"/>
    <n v="30750"/>
    <n v="1346"/>
    <n v="9"/>
    <x v="1"/>
    <n v="4"/>
    <s v="False"/>
    <n v="30464.285714285714"/>
    <m/>
    <n v="30250"/>
    <n v="30500"/>
    <n v="36250"/>
    <n v="500"/>
    <n v="128.1514"/>
    <n v="0.19091966699999999"/>
    <n v="15342"/>
    <n v="27.14"/>
    <n v="0.22"/>
    <n v="76.23"/>
    <n v="8"/>
    <s v="Rp500"/>
    <n v="1.65"/>
  </r>
  <r>
    <x v="1150"/>
    <n v="30750"/>
    <n v="1347"/>
    <n v="9"/>
    <x v="1"/>
    <n v="5"/>
    <s v="False"/>
    <n v="30500"/>
    <m/>
    <n v="30750"/>
    <n v="30500"/>
    <n v="36250"/>
    <n v="0"/>
    <n v="128.1514"/>
    <n v="0.19091966699999999"/>
    <n v="15342"/>
    <n v="27.32"/>
    <n v="0.03"/>
    <n v="75.72"/>
    <n v="9"/>
    <s v="Rp500"/>
    <n v="1.65"/>
  </r>
  <r>
    <x v="1151"/>
    <n v="30750"/>
    <n v="1348"/>
    <n v="9"/>
    <x v="1"/>
    <n v="6"/>
    <s v="False"/>
    <n v="30535.714285714286"/>
    <m/>
    <n v="30750"/>
    <n v="30500"/>
    <n v="35750"/>
    <n v="0"/>
    <n v="128.1514"/>
    <n v="0.19091966699999999"/>
    <n v="15342"/>
    <n v="26.87"/>
    <n v="2.62"/>
    <n v="83.1"/>
    <n v="10"/>
    <s v="Rp500"/>
    <n v="1.65"/>
  </r>
  <r>
    <x v="1152"/>
    <n v="30500"/>
    <n v="1349"/>
    <n v="9"/>
    <x v="1"/>
    <n v="0"/>
    <s v="False"/>
    <n v="30571.428571428572"/>
    <m/>
    <n v="30750"/>
    <n v="30250"/>
    <n v="35750"/>
    <n v="-250"/>
    <n v="128.1514"/>
    <n v="0.19091966699999999"/>
    <n v="15318"/>
    <n v="26.82"/>
    <n v="4.63"/>
    <n v="80.650000000000006"/>
    <n v="11"/>
    <s v="-Rp250"/>
    <n v="-0.81"/>
  </r>
  <r>
    <x v="1153"/>
    <n v="30500"/>
    <n v="1350"/>
    <n v="9"/>
    <x v="1"/>
    <n v="1"/>
    <s v="False"/>
    <n v="30607.142857142859"/>
    <m/>
    <n v="30500"/>
    <n v="30250"/>
    <n v="35750"/>
    <n v="0"/>
    <n v="128.1514"/>
    <n v="0.19091966699999999"/>
    <n v="15339.099609999999"/>
    <n v="27.05"/>
    <n v="3.37"/>
    <n v="77.069999999999993"/>
    <n v="12"/>
    <s v="Rp0"/>
    <n v="0"/>
  </r>
  <r>
    <x v="1154"/>
    <n v="30500"/>
    <n v="1351"/>
    <n v="9"/>
    <x v="1"/>
    <n v="2"/>
    <s v="False"/>
    <n v="30571.428571428572"/>
    <m/>
    <n v="30500"/>
    <n v="30750"/>
    <n v="35900"/>
    <n v="0"/>
    <n v="128.1514"/>
    <n v="0.19091966699999999"/>
    <n v="15350.200199999999"/>
    <n v="26.39"/>
    <n v="15.72"/>
    <n v="80.67"/>
    <n v="13"/>
    <s v="Rp0"/>
    <n v="0"/>
  </r>
  <r>
    <x v="1155"/>
    <n v="30000"/>
    <n v="1352"/>
    <n v="9"/>
    <x v="1"/>
    <n v="3"/>
    <s v="False"/>
    <n v="30535.714285714286"/>
    <m/>
    <n v="30500"/>
    <n v="30250"/>
    <n v="34650"/>
    <n v="-500"/>
    <n v="128.1514"/>
    <n v="0.19091966699999999"/>
    <n v="15353"/>
    <n v="26.57"/>
    <n v="0.57999999999999996"/>
    <n v="79.64"/>
    <n v="14"/>
    <s v="-Rp500"/>
    <n v="-1.64"/>
  </r>
  <r>
    <x v="1156"/>
    <n v="30000"/>
    <n v="1353"/>
    <n v="9"/>
    <x v="1"/>
    <n v="4"/>
    <s v="False"/>
    <n v="30428.571428571428"/>
    <m/>
    <n v="30000"/>
    <n v="30750"/>
    <n v="34650"/>
    <n v="0"/>
    <n v="128.1514"/>
    <n v="0.19091966699999999"/>
    <n v="15395"/>
    <n v="26.2"/>
    <n v="6.14"/>
    <n v="85.8"/>
    <n v="15"/>
    <s v="Rp0"/>
    <n v="0"/>
  </r>
  <r>
    <x v="1157"/>
    <n v="30750"/>
    <n v="1356"/>
    <n v="9"/>
    <x v="1"/>
    <n v="0"/>
    <s v="False"/>
    <m/>
    <m/>
    <m/>
    <n v="30500"/>
    <m/>
    <m/>
    <n v="128.1514"/>
    <n v="0.19091966699999999"/>
    <n v="15346"/>
    <n v="26.59"/>
    <n v="2.16"/>
    <n v="82.91"/>
    <n v="18"/>
    <s v="Rp750"/>
    <n v="2.5"/>
  </r>
  <r>
    <x v="1158"/>
    <n v="30750"/>
    <n v="1357"/>
    <n v="9"/>
    <x v="1"/>
    <n v="1"/>
    <s v="False"/>
    <m/>
    <m/>
    <n v="30750"/>
    <n v="30500"/>
    <m/>
    <n v="0"/>
    <n v="128.1514"/>
    <n v="0.19091966699999999"/>
    <n v="15377"/>
    <n v="26.86"/>
    <n v="0.95"/>
    <n v="80.41"/>
    <n v="19"/>
    <s v="Rp0"/>
    <n v="0"/>
  </r>
  <r>
    <x v="1159"/>
    <n v="30750"/>
    <n v="1358"/>
    <n v="9"/>
    <x v="1"/>
    <n v="2"/>
    <s v="False"/>
    <m/>
    <m/>
    <n v="30750"/>
    <n v="30500"/>
    <n v="35150"/>
    <n v="0"/>
    <n v="128.1514"/>
    <n v="0.19091966699999999"/>
    <n v="15384.5"/>
    <n v="27.22"/>
    <n v="0.42"/>
    <n v="78.86"/>
    <n v="20"/>
    <s v="Rp0"/>
    <n v="0"/>
  </r>
  <r>
    <x v="1160"/>
    <n v="31000"/>
    <n v="1359"/>
    <n v="9"/>
    <x v="1"/>
    <n v="3"/>
    <s v="False"/>
    <m/>
    <m/>
    <n v="30750"/>
    <n v="30000"/>
    <n v="34650"/>
    <n v="250"/>
    <n v="128.1514"/>
    <n v="0.19091966699999999"/>
    <n v="15361"/>
    <n v="27.18"/>
    <n v="0.03"/>
    <n v="78.150000000000006"/>
    <n v="21"/>
    <s v="Rp250"/>
    <n v="0.81"/>
  </r>
  <r>
    <x v="1161"/>
    <n v="31000"/>
    <n v="1360"/>
    <n v="9"/>
    <x v="1"/>
    <n v="4"/>
    <s v="False"/>
    <m/>
    <m/>
    <n v="31000"/>
    <n v="30000"/>
    <n v="34000"/>
    <n v="0"/>
    <n v="128.1514"/>
    <n v="0.19091966699999999"/>
    <n v="15400.5"/>
    <n v="27.11"/>
    <n v="0.02"/>
    <n v="76.75"/>
    <n v="22"/>
    <s v="Rp0"/>
    <n v="0"/>
  </r>
  <r>
    <x v="1162"/>
    <n v="30250"/>
    <n v="1363"/>
    <n v="9"/>
    <x v="1"/>
    <n v="0"/>
    <s v="False"/>
    <m/>
    <m/>
    <m/>
    <n v="30750"/>
    <n v="33500"/>
    <m/>
    <n v="128.1514"/>
    <n v="0.19091966699999999"/>
    <n v="15368"/>
    <n v="27.43"/>
    <n v="0.34"/>
    <n v="76.739999999999995"/>
    <n v="25"/>
    <m/>
    <n v="0"/>
  </r>
  <r>
    <x v="1163"/>
    <n v="30250"/>
    <n v="1364"/>
    <n v="9"/>
    <x v="1"/>
    <n v="1"/>
    <s v="False"/>
    <m/>
    <m/>
    <n v="30250"/>
    <n v="30750"/>
    <n v="33500"/>
    <n v="0"/>
    <n v="128.1514"/>
    <n v="0.19091966699999999"/>
    <n v="15405"/>
    <n v="27.13"/>
    <n v="0.01"/>
    <n v="75.31"/>
    <n v="26"/>
    <s v="Rp0"/>
    <n v="0"/>
  </r>
  <r>
    <x v="1164"/>
    <n v="30250"/>
    <n v="1365"/>
    <n v="9"/>
    <x v="1"/>
    <n v="2"/>
    <s v="False"/>
    <m/>
    <m/>
    <n v="30250"/>
    <n v="30750"/>
    <n v="32500"/>
    <n v="0"/>
    <n v="128.1514"/>
    <n v="0.19091966699999999"/>
    <n v="15493"/>
    <n v="27.18"/>
    <n v="0.03"/>
    <n v="75.52"/>
    <n v="27"/>
    <s v="Rp0"/>
    <n v="0"/>
  </r>
  <r>
    <x v="1165"/>
    <n v="30250"/>
    <n v="1366"/>
    <n v="9"/>
    <x v="1"/>
    <n v="3"/>
    <s v="True"/>
    <m/>
    <m/>
    <n v="30250"/>
    <n v="31000"/>
    <n v="31250"/>
    <n v="0"/>
    <n v="128.1514"/>
    <n v="0.19091966699999999"/>
    <n v="15569"/>
    <n v="27.34"/>
    <n v="0.04"/>
    <n v="77.36"/>
    <n v="28"/>
    <s v="Rp0"/>
    <n v="0"/>
  </r>
  <r>
    <x v="1166"/>
    <n v="30250"/>
    <n v="1367"/>
    <n v="9"/>
    <x v="1"/>
    <n v="4"/>
    <s v="False"/>
    <m/>
    <m/>
    <n v="30250"/>
    <n v="31000"/>
    <n v="31250"/>
    <n v="0"/>
    <n v="128.1514"/>
    <n v="0.19091966699999999"/>
    <n v="15474"/>
    <n v="27.8"/>
    <n v="7.0000000000000007E-2"/>
    <n v="75.739999999999995"/>
    <n v="29"/>
    <s v="Rp0"/>
    <n v="0"/>
  </r>
  <r>
    <x v="1167"/>
    <n v="30250"/>
    <n v="1368"/>
    <n v="9"/>
    <x v="1"/>
    <n v="5"/>
    <s v="False"/>
    <m/>
    <m/>
    <n v="30250"/>
    <m/>
    <n v="31000"/>
    <n v="0"/>
    <n v="128.1514"/>
    <n v="0.19091966699999999"/>
    <n v="15474"/>
    <n v="27.47"/>
    <n v="7.0000000000000007E-2"/>
    <n v="77.89"/>
    <n v="30"/>
    <s v="Rp0"/>
    <n v="0"/>
  </r>
  <r>
    <x v="1168"/>
    <n v="30250"/>
    <n v="1369"/>
    <n v="10"/>
    <x v="0"/>
    <n v="6"/>
    <s v="False"/>
    <n v="30250"/>
    <m/>
    <n v="30250"/>
    <m/>
    <n v="30500"/>
    <n v="0"/>
    <n v="128.3734"/>
    <n v="0.17323259799999999"/>
    <n v="15474"/>
    <n v="27.71"/>
    <n v="0.04"/>
    <n v="77.849999999999994"/>
    <n v="1"/>
    <s v="Rp0"/>
    <n v="0"/>
  </r>
  <r>
    <x v="1169"/>
    <n v="30250"/>
    <n v="1370"/>
    <n v="10"/>
    <x v="0"/>
    <n v="0"/>
    <s v="False"/>
    <n v="30250"/>
    <m/>
    <n v="30250"/>
    <n v="30250"/>
    <n v="30500"/>
    <n v="0"/>
    <n v="128.3734"/>
    <n v="0.17323259799999999"/>
    <n v="15448"/>
    <n v="27.59"/>
    <n v="0.15"/>
    <n v="79.83"/>
    <n v="2"/>
    <s v="Rp0"/>
    <n v="0"/>
  </r>
  <r>
    <x v="1170"/>
    <n v="30250"/>
    <n v="1371"/>
    <n v="10"/>
    <x v="0"/>
    <n v="1"/>
    <s v="False"/>
    <n v="30250"/>
    <m/>
    <n v="30250"/>
    <n v="30250"/>
    <n v="30500"/>
    <n v="0"/>
    <n v="128.3734"/>
    <n v="0.17323259799999999"/>
    <n v="15516"/>
    <n v="27.5"/>
    <n v="0.14000000000000001"/>
    <n v="76.73"/>
    <n v="3"/>
    <s v="Rp0"/>
    <n v="0"/>
  </r>
  <r>
    <x v="1171"/>
    <n v="30400"/>
    <n v="1372"/>
    <n v="10"/>
    <x v="0"/>
    <n v="2"/>
    <s v="False"/>
    <n v="30271.428571428572"/>
    <m/>
    <n v="30250"/>
    <n v="30250"/>
    <n v="30250"/>
    <n v="150"/>
    <n v="128.3734"/>
    <n v="0.17323259799999999"/>
    <n v="15622"/>
    <n v="27.72"/>
    <n v="0.62"/>
    <n v="76.14"/>
    <n v="4"/>
    <s v="Rp150"/>
    <n v="0.5"/>
  </r>
  <r>
    <x v="1172"/>
    <n v="30400"/>
    <n v="1373"/>
    <n v="10"/>
    <x v="0"/>
    <n v="3"/>
    <s v="False"/>
    <n v="30292.857142857141"/>
    <m/>
    <n v="30400"/>
    <n v="30250"/>
    <n v="30250"/>
    <n v="0"/>
    <n v="128.3734"/>
    <n v="0.17323259799999999"/>
    <n v="15591"/>
    <n v="28.17"/>
    <n v="0.83"/>
    <n v="74.86"/>
    <n v="5"/>
    <s v="Rp0"/>
    <n v="0"/>
  </r>
  <r>
    <x v="1173"/>
    <n v="30400"/>
    <n v="1374"/>
    <n v="10"/>
    <x v="0"/>
    <n v="4"/>
    <s v="False"/>
    <n v="30314.285714285714"/>
    <m/>
    <n v="30400"/>
    <n v="30250"/>
    <n v="30750"/>
    <n v="0"/>
    <n v="128.3734"/>
    <n v="0.17323259799999999"/>
    <n v="15631"/>
    <n v="28.36"/>
    <n v="0.4"/>
    <n v="73.91"/>
    <n v="6"/>
    <s v="Rp0"/>
    <n v="0"/>
  </r>
  <r>
    <x v="1174"/>
    <n v="30400"/>
    <n v="1375"/>
    <n v="10"/>
    <x v="0"/>
    <n v="5"/>
    <s v="False"/>
    <n v="30335.714285714286"/>
    <m/>
    <n v="30400"/>
    <n v="30250"/>
    <n v="30250"/>
    <n v="0"/>
    <n v="128.3734"/>
    <n v="0.17323259799999999"/>
    <n v="15631"/>
    <n v="28.44"/>
    <n v="7.0000000000000007E-2"/>
    <n v="73.78"/>
    <n v="7"/>
    <s v="Rp0"/>
    <n v="0"/>
  </r>
  <r>
    <x v="1175"/>
    <n v="30400"/>
    <n v="1376"/>
    <n v="10"/>
    <x v="0"/>
    <n v="6"/>
    <s v="False"/>
    <n v="30357.142857142859"/>
    <m/>
    <n v="30400"/>
    <n v="30250"/>
    <n v="30750"/>
    <n v="0"/>
    <n v="128.3734"/>
    <n v="0.17323259799999999"/>
    <n v="15631"/>
    <n v="28.41"/>
    <n v="0.63"/>
    <n v="75.69"/>
    <n v="8"/>
    <s v="Rp0"/>
    <n v="0"/>
  </r>
  <r>
    <x v="1176"/>
    <n v="29750"/>
    <n v="1377"/>
    <n v="10"/>
    <x v="0"/>
    <n v="0"/>
    <s v="False"/>
    <n v="30285.714285714286"/>
    <m/>
    <n v="30400"/>
    <n v="30250"/>
    <n v="30750"/>
    <n v="-650"/>
    <n v="128.3734"/>
    <n v="0.17323259799999999"/>
    <n v="15603"/>
    <n v="28.75"/>
    <n v="0.92"/>
    <n v="72.92"/>
    <n v="9"/>
    <s v="-Rp650"/>
    <n v="-2.14"/>
  </r>
  <r>
    <x v="1177"/>
    <n v="29750"/>
    <n v="1378"/>
    <n v="10"/>
    <x v="0"/>
    <n v="1"/>
    <s v="False"/>
    <n v="30214.285714285714"/>
    <m/>
    <n v="29750"/>
    <n v="30250"/>
    <n v="30750"/>
    <n v="0"/>
    <n v="128.3734"/>
    <n v="0.17323259799999999"/>
    <n v="15691.400390000001"/>
    <n v="28.77"/>
    <n v="0.44"/>
    <n v="70.849999999999994"/>
    <n v="10"/>
    <s v="Rp0"/>
    <n v="0"/>
  </r>
  <r>
    <x v="1178"/>
    <n v="29750"/>
    <n v="1379"/>
    <n v="10"/>
    <x v="0"/>
    <n v="2"/>
    <s v="False"/>
    <n v="30121.428571428572"/>
    <m/>
    <n v="29750"/>
    <n v="30400"/>
    <n v="30500"/>
    <n v="0"/>
    <n v="128.3734"/>
    <n v="0.17323259799999999"/>
    <n v="15718.5"/>
    <n v="28.33"/>
    <n v="0.01"/>
    <n v="71.989999999999995"/>
    <n v="11"/>
    <s v="Rp0"/>
    <n v="0"/>
  </r>
  <r>
    <x v="1179"/>
    <n v="29750"/>
    <n v="1380"/>
    <n v="10"/>
    <x v="0"/>
    <n v="3"/>
    <s v="False"/>
    <n v="30028.571428571428"/>
    <m/>
    <n v="29750"/>
    <n v="30400"/>
    <n v="30500"/>
    <n v="0"/>
    <n v="128.3734"/>
    <n v="0.17323259799999999"/>
    <n v="15693"/>
    <n v="28.19"/>
    <n v="0.01"/>
    <n v="71.72"/>
    <n v="12"/>
    <s v="Rp0"/>
    <n v="0"/>
  </r>
  <r>
    <x v="1180"/>
    <n v="29750"/>
    <n v="1381"/>
    <n v="10"/>
    <x v="0"/>
    <n v="4"/>
    <s v="False"/>
    <n v="29935.714285714286"/>
    <m/>
    <n v="29750"/>
    <n v="30400"/>
    <n v="30500"/>
    <n v="0"/>
    <n v="128.3734"/>
    <n v="0.17323259799999999"/>
    <n v="15739"/>
    <n v="27.87"/>
    <n v="0.05"/>
    <n v="75.58"/>
    <n v="13"/>
    <s v="Rp0"/>
    <n v="0"/>
  </r>
  <r>
    <x v="1181"/>
    <n v="29750"/>
    <n v="1382"/>
    <n v="10"/>
    <x v="0"/>
    <n v="5"/>
    <s v="False"/>
    <n v="29842.857142857141"/>
    <m/>
    <n v="29750"/>
    <n v="30400"/>
    <n v="30000"/>
    <n v="0"/>
    <n v="128.3734"/>
    <n v="0.17323259799999999"/>
    <n v="15739"/>
    <n v="27.77"/>
    <n v="0.39"/>
    <n v="78.2"/>
    <n v="14"/>
    <s v="Rp0"/>
    <n v="0"/>
  </r>
  <r>
    <x v="1182"/>
    <n v="29750"/>
    <n v="1383"/>
    <n v="10"/>
    <x v="0"/>
    <n v="6"/>
    <s v="False"/>
    <n v="29750"/>
    <m/>
    <n v="29750"/>
    <n v="30400"/>
    <n v="30000"/>
    <n v="0"/>
    <n v="128.3734"/>
    <n v="0.17323259799999999"/>
    <n v="15739"/>
    <n v="28.28"/>
    <n v="0.66"/>
    <n v="75.819999999999993"/>
    <n v="15"/>
    <s v="Rp0"/>
    <n v="0"/>
  </r>
  <r>
    <x v="1183"/>
    <n v="30150"/>
    <n v="1384"/>
    <n v="10"/>
    <x v="0"/>
    <n v="0"/>
    <s v="False"/>
    <n v="29807.142857142859"/>
    <m/>
    <n v="29750"/>
    <n v="29750"/>
    <m/>
    <n v="400"/>
    <n v="128.3734"/>
    <n v="0.17323259799999999"/>
    <n v="15676"/>
    <n v="28.31"/>
    <n v="1"/>
    <n v="75.08"/>
    <n v="16"/>
    <s v="Rp400"/>
    <n v="1.34"/>
  </r>
  <r>
    <x v="1184"/>
    <n v="30150"/>
    <n v="1385"/>
    <n v="10"/>
    <x v="0"/>
    <n v="1"/>
    <s v="False"/>
    <n v="29864.285714285714"/>
    <m/>
    <n v="30150"/>
    <n v="29750"/>
    <m/>
    <n v="0"/>
    <n v="128.3734"/>
    <n v="0.17323259799999999"/>
    <n v="15675"/>
    <n v="27.91"/>
    <n v="2.16"/>
    <n v="76.63"/>
    <n v="17"/>
    <s v="Rp0"/>
    <n v="0"/>
  </r>
  <r>
    <x v="1185"/>
    <n v="30150"/>
    <n v="1386"/>
    <n v="10"/>
    <x v="0"/>
    <n v="2"/>
    <s v="False"/>
    <n v="29921.428571428572"/>
    <m/>
    <n v="30150"/>
    <n v="29750"/>
    <n v="30750"/>
    <n v="0"/>
    <n v="128.3734"/>
    <n v="0.17323259799999999"/>
    <n v="15728.200199999999"/>
    <n v="27.86"/>
    <n v="0.61"/>
    <n v="77.02"/>
    <n v="18"/>
    <s v="Rp0"/>
    <n v="0"/>
  </r>
  <r>
    <x v="1186"/>
    <n v="30150"/>
    <n v="1387"/>
    <n v="10"/>
    <x v="0"/>
    <n v="3"/>
    <s v="False"/>
    <n v="29978.571428571428"/>
    <m/>
    <n v="30150"/>
    <n v="29750"/>
    <n v="30750"/>
    <n v="0"/>
    <n v="128.3734"/>
    <n v="0.17323259799999999"/>
    <n v="15807"/>
    <n v="28.4"/>
    <n v="0.34"/>
    <n v="74.849999999999994"/>
    <n v="19"/>
    <s v="Rp0"/>
    <n v="0"/>
  </r>
  <r>
    <x v="1187"/>
    <n v="30000"/>
    <n v="1388"/>
    <n v="10"/>
    <x v="0"/>
    <n v="4"/>
    <s v="False"/>
    <n v="30014.285714285714"/>
    <m/>
    <n v="30150"/>
    <n v="29750"/>
    <n v="30750"/>
    <n v="-150"/>
    <n v="128.3734"/>
    <n v="0.17323259799999999"/>
    <n v="15856"/>
    <n v="28.24"/>
    <n v="1.01"/>
    <n v="74.680000000000007"/>
    <n v="20"/>
    <s v="-Rp150"/>
    <n v="-0.5"/>
  </r>
  <r>
    <x v="1188"/>
    <n v="30000"/>
    <n v="1389"/>
    <n v="10"/>
    <x v="0"/>
    <n v="5"/>
    <s v="False"/>
    <n v="30050"/>
    <m/>
    <n v="30000"/>
    <n v="29750"/>
    <n v="31000"/>
    <n v="0"/>
    <n v="128.3734"/>
    <n v="0.17323259799999999"/>
    <n v="15856"/>
    <n v="27.89"/>
    <n v="3.43"/>
    <n v="78.349999999999994"/>
    <n v="21"/>
    <s v="-Rp150"/>
    <n v="-0.5"/>
  </r>
  <r>
    <x v="1189"/>
    <n v="30000"/>
    <n v="1390"/>
    <n v="10"/>
    <x v="0"/>
    <n v="6"/>
    <s v="False"/>
    <n v="30085.714285714286"/>
    <m/>
    <n v="30000"/>
    <n v="29750"/>
    <n v="31000"/>
    <n v="0"/>
    <n v="128.3734"/>
    <n v="0.17323259799999999"/>
    <n v="15856"/>
    <n v="27.88"/>
    <n v="7.19"/>
    <n v="77.23"/>
    <n v="22"/>
    <s v="-Rp150"/>
    <n v="-0.5"/>
  </r>
  <r>
    <x v="1190"/>
    <n v="29400"/>
    <n v="1391"/>
    <n v="10"/>
    <x v="0"/>
    <n v="0"/>
    <s v="False"/>
    <n v="29978.571428571428"/>
    <m/>
    <n v="30000"/>
    <n v="30150"/>
    <m/>
    <n v="-600"/>
    <n v="128.3734"/>
    <n v="0.17323259799999999"/>
    <n v="15868"/>
    <n v="28.41"/>
    <n v="2.13"/>
    <n v="73.95"/>
    <n v="23"/>
    <m/>
    <n v="0"/>
  </r>
  <r>
    <x v="1191"/>
    <n v="29400"/>
    <n v="1392"/>
    <n v="10"/>
    <x v="0"/>
    <n v="1"/>
    <s v="False"/>
    <n v="29871.428571428572"/>
    <n v="30063.333333333332"/>
    <n v="29400"/>
    <n v="30150"/>
    <m/>
    <n v="0"/>
    <n v="128.3734"/>
    <n v="0.17323259799999999"/>
    <n v="15874"/>
    <n v="28.09"/>
    <n v="2.2200000000000002"/>
    <n v="76.05"/>
    <n v="24"/>
    <s v="Rp0"/>
    <n v="0"/>
  </r>
  <r>
    <x v="1192"/>
    <n v="29400"/>
    <n v="1393"/>
    <n v="10"/>
    <x v="0"/>
    <n v="2"/>
    <s v="False"/>
    <n v="29764.285714285714"/>
    <n v="30035"/>
    <n v="29400"/>
    <n v="30150"/>
    <n v="30250"/>
    <n v="0"/>
    <n v="128.3734"/>
    <n v="0.17323259799999999"/>
    <n v="15868"/>
    <n v="28.16"/>
    <n v="0.65"/>
    <n v="76.19"/>
    <n v="25"/>
    <s v="Rp0"/>
    <n v="0"/>
  </r>
  <r>
    <x v="1193"/>
    <n v="29400"/>
    <n v="1394"/>
    <n v="10"/>
    <x v="0"/>
    <n v="3"/>
    <s v="False"/>
    <n v="29657.142857142859"/>
    <n v="30006.666666666668"/>
    <n v="29400"/>
    <n v="30150"/>
    <n v="30250"/>
    <n v="0"/>
    <n v="128.3734"/>
    <n v="0.17323259799999999"/>
    <n v="15877.5"/>
    <n v="28.74"/>
    <n v="0.08"/>
    <n v="68.08"/>
    <n v="26"/>
    <s v="Rp0"/>
    <n v="0"/>
  </r>
  <r>
    <x v="1194"/>
    <n v="29750"/>
    <n v="1395"/>
    <n v="10"/>
    <x v="0"/>
    <n v="4"/>
    <s v="False"/>
    <n v="29621.428571428572"/>
    <n v="29990"/>
    <n v="29400"/>
    <n v="30000"/>
    <n v="30250"/>
    <n v="350"/>
    <n v="128.3734"/>
    <n v="0.17323259799999999"/>
    <n v="15920"/>
    <n v="28.85"/>
    <n v="0.02"/>
    <n v="67.38"/>
    <n v="27"/>
    <s v="Rp350"/>
    <n v="1.19"/>
  </r>
  <r>
    <x v="1195"/>
    <n v="29750"/>
    <n v="1396"/>
    <n v="10"/>
    <x v="0"/>
    <n v="5"/>
    <s v="False"/>
    <n v="29585.714285714286"/>
    <n v="29973.333333333332"/>
    <n v="29750"/>
    <n v="30000"/>
    <n v="30250"/>
    <n v="0"/>
    <n v="128.3734"/>
    <n v="0.17323259799999999"/>
    <n v="15920"/>
    <n v="28.88"/>
    <n v="0.04"/>
    <n v="65.17"/>
    <n v="28"/>
    <s v="Rp350"/>
    <n v="1.19"/>
  </r>
  <r>
    <x v="1196"/>
    <n v="29750"/>
    <n v="1397"/>
    <n v="10"/>
    <x v="0"/>
    <n v="6"/>
    <s v="False"/>
    <n v="29550"/>
    <n v="29956.666666666668"/>
    <n v="29750"/>
    <n v="30000"/>
    <n v="30250"/>
    <n v="0"/>
    <n v="128.3734"/>
    <n v="0.17323259799999999"/>
    <n v="15920"/>
    <n v="29.01"/>
    <n v="0.03"/>
    <n v="66.55"/>
    <n v="29"/>
    <s v="Rp350"/>
    <n v="1.19"/>
  </r>
  <r>
    <x v="1197"/>
    <n v="29750"/>
    <n v="1398"/>
    <n v="10"/>
    <x v="0"/>
    <n v="0"/>
    <s v="False"/>
    <n v="29600"/>
    <n v="29940"/>
    <n v="29750"/>
    <n v="29400"/>
    <n v="30250"/>
    <n v="0"/>
    <n v="128.3734"/>
    <n v="0.17323259799999999"/>
    <n v="15903.5"/>
    <n v="28.85"/>
    <n v="0.3"/>
    <n v="71.48"/>
    <n v="30"/>
    <s v="Rp0"/>
    <n v="0"/>
  </r>
  <r>
    <x v="1198"/>
    <n v="30000"/>
    <n v="1399"/>
    <n v="10"/>
    <x v="0"/>
    <n v="1"/>
    <s v="False"/>
    <n v="29685.714285714286"/>
    <n v="29931.666666666668"/>
    <n v="29750"/>
    <n v="29400"/>
    <n v="30250"/>
    <n v="250"/>
    <n v="128.3734"/>
    <n v="0.17323259799999999"/>
    <n v="15843"/>
    <n v="28.92"/>
    <n v="0.17"/>
    <n v="70.14"/>
    <n v="31"/>
    <s v="Rp250"/>
    <n v="0.84"/>
  </r>
  <r>
    <x v="1199"/>
    <n v="31500"/>
    <n v="1400"/>
    <n v="11"/>
    <x v="0"/>
    <n v="2"/>
    <s v="False"/>
    <n v="29985.714285714286"/>
    <n v="29973.333333333332"/>
    <n v="30000"/>
    <n v="29400"/>
    <n v="30250"/>
    <n v="1500"/>
    <n v="128.86179999999999"/>
    <n v="0.380452648"/>
    <n v="15748.700199999999"/>
    <n v="27.98"/>
    <n v="0.56999999999999995"/>
    <n v="74.81"/>
    <n v="1"/>
    <s v="Rp1500"/>
    <n v="5"/>
  </r>
  <r>
    <x v="1200"/>
    <n v="32000"/>
    <n v="1401"/>
    <n v="11"/>
    <x v="0"/>
    <n v="3"/>
    <s v="False"/>
    <n v="30357.142857142859"/>
    <n v="30031.666666666668"/>
    <n v="31500"/>
    <n v="29400"/>
    <n v="30250"/>
    <n v="500"/>
    <n v="128.86179999999999"/>
    <n v="0.380452648"/>
    <n v="15900"/>
    <n v="28.06"/>
    <n v="0.28999999999999998"/>
    <n v="74.11"/>
    <n v="2"/>
    <s v="Rp500"/>
    <n v="1.59"/>
  </r>
  <r>
    <x v="1201"/>
    <n v="31750"/>
    <n v="1402"/>
    <n v="11"/>
    <x v="0"/>
    <n v="4"/>
    <s v="False"/>
    <n v="30642.857142857141"/>
    <n v="30076.666666666668"/>
    <n v="32000"/>
    <n v="29750"/>
    <n v="30400"/>
    <n v="-250"/>
    <n v="128.86179999999999"/>
    <n v="0.380452648"/>
    <n v="15838"/>
    <n v="28.5"/>
    <n v="0.33"/>
    <n v="71.81"/>
    <n v="3"/>
    <s v="-Rp250"/>
    <n v="-0.78"/>
  </r>
  <r>
    <x v="1202"/>
    <n v="32500"/>
    <n v="1405"/>
    <n v="11"/>
    <x v="0"/>
    <n v="0"/>
    <s v="False"/>
    <m/>
    <m/>
    <m/>
    <n v="29750"/>
    <n v="30400"/>
    <m/>
    <n v="128.86179999999999"/>
    <n v="0.380452648"/>
    <n v="15582.099609999999"/>
    <n v="28.37"/>
    <n v="1.99"/>
    <n v="75.22"/>
    <n v="6"/>
    <m/>
    <n v="0"/>
  </r>
  <r>
    <x v="1203"/>
    <n v="33000"/>
    <n v="1406"/>
    <n v="11"/>
    <x v="0"/>
    <n v="1"/>
    <s v="False"/>
    <m/>
    <m/>
    <n v="32500"/>
    <n v="30000"/>
    <n v="30400"/>
    <n v="500"/>
    <n v="128.86179999999999"/>
    <n v="0.380452648"/>
    <n v="15570"/>
    <n v="28.58"/>
    <n v="12.98"/>
    <n v="75.290000000000006"/>
    <n v="7"/>
    <s v="Rp500"/>
    <n v="1.54"/>
  </r>
  <r>
    <x v="1204"/>
    <n v="33400"/>
    <n v="1407"/>
    <n v="11"/>
    <x v="0"/>
    <n v="2"/>
    <s v="False"/>
    <m/>
    <m/>
    <n v="33000"/>
    <n v="31500"/>
    <n v="29750"/>
    <n v="400"/>
    <n v="128.86179999999999"/>
    <n v="0.380452648"/>
    <n v="15643.599609999999"/>
    <n v="28.49"/>
    <n v="2.67"/>
    <n v="76.86"/>
    <n v="8"/>
    <s v="Rp400"/>
    <n v="1.21"/>
  </r>
  <r>
    <x v="1205"/>
    <n v="33400"/>
    <n v="1408"/>
    <n v="11"/>
    <x v="0"/>
    <n v="3"/>
    <s v="False"/>
    <m/>
    <m/>
    <n v="33400"/>
    <n v="32000"/>
    <n v="29750"/>
    <n v="0"/>
    <n v="128.86179999999999"/>
    <n v="0.380452648"/>
    <n v="15616"/>
    <n v="28.47"/>
    <n v="2.02"/>
    <n v="73.41"/>
    <n v="9"/>
    <s v="Rp0"/>
    <n v="0"/>
  </r>
  <r>
    <x v="1206"/>
    <n v="32900"/>
    <n v="1409"/>
    <n v="11"/>
    <x v="0"/>
    <n v="4"/>
    <s v="False"/>
    <m/>
    <m/>
    <n v="33400"/>
    <n v="31750"/>
    <n v="29750"/>
    <n v="-500"/>
    <n v="128.86179999999999"/>
    <n v="0.380452648"/>
    <n v="15713.700199999999"/>
    <n v="28.12"/>
    <n v="3.04"/>
    <n v="77.739999999999995"/>
    <n v="10"/>
    <s v="-Rp500"/>
    <n v="-1.5"/>
  </r>
  <r>
    <x v="1207"/>
    <n v="32900"/>
    <n v="1410"/>
    <n v="11"/>
    <x v="0"/>
    <n v="5"/>
    <s v="False"/>
    <m/>
    <m/>
    <n v="32900"/>
    <m/>
    <n v="29750"/>
    <n v="0"/>
    <n v="128.86179999999999"/>
    <n v="0.380452648"/>
    <n v="15713.700199999999"/>
    <n v="27.99"/>
    <n v="5.96"/>
    <n v="79.819999999999993"/>
    <n v="11"/>
    <s v="-Rp500"/>
    <n v="-1.5"/>
  </r>
  <r>
    <x v="1208"/>
    <n v="32900"/>
    <n v="1411"/>
    <n v="11"/>
    <x v="0"/>
    <n v="6"/>
    <s v="False"/>
    <n v="33000"/>
    <m/>
    <n v="32900"/>
    <m/>
    <n v="29750"/>
    <n v="0"/>
    <n v="128.86179999999999"/>
    <n v="0.380452648"/>
    <n v="15713.700199999999"/>
    <n v="28.15"/>
    <n v="2.1"/>
    <n v="75.98"/>
    <n v="12"/>
    <s v="-Rp500"/>
    <n v="-1.5"/>
  </r>
  <r>
    <x v="1209"/>
    <n v="34650"/>
    <n v="1412"/>
    <n v="11"/>
    <x v="0"/>
    <n v="0"/>
    <s v="False"/>
    <n v="33307.142857142855"/>
    <m/>
    <n v="32900"/>
    <n v="32500"/>
    <n v="29750"/>
    <n v="1750"/>
    <n v="128.86179999999999"/>
    <n v="0.380452648"/>
    <n v="15683"/>
    <n v="28.37"/>
    <n v="0.84"/>
    <n v="74.09"/>
    <n v="13"/>
    <s v="Rp1750"/>
    <n v="5.32"/>
  </r>
  <r>
    <x v="1210"/>
    <n v="34750"/>
    <n v="1413"/>
    <n v="11"/>
    <x v="0"/>
    <n v="1"/>
    <s v="False"/>
    <n v="33557.142857142855"/>
    <m/>
    <n v="34650"/>
    <n v="33000"/>
    <n v="29750"/>
    <n v="100"/>
    <n v="128.86179999999999"/>
    <n v="0.380452648"/>
    <n v="15667"/>
    <n v="28.33"/>
    <n v="1.73"/>
    <n v="74.959999999999994"/>
    <n v="14"/>
    <s v="Rp100"/>
    <n v="0.28999999999999998"/>
  </r>
  <r>
    <x v="1211"/>
    <n v="34750"/>
    <n v="1414"/>
    <n v="11"/>
    <x v="0"/>
    <n v="2"/>
    <s v="False"/>
    <n v="33750"/>
    <m/>
    <n v="34750"/>
    <n v="33400"/>
    <n v="30150"/>
    <n v="0"/>
    <n v="128.86179999999999"/>
    <n v="0.380452648"/>
    <n v="15281"/>
    <n v="28.43"/>
    <n v="1.23"/>
    <n v="75"/>
    <n v="15"/>
    <s v="Rp0"/>
    <n v="0"/>
  </r>
  <r>
    <x v="1212"/>
    <n v="34750"/>
    <n v="1415"/>
    <n v="11"/>
    <x v="0"/>
    <n v="3"/>
    <s v="False"/>
    <n v="33942.857142857145"/>
    <m/>
    <n v="34750"/>
    <n v="33400"/>
    <n v="30150"/>
    <n v="0"/>
    <n v="128.86179999999999"/>
    <n v="0.380452648"/>
    <n v="15487.799800000001"/>
    <n v="28.07"/>
    <n v="2.4"/>
    <n v="77.73"/>
    <n v="16"/>
    <s v="Rp0"/>
    <n v="0"/>
  </r>
  <r>
    <x v="1213"/>
    <n v="35400"/>
    <n v="1416"/>
    <n v="11"/>
    <x v="0"/>
    <n v="4"/>
    <s v="False"/>
    <n v="34300"/>
    <m/>
    <n v="34750"/>
    <n v="32900"/>
    <n v="30150"/>
    <n v="650"/>
    <n v="128.86179999999999"/>
    <n v="0.380452648"/>
    <n v="15475"/>
    <n v="28.61"/>
    <n v="0.72"/>
    <n v="74.98"/>
    <n v="17"/>
    <s v="Rp650"/>
    <n v="1.87"/>
  </r>
  <r>
    <x v="1214"/>
    <n v="35400"/>
    <n v="1417"/>
    <n v="11"/>
    <x v="0"/>
    <n v="5"/>
    <s v="False"/>
    <n v="34657.142857142855"/>
    <m/>
    <n v="35400"/>
    <n v="32900"/>
    <n v="30150"/>
    <n v="0"/>
    <n v="128.86179999999999"/>
    <n v="0.380452648"/>
    <n v="15475"/>
    <n v="28.9"/>
    <n v="1.92"/>
    <n v="73.930000000000007"/>
    <n v="18"/>
    <s v="Rp650"/>
    <n v="1.87"/>
  </r>
  <r>
    <x v="1215"/>
    <n v="35400"/>
    <n v="1418"/>
    <n v="11"/>
    <x v="0"/>
    <n v="6"/>
    <s v="False"/>
    <n v="35014.285714285717"/>
    <m/>
    <n v="35400"/>
    <n v="32900"/>
    <n v="30000"/>
    <n v="0"/>
    <n v="128.86179999999999"/>
    <n v="0.380452648"/>
    <n v="15475"/>
    <n v="28.69"/>
    <n v="3.12"/>
    <n v="77.84"/>
    <n v="19"/>
    <s v="Rp650"/>
    <n v="1.87"/>
  </r>
  <r>
    <x v="1216"/>
    <n v="34000"/>
    <n v="1419"/>
    <n v="11"/>
    <x v="0"/>
    <n v="0"/>
    <s v="False"/>
    <n v="34921.428571428572"/>
    <m/>
    <n v="35400"/>
    <n v="34650"/>
    <n v="30000"/>
    <n v="-1400"/>
    <n v="128.86179999999999"/>
    <n v="0.380452648"/>
    <n v="15399.400390000001"/>
    <n v="28.58"/>
    <n v="2.4500000000000002"/>
    <n v="77.349999999999994"/>
    <n v="20"/>
    <s v="-Rp1400"/>
    <n v="-3.95"/>
  </r>
  <r>
    <x v="1217"/>
    <n v="34000"/>
    <n v="1420"/>
    <n v="11"/>
    <x v="0"/>
    <n v="1"/>
    <s v="False"/>
    <n v="34814.285714285717"/>
    <m/>
    <n v="34000"/>
    <n v="34750"/>
    <n v="30000"/>
    <n v="0"/>
    <n v="128.86179999999999"/>
    <n v="0.380452648"/>
    <n v="15382.099609999999"/>
    <n v="28.54"/>
    <n v="0.83"/>
    <n v="75.92"/>
    <n v="21"/>
    <s v="Rp0"/>
    <n v="0"/>
  </r>
  <r>
    <x v="1218"/>
    <n v="34000"/>
    <n v="1421"/>
    <n v="11"/>
    <x v="0"/>
    <n v="2"/>
    <s v="False"/>
    <n v="34707.142857142855"/>
    <m/>
    <n v="34000"/>
    <n v="34750"/>
    <n v="29400"/>
    <n v="0"/>
    <n v="128.86179999999999"/>
    <n v="0.380452648"/>
    <n v="15501.299800000001"/>
    <n v="27.95"/>
    <n v="4.59"/>
    <n v="82.51"/>
    <n v="22"/>
    <s v="Rp0"/>
    <n v="0"/>
  </r>
  <r>
    <x v="1219"/>
    <n v="34000"/>
    <n v="1422"/>
    <n v="11"/>
    <x v="0"/>
    <n v="3"/>
    <s v="False"/>
    <n v="34600"/>
    <m/>
    <n v="34000"/>
    <n v="34750"/>
    <n v="29400"/>
    <n v="0"/>
    <n v="128.86179999999999"/>
    <n v="0.380452648"/>
    <n v="15612.799800000001"/>
    <n v="27.91"/>
    <n v="11.71"/>
    <n v="82.28"/>
    <n v="23"/>
    <s v="Rp0"/>
    <n v="0"/>
  </r>
  <r>
    <x v="1220"/>
    <n v="34000"/>
    <n v="1423"/>
    <n v="11"/>
    <x v="0"/>
    <n v="4"/>
    <s v="False"/>
    <n v="34400"/>
    <m/>
    <n v="34000"/>
    <n v="35400"/>
    <n v="29400"/>
    <n v="0"/>
    <n v="128.86179999999999"/>
    <n v="0.380452648"/>
    <n v="15495"/>
    <n v="27.79"/>
    <n v="12.32"/>
    <n v="80.34"/>
    <n v="24"/>
    <s v="Rp0"/>
    <n v="0"/>
  </r>
  <r>
    <x v="1221"/>
    <n v="33750"/>
    <n v="1426"/>
    <n v="11"/>
    <x v="0"/>
    <n v="0"/>
    <s v="False"/>
    <m/>
    <m/>
    <m/>
    <n v="34000"/>
    <n v="29750"/>
    <m/>
    <n v="128.86179999999999"/>
    <n v="0.380452648"/>
    <n v="15560"/>
    <n v="27.25"/>
    <n v="10.65"/>
    <n v="80.069999999999993"/>
    <n v="27"/>
    <m/>
    <n v="0"/>
  </r>
  <r>
    <x v="1222"/>
    <n v="33750"/>
    <n v="1427"/>
    <n v="11"/>
    <x v="0"/>
    <n v="1"/>
    <s v="False"/>
    <m/>
    <m/>
    <n v="33750"/>
    <n v="34000"/>
    <n v="29750"/>
    <n v="0"/>
    <n v="128.86179999999999"/>
    <n v="0.380452648"/>
    <n v="15466.5"/>
    <n v="27.36"/>
    <n v="4.68"/>
    <n v="80.760000000000005"/>
    <n v="28"/>
    <s v="Rp0"/>
    <n v="0"/>
  </r>
  <r>
    <x v="1223"/>
    <n v="32500"/>
    <n v="1428"/>
    <n v="11"/>
    <x v="0"/>
    <n v="2"/>
    <s v="False"/>
    <m/>
    <m/>
    <n v="33750"/>
    <n v="34000"/>
    <n v="29750"/>
    <n v="-1250"/>
    <n v="128.86179999999999"/>
    <n v="0.380452648"/>
    <n v="15259"/>
    <n v="27.39"/>
    <n v="2.11"/>
    <n v="82.68"/>
    <n v="29"/>
    <s v="-Rp1250"/>
    <n v="-3.7"/>
  </r>
  <r>
    <x v="1224"/>
    <n v="33000"/>
    <n v="1429"/>
    <n v="11"/>
    <x v="0"/>
    <n v="3"/>
    <s v="False"/>
    <m/>
    <m/>
    <n v="32500"/>
    <n v="34000"/>
    <n v="30000"/>
    <n v="500"/>
    <n v="128.86179999999999"/>
    <n v="0.380452648"/>
    <n v="15407"/>
    <n v="27.45"/>
    <n v="2.61"/>
    <n v="80.84"/>
    <n v="30"/>
    <s v="Rp500"/>
    <n v="1.54"/>
  </r>
  <r>
    <x v="1225"/>
    <n v="33000"/>
    <n v="1430"/>
    <n v="12"/>
    <x v="0"/>
    <n v="4"/>
    <s v="False"/>
    <m/>
    <m/>
    <n v="33000"/>
    <n v="34000"/>
    <n v="31500"/>
    <n v="0"/>
    <n v="129.3947"/>
    <n v="0.41354381200000001"/>
    <n v="15549.299800000001"/>
    <n v="27.42"/>
    <n v="1.7"/>
    <n v="82.81"/>
    <n v="1"/>
    <s v="Rp0"/>
    <n v="0"/>
  </r>
  <r>
    <x v="1226"/>
    <n v="33000"/>
    <n v="1431"/>
    <n v="12"/>
    <x v="0"/>
    <n v="5"/>
    <s v="False"/>
    <m/>
    <m/>
    <n v="33000"/>
    <m/>
    <n v="32000"/>
    <n v="0"/>
    <n v="129.3947"/>
    <n v="0.41354381200000001"/>
    <n v="15549.299800000001"/>
    <n v="27.39"/>
    <n v="3.48"/>
    <n v="85.34"/>
    <n v="2"/>
    <s v="Rp0"/>
    <n v="0"/>
  </r>
  <r>
    <x v="1227"/>
    <n v="33000"/>
    <n v="1432"/>
    <n v="12"/>
    <x v="0"/>
    <n v="6"/>
    <s v="False"/>
    <n v="33142.857142857145"/>
    <m/>
    <n v="33000"/>
    <m/>
    <n v="31750"/>
    <n v="0"/>
    <n v="129.3947"/>
    <n v="0.41354381200000001"/>
    <n v="15549.299800000001"/>
    <n v="27.31"/>
    <n v="14.69"/>
    <n v="84.71"/>
    <n v="3"/>
    <s v="Rp0"/>
    <n v="0"/>
  </r>
  <r>
    <x v="1228"/>
    <n v="35400"/>
    <n v="1433"/>
    <n v="12"/>
    <x v="0"/>
    <n v="0"/>
    <s v="False"/>
    <n v="33378.571428571428"/>
    <m/>
    <n v="33000"/>
    <n v="33750"/>
    <m/>
    <n v="2400"/>
    <n v="129.3947"/>
    <n v="0.41354381200000001"/>
    <n v="15437.400390000001"/>
    <n v="27.13"/>
    <n v="1.26"/>
    <n v="83.4"/>
    <n v="4"/>
    <s v="Rp2400"/>
    <n v="7.27"/>
  </r>
  <r>
    <x v="1229"/>
    <n v="35400"/>
    <n v="1434"/>
    <n v="12"/>
    <x v="0"/>
    <n v="1"/>
    <s v="False"/>
    <n v="33614.285714285717"/>
    <m/>
    <n v="35400"/>
    <n v="33750"/>
    <m/>
    <n v="0"/>
    <n v="129.3947"/>
    <n v="0.41354381200000001"/>
    <n v="15519.900390000001"/>
    <n v="28.08"/>
    <n v="2.66"/>
    <n v="77.94"/>
    <n v="5"/>
    <s v="Rp0"/>
    <n v="0"/>
  </r>
  <r>
    <x v="1230"/>
    <n v="35750"/>
    <n v="1435"/>
    <n v="12"/>
    <x v="0"/>
    <n v="2"/>
    <s v="False"/>
    <n v="34078.571428571428"/>
    <m/>
    <n v="35400"/>
    <n v="32500"/>
    <n v="32500"/>
    <n v="350"/>
    <n v="129.3947"/>
    <n v="0.41354381200000001"/>
    <n v="15457"/>
    <n v="27.48"/>
    <n v="4.32"/>
    <n v="84.12"/>
    <n v="6"/>
    <s v="Rp350"/>
    <n v="0.99"/>
  </r>
  <r>
    <x v="1231"/>
    <n v="35750"/>
    <n v="1436"/>
    <n v="12"/>
    <x v="0"/>
    <n v="3"/>
    <s v="False"/>
    <n v="34471.428571428572"/>
    <m/>
    <n v="35750"/>
    <n v="33000"/>
    <n v="33000"/>
    <n v="0"/>
    <n v="129.3947"/>
    <n v="0.41354381200000001"/>
    <n v="15480"/>
    <n v="27.43"/>
    <n v="3.6"/>
    <n v="82.79"/>
    <n v="7"/>
    <s v="Rp0"/>
    <n v="0"/>
  </r>
  <r>
    <x v="1232"/>
    <n v="35900"/>
    <n v="1437"/>
    <n v="12"/>
    <x v="0"/>
    <n v="4"/>
    <s v="False"/>
    <n v="34885.714285714283"/>
    <m/>
    <n v="35750"/>
    <n v="33000"/>
    <n v="33400"/>
    <n v="150"/>
    <n v="129.3947"/>
    <n v="0.41354381200000001"/>
    <n v="15500"/>
    <n v="27.77"/>
    <n v="2.96"/>
    <n v="80.62"/>
    <n v="8"/>
    <s v="Rp150"/>
    <n v="0.42"/>
  </r>
  <r>
    <x v="1233"/>
    <n v="35900"/>
    <n v="1438"/>
    <n v="12"/>
    <x v="0"/>
    <n v="5"/>
    <s v="False"/>
    <n v="35300"/>
    <m/>
    <n v="35900"/>
    <n v="33000"/>
    <n v="33400"/>
    <n v="0"/>
    <n v="129.3947"/>
    <n v="0.41354381200000001"/>
    <n v="15500"/>
    <n v="27.71"/>
    <n v="3.26"/>
    <n v="82.41"/>
    <n v="9"/>
    <s v="Rp150"/>
    <n v="0.42"/>
  </r>
  <r>
    <x v="1234"/>
    <n v="35900"/>
    <n v="1439"/>
    <n v="12"/>
    <x v="0"/>
    <n v="6"/>
    <s v="False"/>
    <n v="35714.285714285717"/>
    <m/>
    <n v="35900"/>
    <n v="33000"/>
    <n v="32900"/>
    <n v="0"/>
    <n v="129.3947"/>
    <n v="0.41354381200000001"/>
    <n v="15500"/>
    <n v="27.81"/>
    <n v="0.89"/>
    <n v="79.03"/>
    <n v="10"/>
    <s v="Rp150"/>
    <n v="0.42"/>
  </r>
  <r>
    <x v="1235"/>
    <n v="36150"/>
    <n v="1440"/>
    <n v="12"/>
    <x v="0"/>
    <n v="0"/>
    <s v="False"/>
    <n v="35821.428571428572"/>
    <m/>
    <n v="35900"/>
    <n v="35400"/>
    <n v="32900"/>
    <n v="250"/>
    <n v="129.3947"/>
    <n v="0.41354381200000001"/>
    <n v="15560.200199999999"/>
    <n v="27.64"/>
    <n v="5.68"/>
    <n v="80.66"/>
    <n v="11"/>
    <s v="Rp250"/>
    <n v="0.7"/>
  </r>
  <r>
    <x v="1236"/>
    <n v="36150"/>
    <n v="1441"/>
    <n v="12"/>
    <x v="0"/>
    <n v="1"/>
    <s v="False"/>
    <n v="35928.571428571428"/>
    <m/>
    <n v="36150"/>
    <n v="35400"/>
    <n v="32900"/>
    <n v="0"/>
    <n v="129.3947"/>
    <n v="0.41354381200000001"/>
    <n v="15647"/>
    <n v="27.5"/>
    <n v="2.17"/>
    <n v="83.43"/>
    <n v="12"/>
    <s v="Rp0"/>
    <n v="0"/>
  </r>
  <r>
    <x v="1237"/>
    <n v="36150"/>
    <n v="1442"/>
    <n v="12"/>
    <x v="0"/>
    <n v="2"/>
    <s v="False"/>
    <n v="35985.714285714283"/>
    <m/>
    <n v="36150"/>
    <n v="35750"/>
    <n v="34650"/>
    <n v="0"/>
    <n v="129.3947"/>
    <n v="0.41354381200000001"/>
    <n v="15569"/>
    <n v="28.01"/>
    <n v="5.94"/>
    <n v="80.260000000000005"/>
    <n v="13"/>
    <s v="Rp0"/>
    <n v="0"/>
  </r>
  <r>
    <x v="1238"/>
    <n v="36250"/>
    <n v="1443"/>
    <n v="12"/>
    <x v="0"/>
    <n v="3"/>
    <s v="False"/>
    <n v="36057.142857142855"/>
    <m/>
    <n v="36150"/>
    <n v="35750"/>
    <n v="34750"/>
    <n v="100"/>
    <n v="129.3947"/>
    <n v="0.41354381200000001"/>
    <n v="15275"/>
    <n v="28.02"/>
    <n v="3.48"/>
    <n v="76.98"/>
    <n v="14"/>
    <s v="Rp100"/>
    <n v="0.28000000000000003"/>
  </r>
  <r>
    <x v="1239"/>
    <n v="36900"/>
    <n v="1444"/>
    <n v="12"/>
    <x v="0"/>
    <n v="4"/>
    <s v="False"/>
    <n v="36200"/>
    <m/>
    <n v="36250"/>
    <n v="35900"/>
    <n v="34750"/>
    <n v="650"/>
    <n v="129.3947"/>
    <n v="0.41354381200000001"/>
    <n v="15468"/>
    <n v="27.48"/>
    <n v="5.55"/>
    <n v="82.45"/>
    <n v="15"/>
    <s v="Rp650"/>
    <n v="1.79"/>
  </r>
  <r>
    <x v="1240"/>
    <n v="36900"/>
    <n v="1445"/>
    <n v="12"/>
    <x v="0"/>
    <n v="5"/>
    <s v="False"/>
    <n v="36342.857142857145"/>
    <m/>
    <n v="36900"/>
    <n v="35900"/>
    <n v="34750"/>
    <n v="0"/>
    <n v="129.3947"/>
    <n v="0.41354381200000001"/>
    <n v="15468"/>
    <n v="27.8"/>
    <n v="1.34"/>
    <n v="82.53"/>
    <n v="16"/>
    <s v="Rp650"/>
    <n v="1.79"/>
  </r>
  <r>
    <x v="1241"/>
    <n v="36900"/>
    <n v="1446"/>
    <n v="12"/>
    <x v="0"/>
    <n v="6"/>
    <s v="False"/>
    <n v="36485.714285714283"/>
    <m/>
    <n v="36900"/>
    <n v="35900"/>
    <n v="35400"/>
    <n v="0"/>
    <n v="129.3947"/>
    <n v="0.41354381200000001"/>
    <n v="15468"/>
    <n v="27.68"/>
    <n v="0.41"/>
    <n v="82.23"/>
    <n v="17"/>
    <s v="Rp650"/>
    <n v="1.79"/>
  </r>
  <r>
    <x v="1242"/>
    <n v="38900"/>
    <n v="1447"/>
    <n v="12"/>
    <x v="0"/>
    <n v="0"/>
    <s v="False"/>
    <n v="36878.571428571428"/>
    <m/>
    <n v="36900"/>
    <n v="36150"/>
    <n v="35400"/>
    <n v="2000"/>
    <n v="129.3947"/>
    <n v="0.41354381200000001"/>
    <n v="15282.799800000001"/>
    <n v="28.38"/>
    <n v="1.06"/>
    <n v="78.260000000000005"/>
    <n v="18"/>
    <s v="Rp2000"/>
    <n v="5.42"/>
  </r>
  <r>
    <x v="1243"/>
    <n v="39400"/>
    <n v="1448"/>
    <n v="12"/>
    <x v="0"/>
    <n v="1"/>
    <s v="False"/>
    <n v="37342.857142857145"/>
    <m/>
    <n v="38900"/>
    <n v="36150"/>
    <n v="35400"/>
    <n v="500"/>
    <n v="129.3947"/>
    <n v="0.41354381200000001"/>
    <n v="15454.400390000001"/>
    <n v="27.4"/>
    <n v="7.5"/>
    <n v="85.81"/>
    <n v="19"/>
    <s v="Rp500"/>
    <n v="1.29"/>
  </r>
  <r>
    <x v="1244"/>
    <n v="39900"/>
    <n v="1449"/>
    <n v="12"/>
    <x v="0"/>
    <n v="2"/>
    <s v="False"/>
    <n v="37878.571428571428"/>
    <m/>
    <n v="39400"/>
    <n v="36150"/>
    <n v="34000"/>
    <n v="500"/>
    <n v="129.3947"/>
    <n v="0.41354381200000001"/>
    <n v="15455"/>
    <n v="27.62"/>
    <n v="0.98"/>
    <n v="82.64"/>
    <n v="20"/>
    <s v="Rp500"/>
    <n v="1.27"/>
  </r>
  <r>
    <x v="1245"/>
    <n v="40650"/>
    <n v="1450"/>
    <n v="12"/>
    <x v="0"/>
    <n v="3"/>
    <s v="False"/>
    <n v="38507.142857142855"/>
    <m/>
    <n v="39900"/>
    <n v="36250"/>
    <n v="34000"/>
    <n v="750"/>
    <n v="129.3947"/>
    <n v="0.41354381200000001"/>
    <n v="15518"/>
    <n v="27.75"/>
    <n v="2.1"/>
    <n v="81.010000000000005"/>
    <n v="21"/>
    <s v="Rp750"/>
    <n v="1.88"/>
  </r>
  <r>
    <x v="1246"/>
    <n v="42150"/>
    <n v="1451"/>
    <n v="12"/>
    <x v="0"/>
    <n v="4"/>
    <s v="False"/>
    <n v="39257.142857142855"/>
    <m/>
    <n v="40650"/>
    <n v="36900"/>
    <n v="34000"/>
    <n v="1500"/>
    <n v="129.3947"/>
    <n v="0.41354381200000001"/>
    <n v="15440"/>
    <n v="27.67"/>
    <n v="1.31"/>
    <n v="81.23"/>
    <n v="22"/>
    <s v="Rp1500"/>
    <n v="3.69"/>
  </r>
  <r>
    <x v="1247"/>
    <n v="42150"/>
    <n v="1452"/>
    <n v="12"/>
    <x v="0"/>
    <n v="5"/>
    <s v="False"/>
    <n v="40007.142857142855"/>
    <m/>
    <n v="42150"/>
    <n v="36900"/>
    <n v="34000"/>
    <n v="0"/>
    <n v="129.3947"/>
    <n v="0.41354381200000001"/>
    <n v="15440"/>
    <n v="27.74"/>
    <n v="15.65"/>
    <n v="82.98"/>
    <n v="23"/>
    <s v="Rp1500"/>
    <n v="3.69"/>
  </r>
  <r>
    <x v="1248"/>
    <n v="42150"/>
    <n v="1453"/>
    <n v="12"/>
    <x v="0"/>
    <n v="6"/>
    <s v="False"/>
    <n v="40757.142857142855"/>
    <m/>
    <n v="42150"/>
    <n v="36900"/>
    <n v="34000"/>
    <n v="0"/>
    <n v="129.3947"/>
    <n v="0.41354381200000001"/>
    <n v="15440"/>
    <n v="27.91"/>
    <n v="0.78"/>
    <n v="78.95"/>
    <n v="24"/>
    <s v="Rp1500"/>
    <n v="3.69"/>
  </r>
  <r>
    <x v="1249"/>
    <n v="45900"/>
    <n v="1456"/>
    <n v="12"/>
    <x v="0"/>
    <n v="2"/>
    <s v="False"/>
    <m/>
    <m/>
    <m/>
    <n v="39900"/>
    <n v="33750"/>
    <m/>
    <n v="129.3947"/>
    <n v="0.41354381200000001"/>
    <n v="15400"/>
    <n v="28.05"/>
    <n v="4.3099999999999996"/>
    <n v="77.84"/>
    <n v="27"/>
    <m/>
    <n v="0"/>
  </r>
  <r>
    <x v="1250"/>
    <n v="45900"/>
    <n v="1457"/>
    <n v="12"/>
    <x v="0"/>
    <n v="3"/>
    <s v="False"/>
    <m/>
    <m/>
    <n v="45900"/>
    <n v="40650"/>
    <n v="33750"/>
    <n v="0"/>
    <n v="129.3947"/>
    <n v="0.41354381200000001"/>
    <n v="15373"/>
    <n v="28.2"/>
    <n v="1.64"/>
    <n v="76.67"/>
    <n v="28"/>
    <s v="Rp0"/>
    <n v="0"/>
  </r>
  <r>
    <x v="1251"/>
    <n v="46150"/>
    <n v="1458"/>
    <n v="12"/>
    <x v="0"/>
    <n v="4"/>
    <s v="False"/>
    <m/>
    <m/>
    <n v="45900"/>
    <n v="42150"/>
    <n v="32500"/>
    <n v="250"/>
    <n v="129.3947"/>
    <n v="0.41354381200000001"/>
    <n v="15425"/>
    <n v="28.1"/>
    <n v="0.63"/>
    <n v="80.25"/>
    <n v="29"/>
    <s v="Rp250"/>
    <n v="0.54"/>
  </r>
  <r>
    <x v="1252"/>
    <n v="46150"/>
    <n v="1459"/>
    <n v="12"/>
    <x v="0"/>
    <n v="5"/>
    <s v="False"/>
    <m/>
    <m/>
    <n v="46150"/>
    <n v="42150"/>
    <n v="33000"/>
    <n v="0"/>
    <n v="129.3947"/>
    <n v="0.41354381200000001"/>
    <n v="15425"/>
    <n v="28.21"/>
    <n v="1.37"/>
    <n v="79.150000000000006"/>
    <n v="30"/>
    <s v="Rp250"/>
    <n v="0.54"/>
  </r>
  <r>
    <x v="1253"/>
    <n v="46150"/>
    <n v="1460"/>
    <n v="12"/>
    <x v="0"/>
    <n v="6"/>
    <s v="False"/>
    <m/>
    <m/>
    <n v="46150"/>
    <n v="42150"/>
    <n v="33000"/>
    <n v="0"/>
    <n v="129.3947"/>
    <n v="0.41354381200000001"/>
    <n v="15425"/>
    <n v="28.31"/>
    <n v="2.19"/>
    <n v="80.319999999999993"/>
    <n v="31"/>
    <s v="Rp250"/>
    <n v="0.54"/>
  </r>
  <r>
    <x v="1254"/>
    <n v="46150"/>
    <n v="1461"/>
    <n v="1"/>
    <x v="0"/>
    <n v="0"/>
    <s v="True"/>
    <m/>
    <m/>
    <n v="46150"/>
    <m/>
    <n v="33000"/>
    <n v="0"/>
    <n v="129.4502"/>
    <n v="4.2892020000000003E-2"/>
    <n v="15383.099609999999"/>
    <n v="28.17"/>
    <n v="1.45"/>
    <n v="80.17"/>
    <n v="1"/>
    <m/>
    <n v="0"/>
  </r>
  <r>
    <x v="1255"/>
    <n v="46650"/>
    <n v="1462"/>
    <n v="1"/>
    <x v="0"/>
    <n v="1"/>
    <s v="False"/>
    <n v="46150"/>
    <m/>
    <n v="46150"/>
    <m/>
    <n v="33000"/>
    <n v="500"/>
    <n v="129.4502"/>
    <n v="4.2892020000000003E-2"/>
    <n v="15383"/>
    <n v="28.28"/>
    <n v="3.49"/>
    <n v="77.7"/>
    <n v="2"/>
    <s v="Rp500"/>
    <n v="1.08"/>
  </r>
  <r>
    <x v="1256"/>
    <n v="46400"/>
    <n v="1463"/>
    <n v="1"/>
    <x v="0"/>
    <n v="2"/>
    <s v="False"/>
    <n v="46221.428571428572"/>
    <m/>
    <n v="46650"/>
    <n v="45900"/>
    <n v="35400"/>
    <n v="-250"/>
    <n v="129.4502"/>
    <n v="4.2892020000000003E-2"/>
    <n v="15498"/>
    <n v="27.93"/>
    <n v="4.01"/>
    <n v="82.51"/>
    <n v="3"/>
    <s v="-Rp250"/>
    <n v="-0.54"/>
  </r>
  <r>
    <x v="1257"/>
    <n v="46900"/>
    <n v="1464"/>
    <n v="1"/>
    <x v="0"/>
    <n v="3"/>
    <s v="False"/>
    <n v="46364.285714285717"/>
    <m/>
    <n v="46400"/>
    <n v="45900"/>
    <n v="35400"/>
    <n v="500"/>
    <n v="129.4502"/>
    <n v="4.2892020000000003E-2"/>
    <n v="15555"/>
    <n v="27.67"/>
    <n v="1.48"/>
    <n v="81.86"/>
    <n v="4"/>
    <s v="Rp500"/>
    <n v="1.08"/>
  </r>
  <r>
    <x v="1258"/>
    <n v="46650"/>
    <n v="1465"/>
    <n v="1"/>
    <x v="0"/>
    <n v="4"/>
    <s v="False"/>
    <n v="46435.714285714283"/>
    <m/>
    <n v="46900"/>
    <n v="46150"/>
    <n v="35750"/>
    <n v="-250"/>
    <n v="129.4502"/>
    <n v="4.2892020000000003E-2"/>
    <n v="15511"/>
    <n v="27.35"/>
    <n v="7.86"/>
    <n v="85.71"/>
    <n v="5"/>
    <s v="-Rp250"/>
    <n v="-0.53"/>
  </r>
  <r>
    <x v="1259"/>
    <n v="46650"/>
    <n v="1466"/>
    <n v="1"/>
    <x v="0"/>
    <n v="5"/>
    <s v="False"/>
    <n v="46507.142857142855"/>
    <m/>
    <n v="46650"/>
    <n v="46150"/>
    <n v="35750"/>
    <n v="0"/>
    <n v="129.4502"/>
    <n v="4.2892020000000003E-2"/>
    <n v="15511"/>
    <n v="27.26"/>
    <n v="48.44"/>
    <n v="86.45"/>
    <n v="6"/>
    <s v="-Rp250"/>
    <n v="-0.53"/>
  </r>
  <r>
    <x v="1260"/>
    <n v="46650"/>
    <n v="1467"/>
    <n v="1"/>
    <x v="0"/>
    <n v="6"/>
    <s v="False"/>
    <n v="46578.571428571428"/>
    <m/>
    <n v="46650"/>
    <n v="46150"/>
    <n v="35900"/>
    <n v="0"/>
    <n v="129.4502"/>
    <n v="4.2892020000000003E-2"/>
    <n v="15511"/>
    <n v="27"/>
    <n v="12.45"/>
    <n v="86.32"/>
    <n v="7"/>
    <s v="-Rp250"/>
    <n v="-0.53"/>
  </r>
  <r>
    <x v="1261"/>
    <n v="47250"/>
    <n v="1468"/>
    <n v="1"/>
    <x v="0"/>
    <n v="0"/>
    <s v="False"/>
    <n v="46735.714285714283"/>
    <m/>
    <n v="46650"/>
    <n v="46150"/>
    <n v="35900"/>
    <n v="600"/>
    <n v="129.4502"/>
    <n v="4.2892020000000003E-2"/>
    <n v="15477.5"/>
    <n v="27.35"/>
    <n v="1.53"/>
    <n v="84.28"/>
    <n v="8"/>
    <s v="Rp600"/>
    <n v="1.29"/>
  </r>
  <r>
    <x v="1262"/>
    <n v="48150"/>
    <n v="1469"/>
    <n v="1"/>
    <x v="0"/>
    <n v="1"/>
    <s v="False"/>
    <n v="46950"/>
    <m/>
    <n v="47250"/>
    <n v="46650"/>
    <n v="35900"/>
    <n v="900"/>
    <n v="129.4502"/>
    <n v="4.2892020000000003E-2"/>
    <n v="15495.5"/>
    <n v="27.58"/>
    <n v="0.38"/>
    <n v="82.26"/>
    <n v="9"/>
    <s v="Rp900"/>
    <n v="1.9"/>
  </r>
  <r>
    <x v="1263"/>
    <n v="48150"/>
    <n v="1470"/>
    <n v="1"/>
    <x v="0"/>
    <n v="2"/>
    <s v="False"/>
    <n v="47200"/>
    <m/>
    <n v="48150"/>
    <n v="46400"/>
    <n v="36150"/>
    <n v="0"/>
    <n v="129.4502"/>
    <n v="4.2892020000000003E-2"/>
    <n v="15534.5"/>
    <n v="28.02"/>
    <n v="0.66"/>
    <n v="78.989999999999995"/>
    <n v="10"/>
    <s v="Rp0"/>
    <n v="0"/>
  </r>
  <r>
    <x v="1264"/>
    <n v="47900"/>
    <n v="1471"/>
    <n v="1"/>
    <x v="0"/>
    <n v="3"/>
    <s v="False"/>
    <n v="47342.857142857145"/>
    <m/>
    <n v="48150"/>
    <n v="46900"/>
    <n v="36150"/>
    <n v="-250"/>
    <n v="129.4502"/>
    <n v="4.2892020000000003E-2"/>
    <n v="15555"/>
    <n v="27.39"/>
    <n v="6.39"/>
    <n v="85.41"/>
    <n v="11"/>
    <s v="-Rp250"/>
    <n v="-0.52"/>
  </r>
  <r>
    <x v="1265"/>
    <n v="48500"/>
    <n v="1472"/>
    <n v="1"/>
    <x v="0"/>
    <n v="4"/>
    <s v="False"/>
    <n v="47607.142857142855"/>
    <m/>
    <n v="47900"/>
    <n v="46650"/>
    <n v="36150"/>
    <n v="600"/>
    <n v="129.4502"/>
    <n v="4.2892020000000003E-2"/>
    <n v="15556.5"/>
    <n v="27.14"/>
    <n v="15.08"/>
    <n v="84.08"/>
    <n v="12"/>
    <s v="Rp600"/>
    <n v="1.25"/>
  </r>
  <r>
    <x v="1266"/>
    <n v="48500"/>
    <n v="1473"/>
    <n v="1"/>
    <x v="0"/>
    <n v="5"/>
    <s v="False"/>
    <n v="47871.428571428572"/>
    <m/>
    <n v="48500"/>
    <n v="46650"/>
    <n v="36250"/>
    <n v="0"/>
    <n v="129.4502"/>
    <n v="4.2892020000000003E-2"/>
    <n v="15556.5"/>
    <n v="26.13"/>
    <n v="15.52"/>
    <n v="87.83"/>
    <n v="13"/>
    <s v="Rp600"/>
    <n v="1.25"/>
  </r>
  <r>
    <x v="1267"/>
    <n v="48500"/>
    <n v="1474"/>
    <n v="1"/>
    <x v="0"/>
    <n v="6"/>
    <s v="False"/>
    <n v="48135.714285714283"/>
    <m/>
    <n v="48500"/>
    <n v="46650"/>
    <n v="36900"/>
    <n v="0"/>
    <n v="129.4502"/>
    <n v="4.2892020000000003E-2"/>
    <n v="15556.5"/>
    <n v="26.82"/>
    <n v="10.23"/>
    <n v="86.69"/>
    <n v="14"/>
    <s v="Rp600"/>
    <n v="1.25"/>
  </r>
  <r>
    <x v="1268"/>
    <n v="49750"/>
    <n v="1475"/>
    <n v="1"/>
    <x v="0"/>
    <n v="0"/>
    <s v="False"/>
    <n v="48492.857142857145"/>
    <m/>
    <n v="48500"/>
    <n v="47250"/>
    <n v="36900"/>
    <n v="1250"/>
    <n v="129.4502"/>
    <n v="4.2892020000000003E-2"/>
    <n v="15503.200199999999"/>
    <n v="27.38"/>
    <n v="13.62"/>
    <n v="83.85"/>
    <n v="15"/>
    <m/>
    <n v="0"/>
  </r>
  <r>
    <x v="1269"/>
    <n v="49750"/>
    <n v="1476"/>
    <n v="1"/>
    <x v="0"/>
    <n v="1"/>
    <s v="False"/>
    <n v="48721.428571428572"/>
    <m/>
    <n v="49750"/>
    <n v="48150"/>
    <n v="36900"/>
    <n v="0"/>
    <n v="129.4502"/>
    <n v="4.2892020000000003E-2"/>
    <n v="15546"/>
    <n v="27.12"/>
    <n v="4.34"/>
    <n v="82.68"/>
    <n v="16"/>
    <s v="Rp0"/>
    <n v="0"/>
  </r>
  <r>
    <x v="1270"/>
    <n v="49150"/>
    <n v="1477"/>
    <n v="1"/>
    <x v="0"/>
    <n v="2"/>
    <s v="False"/>
    <n v="48864.285714285717"/>
    <m/>
    <n v="49750"/>
    <n v="48150"/>
    <n v="38900"/>
    <n v="-600"/>
    <n v="129.4502"/>
    <n v="4.2892020000000003E-2"/>
    <n v="15625"/>
    <n v="27.42"/>
    <n v="2.21"/>
    <n v="81.64"/>
    <n v="17"/>
    <s v="-Rp600"/>
    <n v="-1.21"/>
  </r>
  <r>
    <x v="1271"/>
    <n v="49150"/>
    <n v="1478"/>
    <n v="1"/>
    <x v="0"/>
    <n v="3"/>
    <s v="False"/>
    <n v="49042.857142857145"/>
    <m/>
    <n v="49150"/>
    <n v="47900"/>
    <n v="39400"/>
    <n v="0"/>
    <n v="129.4502"/>
    <n v="4.2892020000000003E-2"/>
    <n v="15624"/>
    <n v="26.75"/>
    <n v="16.72"/>
    <n v="85.52"/>
    <n v="18"/>
    <s v="Rp0"/>
    <n v="0"/>
  </r>
  <r>
    <x v="1272"/>
    <n v="49150"/>
    <n v="1479"/>
    <n v="1"/>
    <x v="0"/>
    <n v="4"/>
    <s v="False"/>
    <n v="49135.714285714283"/>
    <m/>
    <n v="49150"/>
    <n v="48500"/>
    <n v="39900"/>
    <n v="0"/>
    <n v="129.4502"/>
    <n v="4.2892020000000003E-2"/>
    <n v="15613.099609999999"/>
    <n v="27.1"/>
    <n v="10.47"/>
    <n v="85.46"/>
    <n v="19"/>
    <s v="Rp0"/>
    <n v="0"/>
  </r>
  <r>
    <x v="1273"/>
    <n v="49150"/>
    <n v="1480"/>
    <n v="1"/>
    <x v="0"/>
    <n v="5"/>
    <s v="False"/>
    <n v="49228.571428571428"/>
    <m/>
    <n v="49150"/>
    <n v="48500"/>
    <n v="40650"/>
    <n v="0"/>
    <n v="129.4502"/>
    <n v="4.2892020000000003E-2"/>
    <n v="15613.099609999999"/>
    <n v="26.61"/>
    <n v="33.85"/>
    <n v="88.42"/>
    <n v="20"/>
    <s v="Rp0"/>
    <n v="0"/>
  </r>
  <r>
    <x v="1274"/>
    <n v="49150"/>
    <n v="1481"/>
    <n v="1"/>
    <x v="0"/>
    <n v="6"/>
    <s v="False"/>
    <n v="49321.428571428572"/>
    <m/>
    <n v="49150"/>
    <n v="48500"/>
    <n v="42150"/>
    <n v="0"/>
    <n v="129.4502"/>
    <n v="4.2892020000000003E-2"/>
    <n v="15613.099609999999"/>
    <n v="26.28"/>
    <n v="49.63"/>
    <n v="88.78"/>
    <n v="21"/>
    <s v="Rp0"/>
    <n v="0"/>
  </r>
  <r>
    <x v="1275"/>
    <n v="48400"/>
    <n v="1482"/>
    <n v="1"/>
    <x v="0"/>
    <n v="0"/>
    <s v="False"/>
    <n v="49128.571428571428"/>
    <m/>
    <n v="49150"/>
    <n v="49750"/>
    <n v="42150"/>
    <n v="-750"/>
    <n v="129.4502"/>
    <n v="4.2892020000000003E-2"/>
    <n v="15601"/>
    <n v="26"/>
    <n v="0.16"/>
    <n v="79.81"/>
    <n v="22"/>
    <s v="-Rp750"/>
    <n v="-1.53"/>
  </r>
  <r>
    <x v="1276"/>
    <n v="47900"/>
    <n v="1483"/>
    <n v="1"/>
    <x v="0"/>
    <n v="1"/>
    <s v="False"/>
    <n v="48864.285714285717"/>
    <m/>
    <n v="48400"/>
    <n v="49750"/>
    <n v="42150"/>
    <n v="-500"/>
    <n v="129.4502"/>
    <n v="4.2892020000000003E-2"/>
    <n v="15655.5"/>
    <n v="26.84"/>
    <n v="2"/>
    <n v="81.99"/>
    <n v="23"/>
    <s v="-Rp500"/>
    <n v="-1.03"/>
  </r>
  <r>
    <x v="1277"/>
    <n v="47150"/>
    <n v="1484"/>
    <n v="1"/>
    <x v="0"/>
    <n v="2"/>
    <s v="False"/>
    <n v="48578.571428571428"/>
    <m/>
    <n v="47900"/>
    <n v="49150"/>
    <m/>
    <n v="-750"/>
    <n v="129.4502"/>
    <n v="4.2892020000000003E-2"/>
    <n v="15715"/>
    <n v="27.03"/>
    <n v="3.04"/>
    <n v="83.14"/>
    <n v="24"/>
    <s v="-Rp750"/>
    <n v="-1.57"/>
  </r>
  <r>
    <x v="1278"/>
    <n v="46900"/>
    <n v="1485"/>
    <n v="1"/>
    <x v="0"/>
    <n v="3"/>
    <s v="False"/>
    <n v="48257.142857142855"/>
    <n v="47628.333333333336"/>
    <n v="47150"/>
    <n v="49150"/>
    <m/>
    <n v="-250"/>
    <n v="129.4502"/>
    <n v="4.2892020000000003E-2"/>
    <n v="15714.5"/>
    <n v="26.97"/>
    <n v="0.21"/>
    <n v="81.790000000000006"/>
    <n v="25"/>
    <s v="-Rp250"/>
    <n v="-0.53"/>
  </r>
  <r>
    <x v="1279"/>
    <n v="46900"/>
    <n v="1486"/>
    <n v="1"/>
    <x v="0"/>
    <n v="4"/>
    <s v="False"/>
    <n v="47935.714285714283"/>
    <n v="47661.666666666664"/>
    <n v="46900"/>
    <n v="49150"/>
    <n v="45900"/>
    <n v="0"/>
    <n v="129.4502"/>
    <n v="4.2892020000000003E-2"/>
    <n v="15808"/>
    <n v="26.84"/>
    <n v="2.2400000000000002"/>
    <n v="79.510000000000005"/>
    <n v="26"/>
    <s v="Rp0"/>
    <n v="0"/>
  </r>
  <r>
    <x v="1280"/>
    <n v="46900"/>
    <n v="1487"/>
    <n v="1"/>
    <x v="0"/>
    <n v="5"/>
    <s v="False"/>
    <n v="47614.285714285717"/>
    <n v="47695"/>
    <n v="46900"/>
    <n v="49150"/>
    <n v="45900"/>
    <n v="0"/>
    <n v="129.4502"/>
    <n v="4.2892020000000003E-2"/>
    <n v="15808"/>
    <n v="26.96"/>
    <n v="5.48"/>
    <n v="83.85"/>
    <n v="27"/>
    <s v="Rp0"/>
    <n v="0"/>
  </r>
  <r>
    <x v="1281"/>
    <n v="46900"/>
    <n v="1488"/>
    <n v="1"/>
    <x v="0"/>
    <n v="6"/>
    <s v="False"/>
    <n v="47292.857142857145"/>
    <n v="47720"/>
    <n v="46900"/>
    <n v="49150"/>
    <n v="46150"/>
    <n v="0"/>
    <n v="129.4502"/>
    <n v="4.2892020000000003E-2"/>
    <n v="15808"/>
    <n v="26.72"/>
    <n v="17.46"/>
    <n v="84.88"/>
    <n v="28"/>
    <s v="Rp0"/>
    <n v="0"/>
  </r>
  <r>
    <x v="1282"/>
    <n v="47150"/>
    <n v="1489"/>
    <n v="1"/>
    <x v="0"/>
    <n v="0"/>
    <s v="False"/>
    <n v="47114.285714285717"/>
    <n v="47753.333333333336"/>
    <n v="46900"/>
    <n v="48400"/>
    <n v="46150"/>
    <n v="250"/>
    <n v="129.4502"/>
    <n v="4.2892020000000003E-2"/>
    <n v="15767.599609999999"/>
    <n v="26.27"/>
    <n v="13.27"/>
    <n v="87.61"/>
    <n v="29"/>
    <s v="Rp250"/>
    <n v="0.53"/>
  </r>
  <r>
    <x v="1283"/>
    <n v="46400"/>
    <n v="1490"/>
    <n v="1"/>
    <x v="0"/>
    <n v="1"/>
    <s v="False"/>
    <n v="46900"/>
    <n v="47761.666666666664"/>
    <n v="47150"/>
    <n v="47900"/>
    <n v="46150"/>
    <n v="-750"/>
    <n v="129.4502"/>
    <n v="4.2892020000000003E-2"/>
    <n v="15828"/>
    <n v="26.69"/>
    <n v="4.7300000000000004"/>
    <n v="87.86"/>
    <n v="30"/>
    <s v="-Rp750"/>
    <n v="-1.59"/>
  </r>
  <r>
    <x v="1284"/>
    <n v="46400"/>
    <n v="1491"/>
    <n v="1"/>
    <x v="0"/>
    <n v="2"/>
    <s v="False"/>
    <n v="46792.857142857145"/>
    <n v="47770"/>
    <n v="46400"/>
    <n v="47150"/>
    <n v="46150"/>
    <n v="0"/>
    <n v="129.4502"/>
    <n v="4.2892020000000003E-2"/>
    <n v="15785"/>
    <n v="26.75"/>
    <n v="9.32"/>
    <n v="88.01"/>
    <n v="31"/>
    <s v="Rp0"/>
    <n v="0"/>
  </r>
  <r>
    <x v="1285"/>
    <n v="46500"/>
    <n v="1492"/>
    <n v="2"/>
    <x v="0"/>
    <n v="3"/>
    <s v="False"/>
    <n v="46735.714285714283"/>
    <n v="47765"/>
    <n v="46400"/>
    <n v="46900"/>
    <n v="46650"/>
    <n v="100"/>
    <n v="129.93020000000001"/>
    <n v="0.37079896400000001"/>
    <n v="15769"/>
    <n v="26.42"/>
    <n v="19.55"/>
    <n v="87.78"/>
    <n v="1"/>
    <s v="Rp100"/>
    <n v="0.22"/>
  </r>
  <r>
    <x v="1286"/>
    <n v="46500"/>
    <n v="1493"/>
    <n v="2"/>
    <x v="0"/>
    <n v="4"/>
    <s v="False"/>
    <n v="46678.571428571428"/>
    <n v="47768.333333333336"/>
    <n v="46500"/>
    <n v="46900"/>
    <n v="46400"/>
    <n v="0"/>
    <n v="129.93020000000001"/>
    <n v="0.37079896400000001"/>
    <n v="15726"/>
    <n v="26.58"/>
    <n v="3.13"/>
    <n v="85.32"/>
    <n v="2"/>
    <s v="Rp0"/>
    <n v="0"/>
  </r>
  <r>
    <x v="1287"/>
    <n v="46500"/>
    <n v="1494"/>
    <n v="2"/>
    <x v="0"/>
    <n v="5"/>
    <s v="False"/>
    <n v="46621.428571428572"/>
    <n v="47755"/>
    <n v="46500"/>
    <n v="46900"/>
    <n v="46900"/>
    <n v="0"/>
    <n v="129.93020000000001"/>
    <n v="0.37079896400000001"/>
    <n v="15726"/>
    <n v="26.89"/>
    <n v="2.61"/>
    <n v="86.49"/>
    <n v="3"/>
    <s v="Rp0"/>
    <n v="0"/>
  </r>
  <r>
    <x v="1288"/>
    <n v="46500"/>
    <n v="1495"/>
    <n v="2"/>
    <x v="0"/>
    <n v="6"/>
    <s v="False"/>
    <n v="46564.285714285717"/>
    <n v="47750"/>
    <n v="46500"/>
    <n v="46900"/>
    <n v="46650"/>
    <n v="0"/>
    <n v="129.93020000000001"/>
    <n v="0.37079896400000001"/>
    <n v="15726"/>
    <n v="26.93"/>
    <n v="7.0000000000000007E-2"/>
    <n v="81.58"/>
    <n v="4"/>
    <s v="Rp0"/>
    <n v="0"/>
  </r>
  <r>
    <x v="1289"/>
    <n v="46000"/>
    <n v="1496"/>
    <n v="2"/>
    <x v="0"/>
    <n v="0"/>
    <s v="False"/>
    <n v="46400"/>
    <n v="47728.333333333336"/>
    <n v="46500"/>
    <n v="47150"/>
    <n v="46650"/>
    <n v="-500"/>
    <n v="129.93020000000001"/>
    <n v="0.37079896400000001"/>
    <n v="15727.200199999999"/>
    <n v="26.59"/>
    <n v="0.93"/>
    <n v="84.91"/>
    <n v="5"/>
    <s v="-Rp500"/>
    <n v="-1.08"/>
  </r>
  <r>
    <x v="1290"/>
    <n v="45900"/>
    <n v="1497"/>
    <n v="2"/>
    <x v="0"/>
    <n v="1"/>
    <s v="False"/>
    <n v="46328.571428571428"/>
    <n v="47703.333333333336"/>
    <n v="46000"/>
    <n v="46400"/>
    <n v="46650"/>
    <n v="-100"/>
    <n v="129.93020000000001"/>
    <n v="0.37079896400000001"/>
    <n v="15711.5"/>
    <n v="26.41"/>
    <n v="4.5999999999999996"/>
    <n v="85.41"/>
    <n v="6"/>
    <s v="-Rp100"/>
    <n v="-0.22"/>
  </r>
  <r>
    <x v="1291"/>
    <n v="45400"/>
    <n v="1498"/>
    <n v="2"/>
    <x v="0"/>
    <n v="2"/>
    <s v="False"/>
    <n v="46185.714285714283"/>
    <n v="47641.666666666664"/>
    <n v="45900"/>
    <n v="46400"/>
    <n v="47250"/>
    <n v="-500"/>
    <n v="129.93020000000001"/>
    <n v="0.37079896400000001"/>
    <n v="15733"/>
    <n v="26.85"/>
    <n v="1.19"/>
    <n v="82.64"/>
    <n v="7"/>
    <s v="-Rp500"/>
    <n v="-1.0900000000000001"/>
  </r>
  <r>
    <x v="1292"/>
    <n v="45400"/>
    <n v="1499"/>
    <n v="2"/>
    <x v="0"/>
    <n v="3"/>
    <s v="False"/>
    <n v="46028.571428571428"/>
    <n v="47550"/>
    <n v="45400"/>
    <n v="46500"/>
    <n v="48150"/>
    <n v="0"/>
    <n v="129.93020000000001"/>
    <n v="0.37079896400000001"/>
    <n v="15647"/>
    <n v="26.92"/>
    <n v="3.32"/>
    <n v="83.98"/>
    <n v="8"/>
    <s v="Rp0"/>
    <n v="0"/>
  </r>
  <r>
    <x v="1293"/>
    <n v="45400"/>
    <n v="1500"/>
    <n v="2"/>
    <x v="0"/>
    <n v="4"/>
    <s v="False"/>
    <n v="45871.428571428572"/>
    <n v="47458.333333333336"/>
    <n v="45400"/>
    <n v="46500"/>
    <n v="48150"/>
    <n v="0"/>
    <n v="129.93020000000001"/>
    <n v="0.37079896400000001"/>
    <n v="15660.299800000001"/>
    <n v="26.86"/>
    <n v="6.59"/>
    <n v="86.67"/>
    <n v="9"/>
    <s v="Rp0"/>
    <n v="0"/>
  </r>
  <r>
    <x v="1294"/>
    <n v="45400"/>
    <n v="1501"/>
    <n v="2"/>
    <x v="0"/>
    <n v="5"/>
    <s v="True"/>
    <n v="45714.285714285717"/>
    <n v="47375"/>
    <n v="45400"/>
    <n v="46500"/>
    <n v="47900"/>
    <n v="0"/>
    <n v="129.93020000000001"/>
    <n v="0.37079896400000001"/>
    <n v="15660.299800000001"/>
    <n v="27"/>
    <n v="1.78"/>
    <n v="84.77"/>
    <n v="10"/>
    <s v="Rp0"/>
    <n v="0"/>
  </r>
  <r>
    <x v="1295"/>
    <n v="45400"/>
    <n v="1502"/>
    <n v="2"/>
    <x v="0"/>
    <n v="6"/>
    <s v="False"/>
    <n v="45557.142857142855"/>
    <n v="47271.666666666664"/>
    <n v="45400"/>
    <n v="46500"/>
    <n v="48500"/>
    <n v="0"/>
    <n v="129.93020000000001"/>
    <n v="0.37079896400000001"/>
    <n v="15660.299800000001"/>
    <n v="26.92"/>
    <n v="13.66"/>
    <n v="87.83"/>
    <n v="11"/>
    <s v="Rp0"/>
    <n v="0"/>
  </r>
  <r>
    <x v="1296"/>
    <n v="41750"/>
    <n v="1503"/>
    <n v="2"/>
    <x v="0"/>
    <n v="0"/>
    <s v="False"/>
    <n v="44950"/>
    <n v="47046.666666666664"/>
    <n v="45400"/>
    <n v="46000"/>
    <n v="48500"/>
    <n v="-3650"/>
    <n v="129.93020000000001"/>
    <n v="0.37079896400000001"/>
    <n v="15598"/>
    <n v="26.74"/>
    <n v="9.39"/>
    <n v="86.85"/>
    <n v="12"/>
    <s v="-Rp3650"/>
    <n v="-8.0399999999999991"/>
  </r>
  <r>
    <x v="1297"/>
    <n v="42900"/>
    <n v="1504"/>
    <n v="2"/>
    <x v="0"/>
    <n v="1"/>
    <s v="False"/>
    <n v="44521.428571428572"/>
    <n v="46860"/>
    <n v="41750"/>
    <n v="45900"/>
    <n v="48500"/>
    <n v="1150"/>
    <n v="129.93020000000001"/>
    <n v="0.37079896400000001"/>
    <n v="15579.5"/>
    <n v="26.92"/>
    <n v="9.51"/>
    <n v="85.53"/>
    <n v="13"/>
    <s v="Rp1150"/>
    <n v="2.75"/>
  </r>
  <r>
    <x v="1298"/>
    <n v="42900"/>
    <n v="1505"/>
    <n v="2"/>
    <x v="0"/>
    <n v="2"/>
    <s v="False"/>
    <n v="44164.285714285717"/>
    <n v="46631.666666666664"/>
    <n v="42900"/>
    <n v="45400"/>
    <n v="49750"/>
    <n v="0"/>
    <n v="129.93020000000001"/>
    <n v="0.37079896400000001"/>
    <n v="15661.5"/>
    <n v="27.07"/>
    <n v="3.67"/>
    <n v="86.62"/>
    <n v="14"/>
    <s v="Rp0"/>
    <n v="0"/>
  </r>
  <r>
    <x v="1299"/>
    <n v="42400"/>
    <n v="1506"/>
    <n v="2"/>
    <x v="0"/>
    <n v="3"/>
    <s v="False"/>
    <n v="43735.714285714283"/>
    <n v="46386.666666666664"/>
    <n v="42900"/>
    <n v="45400"/>
    <n v="49750"/>
    <n v="-500"/>
    <n v="129.93020000000001"/>
    <n v="0.37079896400000001"/>
    <n v="15553.099609999999"/>
    <n v="26.62"/>
    <n v="0.55000000000000004"/>
    <n v="78.8"/>
    <n v="15"/>
    <s v="-Rp500"/>
    <n v="-1.17"/>
  </r>
  <r>
    <x v="1300"/>
    <n v="42400"/>
    <n v="1507"/>
    <n v="2"/>
    <x v="0"/>
    <n v="4"/>
    <s v="False"/>
    <n v="43307.142857142855"/>
    <n v="46161.666666666664"/>
    <n v="42400"/>
    <n v="45400"/>
    <n v="49150"/>
    <n v="0"/>
    <n v="129.93020000000001"/>
    <n v="0.37079896400000001"/>
    <n v="15672"/>
    <n v="26.1"/>
    <n v="0.01"/>
    <n v="77.23"/>
    <n v="16"/>
    <s v="Rp0"/>
    <n v="0"/>
  </r>
  <r>
    <x v="1301"/>
    <n v="42400"/>
    <n v="1508"/>
    <n v="2"/>
    <x v="0"/>
    <n v="5"/>
    <s v="False"/>
    <n v="42878.571428571428"/>
    <n v="45936.666666666664"/>
    <n v="42400"/>
    <n v="45400"/>
    <n v="49150"/>
    <n v="0"/>
    <n v="129.93020000000001"/>
    <n v="0.37079896400000001"/>
    <n v="15672"/>
    <n v="26.28"/>
    <n v="0.02"/>
    <n v="80.319999999999993"/>
    <n v="17"/>
    <s v="Rp0"/>
    <n v="0"/>
  </r>
  <r>
    <x v="1302"/>
    <n v="42400"/>
    <n v="1509"/>
    <n v="2"/>
    <x v="0"/>
    <n v="6"/>
    <s v="False"/>
    <n v="42450"/>
    <n v="45711.666666666664"/>
    <n v="42400"/>
    <n v="45400"/>
    <n v="49150"/>
    <n v="0"/>
    <n v="129.93020000000001"/>
    <n v="0.37079896400000001"/>
    <n v="15672"/>
    <n v="26.47"/>
    <n v="0.03"/>
    <n v="81.58"/>
    <n v="18"/>
    <s v="Rp0"/>
    <n v="0"/>
  </r>
  <r>
    <x v="1303"/>
    <n v="42250"/>
    <n v="1510"/>
    <n v="2"/>
    <x v="0"/>
    <n v="0"/>
    <s v="False"/>
    <n v="42521.428571428572"/>
    <n v="45481.666666666664"/>
    <n v="42400"/>
    <n v="41750"/>
    <n v="49150"/>
    <n v="-150"/>
    <n v="129.93020000000001"/>
    <n v="0.37079896400000001"/>
    <n v="15628.599609999999"/>
    <n v="26.79"/>
    <n v="1.76"/>
    <n v="85.22"/>
    <n v="19"/>
    <s v="-Rp150"/>
    <n v="-0.35"/>
  </r>
  <r>
    <x v="1304"/>
    <n v="42750"/>
    <n v="1511"/>
    <n v="2"/>
    <x v="0"/>
    <n v="1"/>
    <s v="False"/>
    <n v="42500"/>
    <n v="45268.333333333336"/>
    <n v="42250"/>
    <n v="42900"/>
    <n v="49150"/>
    <n v="500"/>
    <n v="129.93020000000001"/>
    <n v="0.37079896400000001"/>
    <n v="15634"/>
    <n v="26.86"/>
    <n v="0.9"/>
    <n v="83.95"/>
    <n v="20"/>
    <s v="Rp500"/>
    <n v="1.18"/>
  </r>
  <r>
    <x v="1305"/>
    <n v="43500"/>
    <n v="1512"/>
    <n v="2"/>
    <x v="0"/>
    <n v="2"/>
    <s v="False"/>
    <n v="42585.714285714283"/>
    <n v="45105"/>
    <n v="42750"/>
    <n v="42900"/>
    <n v="48400"/>
    <n v="750"/>
    <n v="129.93020000000001"/>
    <n v="0.37079896400000001"/>
    <n v="15661"/>
    <n v="27.09"/>
    <n v="0.37"/>
    <n v="85.46"/>
    <n v="21"/>
    <s v="Rp750"/>
    <n v="1.75"/>
  </r>
  <r>
    <x v="1306"/>
    <n v="43650"/>
    <n v="1513"/>
    <n v="2"/>
    <x v="0"/>
    <n v="3"/>
    <s v="False"/>
    <n v="42764.285714285717"/>
    <n v="44963.333333333336"/>
    <n v="43500"/>
    <n v="42400"/>
    <n v="47900"/>
    <n v="150"/>
    <n v="129.93020000000001"/>
    <n v="0.37079896400000001"/>
    <n v="15642"/>
    <n v="27.15"/>
    <n v="0.48"/>
    <n v="85.41"/>
    <n v="22"/>
    <s v="Rp150"/>
    <n v="0.34"/>
  </r>
  <r>
    <x v="1307"/>
    <n v="42400"/>
    <n v="1514"/>
    <n v="2"/>
    <x v="0"/>
    <n v="4"/>
    <s v="False"/>
    <n v="42764.285714285717"/>
    <n v="44805"/>
    <n v="43650"/>
    <n v="42400"/>
    <n v="47150"/>
    <n v="-1250"/>
    <n v="129.93020000000001"/>
    <n v="0.37079896400000001"/>
    <n v="15588"/>
    <n v="27.06"/>
    <n v="7.0000000000000007E-2"/>
    <n v="81.44"/>
    <n v="23"/>
    <s v="-Rp1250"/>
    <n v="-2.86"/>
  </r>
  <r>
    <x v="1308"/>
    <n v="42400"/>
    <n v="1515"/>
    <n v="2"/>
    <x v="0"/>
    <n v="5"/>
    <s v="False"/>
    <n v="42764.285714285717"/>
    <n v="44655"/>
    <n v="42400"/>
    <n v="42400"/>
    <n v="46900"/>
    <n v="0"/>
    <n v="129.93020000000001"/>
    <n v="0.37079896400000001"/>
    <n v="15588"/>
    <n v="26.74"/>
    <n v="0.12"/>
    <n v="84.33"/>
    <n v="24"/>
    <s v="-Rp1250"/>
    <n v="-2.86"/>
  </r>
  <r>
    <x v="1309"/>
    <n v="42900"/>
    <n v="1517"/>
    <n v="2"/>
    <x v="0"/>
    <n v="0"/>
    <s v="False"/>
    <m/>
    <m/>
    <m/>
    <n v="42250"/>
    <n v="46900"/>
    <m/>
    <n v="129.93020000000001"/>
    <n v="0.37079896400000001"/>
    <n v="15586.099609999999"/>
    <n v="26.97"/>
    <n v="0.06"/>
    <n v="81.06"/>
    <n v="26"/>
    <s v="Rp500"/>
    <n v="1.18"/>
  </r>
  <r>
    <x v="1310"/>
    <n v="44150"/>
    <n v="1518"/>
    <n v="2"/>
    <x v="0"/>
    <n v="1"/>
    <s v="False"/>
    <m/>
    <m/>
    <n v="42900"/>
    <n v="42750"/>
    <n v="46900"/>
    <n v="1250"/>
    <n v="129.93020000000001"/>
    <n v="0.37079896400000001"/>
    <n v="15638.5"/>
    <n v="26.74"/>
    <n v="2.23"/>
    <n v="86.76"/>
    <n v="27"/>
    <s v="Rp1250"/>
    <n v="2.91"/>
  </r>
  <r>
    <x v="1311"/>
    <n v="44150"/>
    <n v="1519"/>
    <n v="2"/>
    <x v="0"/>
    <n v="2"/>
    <s v="False"/>
    <m/>
    <m/>
    <n v="44150"/>
    <n v="43500"/>
    <n v="47150"/>
    <n v="0"/>
    <n v="129.93020000000001"/>
    <n v="0.37079896400000001"/>
    <n v="15653"/>
    <n v="26.48"/>
    <n v="8.76"/>
    <n v="87.54"/>
    <n v="28"/>
    <s v="Rp0"/>
    <n v="0"/>
  </r>
  <r>
    <x v="1312"/>
    <n v="44650"/>
    <n v="1520"/>
    <n v="2"/>
    <x v="0"/>
    <n v="3"/>
    <s v="False"/>
    <m/>
    <m/>
    <n v="44150"/>
    <n v="43650"/>
    <n v="46400"/>
    <n v="500"/>
    <n v="129.93020000000001"/>
    <n v="0.37079896400000001"/>
    <n v="15712.200199999999"/>
    <n v="27.12"/>
    <n v="1.62"/>
    <n v="87.68"/>
    <n v="29"/>
    <s v="Rp500"/>
    <n v="1.1299999999999999"/>
  </r>
  <r>
    <x v="1313"/>
    <n v="40750"/>
    <n v="1521"/>
    <n v="3"/>
    <x v="0"/>
    <n v="4"/>
    <s v="False"/>
    <m/>
    <m/>
    <n v="44650"/>
    <n v="42400"/>
    <n v="46400"/>
    <n v="-3900"/>
    <n v="130.607"/>
    <n v="0.52089506500000005"/>
    <n v="15704"/>
    <n v="27.23"/>
    <n v="5.54"/>
    <n v="87.38"/>
    <n v="1"/>
    <s v="-Rp3900"/>
    <n v="-8.73"/>
  </r>
  <r>
    <x v="1314"/>
    <n v="40750"/>
    <n v="1522"/>
    <n v="3"/>
    <x v="0"/>
    <n v="5"/>
    <s v="False"/>
    <m/>
    <m/>
    <n v="40750"/>
    <n v="42400"/>
    <n v="46500"/>
    <n v="0"/>
    <n v="130.607"/>
    <n v="0.52089506500000005"/>
    <n v="15704"/>
    <n v="27.04"/>
    <n v="25.12"/>
    <n v="89.2"/>
    <n v="2"/>
    <s v="-Rp3900"/>
    <n v="-8.73"/>
  </r>
  <r>
    <x v="1315"/>
    <n v="40750"/>
    <n v="1523"/>
    <n v="3"/>
    <x v="0"/>
    <n v="6"/>
    <s v="False"/>
    <n v="42585.714285714283"/>
    <m/>
    <n v="40750"/>
    <m/>
    <n v="46500"/>
    <n v="0"/>
    <n v="130.607"/>
    <n v="0.52089506500000005"/>
    <n v="15704"/>
    <n v="26.89"/>
    <n v="14.46"/>
    <n v="85.04"/>
    <n v="3"/>
    <s v="-Rp3900"/>
    <n v="-8.73"/>
  </r>
  <r>
    <x v="1316"/>
    <n v="40150"/>
    <n v="1524"/>
    <n v="3"/>
    <x v="0"/>
    <n v="0"/>
    <s v="False"/>
    <n v="42192.857142857145"/>
    <m/>
    <n v="40750"/>
    <n v="42900"/>
    <n v="46500"/>
    <n v="-600"/>
    <n v="130.607"/>
    <n v="0.52089506500000005"/>
    <n v="15691.900390000001"/>
    <n v="26.74"/>
    <n v="12.56"/>
    <n v="87.83"/>
    <n v="4"/>
    <s v="-Rp600"/>
    <n v="-1.47"/>
  </r>
  <r>
    <x v="1317"/>
    <n v="40150"/>
    <n v="1525"/>
    <n v="3"/>
    <x v="0"/>
    <n v="1"/>
    <s v="False"/>
    <n v="41621.428571428572"/>
    <m/>
    <n v="40150"/>
    <n v="44150"/>
    <n v="46500"/>
    <n v="0"/>
    <n v="130.607"/>
    <n v="0.52089506500000005"/>
    <n v="15766"/>
    <n v="26.99"/>
    <n v="5.7"/>
    <n v="88.27"/>
    <n v="5"/>
    <s v="Rp0"/>
    <n v="0"/>
  </r>
  <r>
    <x v="1318"/>
    <n v="40150"/>
    <n v="1526"/>
    <n v="3"/>
    <x v="0"/>
    <n v="2"/>
    <s v="False"/>
    <n v="41050"/>
    <m/>
    <n v="40150"/>
    <n v="44150"/>
    <n v="46000"/>
    <n v="0"/>
    <n v="130.607"/>
    <n v="0.52089506500000005"/>
    <n v="15751.5"/>
    <n v="27.16"/>
    <n v="10.14"/>
    <n v="88.23"/>
    <n v="6"/>
    <s v="Rp0"/>
    <n v="0"/>
  </r>
  <r>
    <x v="1319"/>
    <n v="39650"/>
    <n v="1527"/>
    <n v="3"/>
    <x v="0"/>
    <n v="3"/>
    <s v="False"/>
    <n v="40335.714285714283"/>
    <m/>
    <n v="40150"/>
    <n v="44650"/>
    <n v="45900"/>
    <n v="-500"/>
    <n v="130.607"/>
    <n v="0.52089506500000005"/>
    <n v="15668"/>
    <n v="27.08"/>
    <n v="5.83"/>
    <n v="89.34"/>
    <n v="7"/>
    <s v="-Rp500"/>
    <n v="-1.25"/>
  </r>
  <r>
    <x v="1320"/>
    <n v="39650"/>
    <n v="1528"/>
    <n v="3"/>
    <x v="0"/>
    <n v="4"/>
    <s v="False"/>
    <n v="40178.571428571428"/>
    <m/>
    <n v="39650"/>
    <n v="40750"/>
    <n v="45400"/>
    <n v="0"/>
    <n v="130.607"/>
    <n v="0.52089506500000005"/>
    <n v="15621"/>
    <n v="26.73"/>
    <n v="0.28999999999999998"/>
    <n v="80.52"/>
    <n v="8"/>
    <s v="Rp0"/>
    <n v="0"/>
  </r>
  <r>
    <x v="1321"/>
    <n v="39650"/>
    <n v="1529"/>
    <n v="3"/>
    <x v="0"/>
    <n v="5"/>
    <s v="False"/>
    <n v="40021.428571428572"/>
    <m/>
    <n v="39650"/>
    <n v="40750"/>
    <n v="45400"/>
    <n v="0"/>
    <n v="130.607"/>
    <n v="0.52089506500000005"/>
    <n v="15621"/>
    <n v="26.52"/>
    <n v="3.53"/>
    <n v="83.46"/>
    <n v="9"/>
    <s v="Rp0"/>
    <n v="0"/>
  </r>
  <r>
    <x v="1322"/>
    <n v="39650"/>
    <n v="1530"/>
    <n v="3"/>
    <x v="0"/>
    <n v="6"/>
    <s v="False"/>
    <n v="39864.285714285717"/>
    <m/>
    <n v="39650"/>
    <n v="40750"/>
    <n v="45400"/>
    <n v="0"/>
    <n v="130.607"/>
    <n v="0.52089506500000005"/>
    <n v="15621"/>
    <n v="26.66"/>
    <n v="2.09"/>
    <n v="81.34"/>
    <n v="10"/>
    <s v="Rp0"/>
    <n v="0"/>
  </r>
  <r>
    <x v="1323"/>
    <n v="39650"/>
    <n v="1531"/>
    <n v="3"/>
    <x v="0"/>
    <n v="0"/>
    <s v="True"/>
    <n v="39792.857142857145"/>
    <m/>
    <n v="39650"/>
    <n v="40150"/>
    <n v="45400"/>
    <n v="0"/>
    <n v="130.607"/>
    <n v="0.52089506500000005"/>
    <n v="15536.299800000001"/>
    <n v="26.65"/>
    <n v="1.18"/>
    <n v="83.98"/>
    <n v="11"/>
    <s v="Rp0"/>
    <n v="0"/>
  </r>
  <r>
    <x v="1324"/>
    <n v="39650"/>
    <n v="1532"/>
    <n v="3"/>
    <x v="0"/>
    <n v="1"/>
    <s v="False"/>
    <n v="39721.428571428572"/>
    <m/>
    <n v="39650"/>
    <n v="40150"/>
    <n v="45400"/>
    <n v="0"/>
    <n v="130.607"/>
    <n v="0.52089506500000005"/>
    <n v="15518"/>
    <n v="26.55"/>
    <n v="0.2"/>
    <n v="85.17"/>
    <n v="12"/>
    <s v="Rp0"/>
    <n v="0"/>
  </r>
  <r>
    <x v="1325"/>
    <n v="38900"/>
    <n v="1533"/>
    <n v="3"/>
    <x v="0"/>
    <n v="2"/>
    <s v="False"/>
    <n v="39542.857142857145"/>
    <m/>
    <n v="39650"/>
    <n v="40150"/>
    <n v="41750"/>
    <n v="-750"/>
    <n v="130.607"/>
    <n v="0.52089506500000005"/>
    <n v="15546"/>
    <n v="26.81"/>
    <n v="4.0999999999999996"/>
    <n v="86.66"/>
    <n v="13"/>
    <s v="-Rp750"/>
    <n v="-1.89"/>
  </r>
  <r>
    <x v="1326"/>
    <n v="38900"/>
    <n v="1534"/>
    <n v="3"/>
    <x v="0"/>
    <n v="3"/>
    <s v="False"/>
    <n v="39435.714285714283"/>
    <m/>
    <n v="38900"/>
    <n v="39650"/>
    <n v="42900"/>
    <n v="0"/>
    <n v="130.607"/>
    <n v="0.52089506500000005"/>
    <n v="15574"/>
    <n v="27.06"/>
    <n v="1.29"/>
    <n v="84.76"/>
    <n v="14"/>
    <s v="Rp0"/>
    <n v="0"/>
  </r>
  <r>
    <x v="1327"/>
    <n v="39650"/>
    <n v="1535"/>
    <n v="3"/>
    <x v="0"/>
    <n v="4"/>
    <s v="False"/>
    <n v="39435.714285714283"/>
    <m/>
    <n v="38900"/>
    <n v="39650"/>
    <n v="42900"/>
    <n v="750"/>
    <n v="130.607"/>
    <n v="0.52089506500000005"/>
    <n v="15630"/>
    <n v="26.9"/>
    <n v="2.93"/>
    <n v="84.75"/>
    <n v="15"/>
    <s v="Rp750"/>
    <n v="1.93"/>
  </r>
  <r>
    <x v="1328"/>
    <n v="39650"/>
    <n v="1536"/>
    <n v="3"/>
    <x v="0"/>
    <n v="5"/>
    <s v="False"/>
    <n v="39435.714285714283"/>
    <m/>
    <n v="39650"/>
    <n v="39650"/>
    <n v="42400"/>
    <n v="0"/>
    <n v="130.607"/>
    <n v="0.52089506500000005"/>
    <n v="15630"/>
    <n v="26.81"/>
    <n v="2.85"/>
    <n v="85.17"/>
    <n v="16"/>
    <s v="Rp750"/>
    <n v="1.93"/>
  </r>
  <r>
    <x v="1329"/>
    <n v="39650"/>
    <n v="1537"/>
    <n v="3"/>
    <x v="0"/>
    <n v="6"/>
    <s v="False"/>
    <n v="39435.714285714283"/>
    <m/>
    <n v="39650"/>
    <n v="39650"/>
    <n v="42400"/>
    <n v="0"/>
    <n v="130.607"/>
    <n v="0.52089506500000005"/>
    <n v="15630"/>
    <n v="26.87"/>
    <n v="0.31"/>
    <n v="80.42"/>
    <n v="17"/>
    <s v="Rp750"/>
    <n v="1.93"/>
  </r>
  <r>
    <x v="1330"/>
    <n v="39900"/>
    <n v="1538"/>
    <n v="3"/>
    <x v="0"/>
    <n v="0"/>
    <s v="False"/>
    <n v="39471.428571428572"/>
    <m/>
    <n v="39650"/>
    <n v="39650"/>
    <n v="42400"/>
    <n v="250"/>
    <n v="130.607"/>
    <n v="0.52089506500000005"/>
    <n v="15639.299800000001"/>
    <n v="26.93"/>
    <n v="0.22"/>
    <n v="84.13"/>
    <n v="18"/>
    <s v="Rp250"/>
    <n v="0.63"/>
  </r>
  <r>
    <x v="1331"/>
    <n v="38650"/>
    <n v="1539"/>
    <n v="3"/>
    <x v="0"/>
    <n v="1"/>
    <s v="False"/>
    <n v="39328.571428571428"/>
    <m/>
    <n v="39900"/>
    <n v="39650"/>
    <n v="42400"/>
    <n v="-1250"/>
    <n v="130.607"/>
    <n v="0.52089506500000005"/>
    <n v="15743"/>
    <n v="26.69"/>
    <n v="0.06"/>
    <n v="80.17"/>
    <n v="19"/>
    <s v="-Rp1250"/>
    <n v="-3.13"/>
  </r>
  <r>
    <x v="1332"/>
    <n v="38650"/>
    <n v="1540"/>
    <n v="3"/>
    <x v="0"/>
    <n v="2"/>
    <s v="False"/>
    <n v="39292.857142857145"/>
    <m/>
    <n v="38650"/>
    <n v="38900"/>
    <n v="42250"/>
    <n v="0"/>
    <n v="130.607"/>
    <n v="0.52089506500000005"/>
    <n v="15718"/>
    <n v="26.67"/>
    <n v="0.2"/>
    <n v="83.52"/>
    <n v="20"/>
    <s v="Rp0"/>
    <n v="0"/>
  </r>
  <r>
    <x v="1333"/>
    <n v="39250"/>
    <n v="1541"/>
    <n v="3"/>
    <x v="0"/>
    <n v="3"/>
    <s v="False"/>
    <n v="39342.857142857145"/>
    <m/>
    <n v="38650"/>
    <n v="38900"/>
    <n v="42750"/>
    <n v="600"/>
    <n v="130.607"/>
    <n v="0.52089506500000005"/>
    <n v="15687"/>
    <n v="26.93"/>
    <n v="1.18"/>
    <n v="84.33"/>
    <n v="21"/>
    <s v="Rp600"/>
    <n v="1.55"/>
  </r>
  <r>
    <x v="1334"/>
    <n v="39250"/>
    <n v="1542"/>
    <n v="3"/>
    <x v="0"/>
    <n v="4"/>
    <s v="False"/>
    <n v="39285.714285714283"/>
    <m/>
    <n v="39250"/>
    <n v="39650"/>
    <n v="43500"/>
    <n v="0"/>
    <n v="130.607"/>
    <n v="0.52089506500000005"/>
    <n v="15723.5"/>
    <n v="27.03"/>
    <n v="1.24"/>
    <n v="82.79"/>
    <n v="22"/>
    <s v="Rp0"/>
    <n v="0"/>
  </r>
  <r>
    <x v="1335"/>
    <n v="39250"/>
    <n v="1543"/>
    <n v="3"/>
    <x v="0"/>
    <n v="5"/>
    <s v="False"/>
    <n v="39228.571428571428"/>
    <m/>
    <n v="39250"/>
    <n v="39650"/>
    <n v="43650"/>
    <n v="0"/>
    <n v="130.607"/>
    <n v="0.52089506500000005"/>
    <n v="15723.5"/>
    <n v="26.95"/>
    <n v="1.52"/>
    <n v="85.11"/>
    <n v="23"/>
    <s v="Rp0"/>
    <n v="0"/>
  </r>
  <r>
    <x v="1336"/>
    <n v="39250"/>
    <n v="1544"/>
    <n v="3"/>
    <x v="0"/>
    <n v="6"/>
    <s v="False"/>
    <n v="39171.428571428572"/>
    <m/>
    <n v="39250"/>
    <n v="39650"/>
    <n v="42400"/>
    <n v="0"/>
    <n v="130.607"/>
    <n v="0.52089506500000005"/>
    <n v="15723.5"/>
    <n v="27.16"/>
    <n v="0.59"/>
    <n v="82.57"/>
    <n v="24"/>
    <s v="Rp0"/>
    <n v="0"/>
  </r>
  <r>
    <x v="1337"/>
    <n v="39250"/>
    <n v="1545"/>
    <n v="3"/>
    <x v="0"/>
    <n v="0"/>
    <s v="False"/>
    <n v="39078.571428571428"/>
    <m/>
    <n v="39250"/>
    <n v="39900"/>
    <n v="42400"/>
    <n v="0"/>
    <n v="130.607"/>
    <n v="0.52089506500000005"/>
    <n v="15802.599609999999"/>
    <n v="27.15"/>
    <n v="1.24"/>
    <n v="84.67"/>
    <n v="25"/>
    <s v="Rp0"/>
    <n v="0"/>
  </r>
  <r>
    <x v="1338"/>
    <n v="39150"/>
    <n v="1546"/>
    <n v="3"/>
    <x v="0"/>
    <n v="1"/>
    <s v="False"/>
    <n v="39150"/>
    <n v="40193.333333333336"/>
    <n v="39250"/>
    <n v="38650"/>
    <m/>
    <n v="-100"/>
    <n v="130.607"/>
    <n v="0.52089506500000005"/>
    <n v="15784"/>
    <n v="27"/>
    <n v="2.79"/>
    <n v="87.01"/>
    <n v="26"/>
    <s v="-Rp100"/>
    <n v="-0.25"/>
  </r>
  <r>
    <x v="1339"/>
    <n v="39150"/>
    <n v="1547"/>
    <n v="3"/>
    <x v="0"/>
    <n v="2"/>
    <s v="False"/>
    <n v="39221.428571428572"/>
    <n v="40068.333333333336"/>
    <n v="39150"/>
    <n v="38650"/>
    <n v="42900"/>
    <n v="0"/>
    <n v="130.607"/>
    <n v="0.52089506500000005"/>
    <n v="15828"/>
    <n v="26.93"/>
    <n v="17.059999999999999"/>
    <n v="86.96"/>
    <n v="27"/>
    <s v="Rp0"/>
    <n v="0"/>
  </r>
  <r>
    <x v="1340"/>
    <n v="39750"/>
    <n v="1548"/>
    <n v="3"/>
    <x v="0"/>
    <n v="3"/>
    <s v="False"/>
    <n v="39292.857142857145"/>
    <n v="39921.666666666664"/>
    <n v="39150"/>
    <n v="39250"/>
    <n v="44150"/>
    <n v="600"/>
    <n v="130.607"/>
    <n v="0.52089506500000005"/>
    <n v="15877"/>
    <n v="27.06"/>
    <n v="14.04"/>
    <n v="84.07"/>
    <n v="28"/>
    <s v="Rp600"/>
    <n v="1.53"/>
  </r>
  <r>
    <x v="1341"/>
    <n v="39750"/>
    <n v="1549"/>
    <n v="3"/>
    <x v="0"/>
    <n v="4"/>
    <s v="True"/>
    <n v="39364.285714285717"/>
    <n v="39775"/>
    <n v="39750"/>
    <n v="39250"/>
    <n v="44150"/>
    <n v="0"/>
    <n v="130.607"/>
    <n v="0.52089506500000005"/>
    <n v="15877"/>
    <n v="27.45"/>
    <n v="4.95"/>
    <n v="80.03"/>
    <n v="29"/>
    <s v="Rp0"/>
    <n v="0"/>
  </r>
  <r>
    <x v="1342"/>
    <n v="39750"/>
    <n v="1550"/>
    <n v="3"/>
    <x v="0"/>
    <n v="5"/>
    <s v="False"/>
    <n v="39435.714285714283"/>
    <n v="39611.666666666664"/>
    <n v="39750"/>
    <n v="39250"/>
    <n v="44650"/>
    <n v="0"/>
    <n v="130.607"/>
    <n v="0.52089506500000005"/>
    <n v="15877"/>
    <n v="27.06"/>
    <n v="2.02"/>
    <n v="86.64"/>
    <n v="30"/>
    <s v="Rp0"/>
    <n v="0"/>
  </r>
  <r>
    <x v="1343"/>
    <n v="39750"/>
    <n v="1551"/>
    <n v="3"/>
    <x v="0"/>
    <n v="6"/>
    <s v="False"/>
    <n v="39507.142857142855"/>
    <n v="39578.333333333336"/>
    <n v="39750"/>
    <n v="39250"/>
    <n v="40750"/>
    <n v="0"/>
    <n v="130.607"/>
    <n v="0.52089506500000005"/>
    <n v="15877"/>
    <n v="27.53"/>
    <n v="9.66"/>
    <n v="85.2"/>
    <n v="31"/>
    <s v="Rp0"/>
    <n v="0"/>
  </r>
  <r>
    <x v="1344"/>
    <n v="39150"/>
    <n v="1552"/>
    <n v="4"/>
    <x v="1"/>
    <n v="0"/>
    <s v="True"/>
    <n v="39492.857142857145"/>
    <n v="39525"/>
    <n v="39750"/>
    <n v="39250"/>
    <n v="40750"/>
    <n v="-600"/>
    <n v="130.9393"/>
    <n v="0.25442740400000002"/>
    <n v="15848"/>
    <n v="27.41"/>
    <n v="10.56"/>
    <n v="79.78"/>
    <n v="1"/>
    <s v="-Rp600"/>
    <n v="-1.51"/>
  </r>
  <r>
    <x v="1345"/>
    <n v="40250"/>
    <n v="1553"/>
    <n v="4"/>
    <x v="1"/>
    <n v="1"/>
    <s v="False"/>
    <n v="39650"/>
    <n v="39508.333333333336"/>
    <n v="39150"/>
    <n v="39150"/>
    <n v="40750"/>
    <n v="1100"/>
    <n v="130.9393"/>
    <n v="0.25442740400000002"/>
    <n v="15945.799800000001"/>
    <n v="27.21"/>
    <n v="11.74"/>
    <n v="82.11"/>
    <n v="2"/>
    <s v="Rp1100"/>
    <n v="2.81"/>
  </r>
  <r>
    <x v="1346"/>
    <n v="40000"/>
    <n v="1554"/>
    <n v="4"/>
    <x v="1"/>
    <n v="2"/>
    <s v="False"/>
    <n v="39771.428571428572"/>
    <n v="39503.333333333336"/>
    <n v="40250"/>
    <n v="39150"/>
    <n v="40150"/>
    <n v="-250"/>
    <n v="130.9393"/>
    <n v="0.25442740400000002"/>
    <n v="15955"/>
    <n v="27.15"/>
    <n v="4.5"/>
    <n v="84.19"/>
    <n v="3"/>
    <s v="-Rp250"/>
    <n v="-0.62"/>
  </r>
  <r>
    <x v="1347"/>
    <n v="40000"/>
    <n v="1555"/>
    <n v="4"/>
    <x v="1"/>
    <n v="3"/>
    <s v="False"/>
    <n v="39807.142857142855"/>
    <n v="39498.333333333336"/>
    <n v="40000"/>
    <n v="39750"/>
    <n v="40150"/>
    <n v="0"/>
    <n v="130.9393"/>
    <n v="0.25442740400000002"/>
    <n v="15936"/>
    <n v="26.94"/>
    <n v="5.23"/>
    <n v="84.73"/>
    <n v="4"/>
    <s v="Rp0"/>
    <n v="0"/>
  </r>
  <r>
    <x v="1348"/>
    <n v="40500"/>
    <n v="1556"/>
    <n v="4"/>
    <x v="1"/>
    <n v="4"/>
    <s v="False"/>
    <n v="39914.285714285717"/>
    <n v="39510"/>
    <n v="40000"/>
    <n v="39750"/>
    <n v="40150"/>
    <n v="500"/>
    <n v="130.9393"/>
    <n v="0.25442740400000002"/>
    <n v="15904.5"/>
    <n v="26.59"/>
    <n v="11.57"/>
    <n v="85.88"/>
    <n v="5"/>
    <s v="Rp500"/>
    <n v="1.25"/>
  </r>
  <r>
    <x v="1349"/>
    <n v="40500"/>
    <n v="1557"/>
    <n v="4"/>
    <x v="1"/>
    <n v="5"/>
    <s v="False"/>
    <n v="40021.428571428572"/>
    <n v="39538.333333333336"/>
    <n v="40500"/>
    <n v="39750"/>
    <n v="39650"/>
    <n v="0"/>
    <n v="130.9393"/>
    <n v="0.25442740400000002"/>
    <n v="15904.5"/>
    <n v="27.16"/>
    <n v="28.31"/>
    <n v="88.18"/>
    <n v="6"/>
    <s v="Rp500"/>
    <n v="1.25"/>
  </r>
  <r>
    <x v="1350"/>
    <n v="40500"/>
    <n v="1558"/>
    <n v="4"/>
    <x v="1"/>
    <n v="6"/>
    <s v="False"/>
    <n v="40128.571428571428"/>
    <n v="39566.666666666664"/>
    <n v="40500"/>
    <n v="39750"/>
    <n v="39650"/>
    <n v="0"/>
    <n v="130.9393"/>
    <n v="0.25442740400000002"/>
    <n v="15904.5"/>
    <n v="27.16"/>
    <n v="36.85"/>
    <n v="86.41"/>
    <n v="7"/>
    <s v="Rp500"/>
    <n v="1.25"/>
  </r>
  <r>
    <x v="1351"/>
    <n v="40500"/>
    <n v="1559"/>
    <n v="4"/>
    <x v="1"/>
    <n v="0"/>
    <s v="False"/>
    <n v="40321.428571428572"/>
    <n v="39595"/>
    <n v="40500"/>
    <n v="39150"/>
    <n v="39650"/>
    <n v="0"/>
    <n v="130.9393"/>
    <n v="0.25442740400000002"/>
    <n v="15881"/>
    <n v="26.91"/>
    <n v="12.05"/>
    <n v="86.06"/>
    <n v="8"/>
    <m/>
    <n v="0"/>
  </r>
  <r>
    <x v="1352"/>
    <n v="40500"/>
    <n v="1560"/>
    <n v="4"/>
    <x v="1"/>
    <n v="1"/>
    <s v="False"/>
    <n v="40357.142857142855"/>
    <n v="39623.333333333336"/>
    <n v="40500"/>
    <n v="40250"/>
    <n v="39650"/>
    <n v="0"/>
    <n v="130.9393"/>
    <n v="0.25442740400000002"/>
    <n v="15918"/>
    <n v="26.98"/>
    <n v="0.54"/>
    <n v="83.24"/>
    <n v="9"/>
    <s v="Rp0"/>
    <n v="0"/>
  </r>
  <r>
    <x v="1353"/>
    <n v="40500"/>
    <n v="1561"/>
    <n v="4"/>
    <x v="1"/>
    <n v="2"/>
    <s v="True"/>
    <n v="40428.571428571428"/>
    <n v="39651.666666666664"/>
    <n v="40500"/>
    <n v="40000"/>
    <n v="39650"/>
    <n v="0"/>
    <n v="130.9393"/>
    <n v="0.25442740400000002"/>
    <n v="15892.299800000001"/>
    <n v="27.01"/>
    <n v="0.16"/>
    <n v="81"/>
    <n v="10"/>
    <s v="Rp0"/>
    <n v="0"/>
  </r>
  <r>
    <x v="1354"/>
    <n v="40500"/>
    <n v="1562"/>
    <n v="4"/>
    <x v="1"/>
    <n v="3"/>
    <s v="True"/>
    <n v="40500"/>
    <n v="39680"/>
    <n v="40500"/>
    <n v="40000"/>
    <n v="39650"/>
    <n v="0"/>
    <n v="130.9393"/>
    <n v="0.25442740400000002"/>
    <n v="15998.200199999999"/>
    <n v="26.97"/>
    <n v="0.3"/>
    <n v="82.6"/>
    <n v="11"/>
    <s v="Rp0"/>
    <n v="0"/>
  </r>
  <r>
    <x v="1355"/>
    <n v="40500"/>
    <n v="1563"/>
    <n v="4"/>
    <x v="1"/>
    <n v="4"/>
    <s v="False"/>
    <n v="40500"/>
    <n v="39733.333333333336"/>
    <n v="40500"/>
    <n v="40500"/>
    <n v="38900"/>
    <n v="0"/>
    <n v="130.9393"/>
    <n v="0.25442740400000002"/>
    <n v="16007"/>
    <n v="27.42"/>
    <n v="0.11"/>
    <n v="80.39"/>
    <n v="12"/>
    <s v="Rp0"/>
    <n v="0"/>
  </r>
  <r>
    <x v="1356"/>
    <n v="40500"/>
    <n v="1566"/>
    <n v="4"/>
    <x v="1"/>
    <n v="0"/>
    <s v="False"/>
    <m/>
    <m/>
    <m/>
    <n v="40500"/>
    <n v="39650"/>
    <m/>
    <n v="130.9393"/>
    <n v="0.25442740400000002"/>
    <n v="16111"/>
    <n v="27.38"/>
    <n v="0.08"/>
    <n v="80.349999999999994"/>
    <n v="15"/>
    <m/>
    <n v="0"/>
  </r>
  <r>
    <x v="1357"/>
    <n v="63150"/>
    <n v="1567"/>
    <n v="4"/>
    <x v="1"/>
    <n v="1"/>
    <s v="False"/>
    <m/>
    <m/>
    <n v="40500"/>
    <n v="40500"/>
    <n v="39650"/>
    <n v="22650"/>
    <n v="130.9393"/>
    <n v="0.25442740400000002"/>
    <n v="16075"/>
    <n v="27.48"/>
    <n v="0.11"/>
    <n v="77.28"/>
    <n v="16"/>
    <s v="Rp22650"/>
    <n v="55.93"/>
  </r>
  <r>
    <x v="1358"/>
    <n v="63150"/>
    <n v="1568"/>
    <n v="4"/>
    <x v="1"/>
    <n v="2"/>
    <s v="False"/>
    <m/>
    <m/>
    <n v="63150"/>
    <n v="40500"/>
    <n v="39900"/>
    <n v="0"/>
    <n v="130.9393"/>
    <n v="0.25442740400000002"/>
    <n v="16312.200199999999"/>
    <n v="27.64"/>
    <n v="1.33"/>
    <n v="81.94"/>
    <n v="17"/>
    <s v="Rp0"/>
    <n v="0"/>
  </r>
  <r>
    <x v="1359"/>
    <n v="63150"/>
    <n v="1569"/>
    <n v="4"/>
    <x v="1"/>
    <n v="3"/>
    <s v="False"/>
    <m/>
    <m/>
    <n v="63150"/>
    <n v="40500"/>
    <n v="38650"/>
    <n v="0"/>
    <n v="130.9393"/>
    <n v="0.25442740400000002"/>
    <n v="16246"/>
    <n v="27.43"/>
    <n v="2.23"/>
    <n v="84.09"/>
    <n v="18"/>
    <s v="Rp0"/>
    <n v="0"/>
  </r>
  <r>
    <x v="1360"/>
    <n v="63150"/>
    <n v="1570"/>
    <n v="4"/>
    <x v="1"/>
    <n v="4"/>
    <s v="False"/>
    <m/>
    <m/>
    <n v="63150"/>
    <n v="40500"/>
    <n v="38650"/>
    <n v="0"/>
    <n v="130.9393"/>
    <n v="0.25442740400000002"/>
    <n v="16220"/>
    <n v="27.36"/>
    <n v="2.31"/>
    <n v="83.89"/>
    <n v="19"/>
    <s v="Rp0"/>
    <n v="0"/>
  </r>
  <r>
    <x v="1361"/>
    <n v="59900"/>
    <n v="1573"/>
    <n v="4"/>
    <x v="1"/>
    <n v="0"/>
    <s v="False"/>
    <m/>
    <m/>
    <m/>
    <n v="40500"/>
    <n v="39250"/>
    <m/>
    <n v="130.9393"/>
    <n v="0.25442740400000002"/>
    <n v="16210.299800000001"/>
    <n v="27.82"/>
    <n v="4.3499999999999996"/>
    <n v="86.6"/>
    <n v="22"/>
    <s v="-Rp3250"/>
    <n v="-5.15"/>
  </r>
  <r>
    <x v="1362"/>
    <n v="59900"/>
    <n v="1574"/>
    <n v="4"/>
    <x v="1"/>
    <n v="1"/>
    <s v="False"/>
    <m/>
    <m/>
    <n v="59900"/>
    <n v="63150"/>
    <n v="39250"/>
    <n v="0"/>
    <n v="130.9393"/>
    <n v="0.25442740400000002"/>
    <n v="16246"/>
    <n v="27.89"/>
    <n v="5.23"/>
    <n v="81.67"/>
    <n v="23"/>
    <s v="Rp0"/>
    <n v="0"/>
  </r>
  <r>
    <x v="1363"/>
    <n v="59150"/>
    <n v="1575"/>
    <n v="4"/>
    <x v="1"/>
    <n v="2"/>
    <s v="False"/>
    <m/>
    <m/>
    <n v="59900"/>
    <n v="63150"/>
    <n v="39250"/>
    <n v="-750"/>
    <n v="130.9393"/>
    <n v="0.25442740400000002"/>
    <n v="16140.200199999999"/>
    <n v="27.78"/>
    <n v="1.7"/>
    <n v="84.47"/>
    <n v="24"/>
    <s v="-Rp750"/>
    <n v="-1.25"/>
  </r>
  <r>
    <x v="1364"/>
    <n v="59150"/>
    <n v="1576"/>
    <n v="4"/>
    <x v="1"/>
    <n v="3"/>
    <s v="False"/>
    <m/>
    <m/>
    <n v="59150"/>
    <n v="63150"/>
    <n v="39150"/>
    <n v="0"/>
    <n v="130.9393"/>
    <n v="0.25442740400000002"/>
    <n v="16220"/>
    <n v="27.9"/>
    <n v="0.69"/>
    <n v="84.11"/>
    <n v="25"/>
    <s v="Rp0"/>
    <n v="0"/>
  </r>
  <r>
    <x v="1365"/>
    <n v="58900"/>
    <n v="1577"/>
    <n v="4"/>
    <x v="1"/>
    <n v="4"/>
    <s v="False"/>
    <m/>
    <m/>
    <n v="59150"/>
    <n v="63150"/>
    <n v="39150"/>
    <n v="-250"/>
    <n v="130.9393"/>
    <n v="0.25442740400000002"/>
    <n v="16202"/>
    <n v="27.67"/>
    <n v="2.23"/>
    <n v="85.6"/>
    <n v="26"/>
    <s v="-Rp250"/>
    <n v="-0.42"/>
  </r>
  <r>
    <x v="1366"/>
    <n v="58900"/>
    <n v="1578"/>
    <n v="4"/>
    <x v="1"/>
    <n v="5"/>
    <s v="False"/>
    <m/>
    <m/>
    <n v="58900"/>
    <m/>
    <n v="39750"/>
    <n v="0"/>
    <n v="130.9393"/>
    <n v="0.25442740400000002"/>
    <n v="16202"/>
    <n v="27.77"/>
    <n v="11.56"/>
    <n v="85.11"/>
    <n v="27"/>
    <s v="-Rp250"/>
    <n v="-0.42"/>
  </r>
  <r>
    <x v="1367"/>
    <n v="58900"/>
    <n v="1579"/>
    <n v="4"/>
    <x v="1"/>
    <n v="6"/>
    <s v="False"/>
    <n v="59257.142857142855"/>
    <m/>
    <n v="58900"/>
    <m/>
    <n v="39750"/>
    <n v="0"/>
    <n v="130.9393"/>
    <n v="0.25442740400000002"/>
    <n v="16202"/>
    <n v="27.73"/>
    <n v="7.1"/>
    <n v="85.41"/>
    <n v="28"/>
    <s v="-Rp250"/>
    <n v="-0.42"/>
  </r>
  <r>
    <x v="1368"/>
    <n v="58900"/>
    <n v="1580"/>
    <n v="4"/>
    <x v="1"/>
    <n v="0"/>
    <s v="False"/>
    <n v="59114.285714285717"/>
    <m/>
    <n v="58900"/>
    <n v="59900"/>
    <n v="39750"/>
    <n v="0"/>
    <n v="130.9393"/>
    <n v="0.25442740400000002"/>
    <n v="16203"/>
    <n v="27.54"/>
    <n v="8.34"/>
    <n v="86.54"/>
    <n v="29"/>
    <s v="Rp0"/>
    <n v="0"/>
  </r>
  <r>
    <x v="1369"/>
    <n v="60650"/>
    <n v="1581"/>
    <n v="4"/>
    <x v="1"/>
    <n v="1"/>
    <s v="False"/>
    <n v="59221.428571428572"/>
    <m/>
    <n v="58900"/>
    <n v="59900"/>
    <n v="39750"/>
    <n v="1750"/>
    <n v="130.9393"/>
    <n v="0.25442740400000002"/>
    <n v="16246"/>
    <n v="27.22"/>
    <n v="31.38"/>
    <n v="84.07"/>
    <n v="30"/>
    <s v="Rp1750"/>
    <n v="2.97"/>
  </r>
  <r>
    <x v="1370"/>
    <n v="58400"/>
    <n v="1582"/>
    <n v="5"/>
    <x v="1"/>
    <n v="2"/>
    <s v="True"/>
    <n v="59114.285714285717"/>
    <m/>
    <n v="60650"/>
    <n v="59150"/>
    <n v="39150"/>
    <n v="-2250"/>
    <n v="130.9024"/>
    <n v="-2.8180996999999999E-2"/>
    <n v="16273"/>
    <n v="27.67"/>
    <n v="5.1100000000000003"/>
    <n v="83.15"/>
    <n v="1"/>
    <s v="-Rp2250"/>
    <n v="-3.71"/>
  </r>
  <r>
    <x v="1371"/>
    <n v="59150"/>
    <n v="1583"/>
    <n v="5"/>
    <x v="1"/>
    <n v="3"/>
    <s v="False"/>
    <n v="59114.285714285717"/>
    <m/>
    <n v="58400"/>
    <n v="59150"/>
    <n v="40250"/>
    <n v="750"/>
    <n v="130.9024"/>
    <n v="-2.8180996999999999E-2"/>
    <n v="16190.400390000001"/>
    <n v="27.52"/>
    <n v="7.27"/>
    <n v="85.05"/>
    <n v="2"/>
    <s v="Rp750"/>
    <n v="1.28"/>
  </r>
  <r>
    <x v="1372"/>
    <n v="58250"/>
    <n v="1584"/>
    <n v="5"/>
    <x v="1"/>
    <n v="4"/>
    <s v="False"/>
    <n v="59021.428571428572"/>
    <m/>
    <n v="59150"/>
    <n v="58900"/>
    <n v="40000"/>
    <n v="-900"/>
    <n v="130.9024"/>
    <n v="-2.8180996999999999E-2"/>
    <n v="16097"/>
    <n v="27.8"/>
    <n v="11.27"/>
    <n v="85.49"/>
    <n v="3"/>
    <s v="-Rp900"/>
    <n v="-1.52"/>
  </r>
  <r>
    <x v="1373"/>
    <n v="58250"/>
    <n v="1585"/>
    <n v="5"/>
    <x v="1"/>
    <n v="5"/>
    <s v="False"/>
    <n v="58928.571428571428"/>
    <m/>
    <n v="58250"/>
    <n v="58900"/>
    <n v="40000"/>
    <n v="0"/>
    <n v="130.9024"/>
    <n v="-2.8180996999999999E-2"/>
    <n v="16097"/>
    <n v="27.85"/>
    <n v="1.32"/>
    <n v="83.73"/>
    <n v="4"/>
    <s v="-Rp900"/>
    <n v="-1.52"/>
  </r>
  <r>
    <x v="1374"/>
    <n v="58250"/>
    <n v="1586"/>
    <n v="5"/>
    <x v="1"/>
    <n v="6"/>
    <s v="False"/>
    <n v="58835.714285714283"/>
    <m/>
    <n v="58250"/>
    <n v="58900"/>
    <n v="40500"/>
    <n v="0"/>
    <n v="130.9024"/>
    <n v="-2.8180996999999999E-2"/>
    <n v="16097"/>
    <n v="27.34"/>
    <n v="3.52"/>
    <n v="85.82"/>
    <n v="5"/>
    <s v="-Rp900"/>
    <n v="-1.52"/>
  </r>
  <r>
    <x v="1375"/>
    <n v="55650"/>
    <n v="1587"/>
    <n v="5"/>
    <x v="1"/>
    <n v="0"/>
    <s v="False"/>
    <n v="58371.428571428572"/>
    <m/>
    <n v="58250"/>
    <n v="58900"/>
    <n v="40500"/>
    <n v="-2600"/>
    <n v="130.9024"/>
    <n v="-2.8180996999999999E-2"/>
    <n v="16077"/>
    <n v="27.57"/>
    <n v="4.03"/>
    <n v="81.98"/>
    <n v="6"/>
    <s v="-Rp2600"/>
    <n v="-4.46"/>
  </r>
  <r>
    <x v="1376"/>
    <n v="55000"/>
    <n v="1588"/>
    <n v="5"/>
    <x v="1"/>
    <n v="1"/>
    <s v="False"/>
    <n v="57564.285714285717"/>
    <m/>
    <n v="55650"/>
    <n v="60650"/>
    <n v="40500"/>
    <n v="-650"/>
    <n v="130.9024"/>
    <n v="-2.8180996999999999E-2"/>
    <n v="16034"/>
    <n v="27.74"/>
    <n v="3.12"/>
    <n v="81.319999999999993"/>
    <n v="7"/>
    <s v="-Rp650"/>
    <n v="-1.17"/>
  </r>
  <r>
    <x v="1377"/>
    <n v="53500"/>
    <n v="1589"/>
    <n v="5"/>
    <x v="1"/>
    <n v="2"/>
    <s v="False"/>
    <n v="56864.285714285717"/>
    <m/>
    <n v="55000"/>
    <n v="58400"/>
    <n v="40500"/>
    <n v="-1500"/>
    <n v="130.9024"/>
    <n v="-2.8180996999999999E-2"/>
    <n v="16073"/>
    <n v="27.76"/>
    <n v="2.42"/>
    <n v="81.25"/>
    <n v="8"/>
    <s v="-Rp1500"/>
    <n v="-2.73"/>
  </r>
  <r>
    <x v="1378"/>
    <n v="53500"/>
    <n v="1590"/>
    <n v="5"/>
    <x v="1"/>
    <n v="3"/>
    <s v="False"/>
    <n v="56057.142857142855"/>
    <m/>
    <n v="53500"/>
    <n v="59150"/>
    <n v="40500"/>
    <n v="0"/>
    <n v="130.9024"/>
    <n v="-2.8180996999999999E-2"/>
    <n v="16074"/>
    <n v="27.84"/>
    <n v="8.5500000000000007"/>
    <n v="78.97"/>
    <n v="9"/>
    <s v="Rp0"/>
    <n v="0"/>
  </r>
  <r>
    <x v="1379"/>
    <n v="53500"/>
    <n v="1591"/>
    <n v="5"/>
    <x v="1"/>
    <n v="4"/>
    <s v="False"/>
    <n v="55378.571428571428"/>
    <m/>
    <n v="53500"/>
    <n v="58250"/>
    <n v="40500"/>
    <n v="0"/>
    <n v="130.9024"/>
    <n v="-2.8180996999999999E-2"/>
    <n v="16030"/>
    <n v="27.79"/>
    <n v="0.15"/>
    <n v="82.38"/>
    <n v="10"/>
    <s v="Rp0"/>
    <n v="0"/>
  </r>
  <r>
    <x v="1380"/>
    <n v="53500"/>
    <n v="1592"/>
    <n v="5"/>
    <x v="1"/>
    <n v="5"/>
    <s v="False"/>
    <n v="54700"/>
    <m/>
    <n v="53500"/>
    <n v="58250"/>
    <n v="40500"/>
    <n v="0"/>
    <n v="130.9024"/>
    <n v="-2.8180996999999999E-2"/>
    <n v="16030"/>
    <n v="28.12"/>
    <n v="0.32"/>
    <n v="80.89"/>
    <n v="11"/>
    <s v="Rp0"/>
    <n v="0"/>
  </r>
  <r>
    <x v="1381"/>
    <n v="53500"/>
    <n v="1593"/>
    <n v="5"/>
    <x v="1"/>
    <n v="6"/>
    <s v="False"/>
    <n v="54021.428571428572"/>
    <m/>
    <n v="53500"/>
    <n v="58250"/>
    <n v="40500"/>
    <n v="0"/>
    <n v="130.9024"/>
    <n v="-2.8180996999999999E-2"/>
    <n v="16030"/>
    <n v="28.21"/>
    <n v="3.86"/>
    <n v="79.41"/>
    <n v="12"/>
    <s v="Rp0"/>
    <n v="0"/>
  </r>
  <r>
    <x v="1382"/>
    <n v="52900"/>
    <n v="1594"/>
    <n v="5"/>
    <x v="1"/>
    <n v="0"/>
    <s v="False"/>
    <n v="53628.571428571428"/>
    <m/>
    <n v="53500"/>
    <n v="55650"/>
    <m/>
    <n v="-600"/>
    <n v="130.9024"/>
    <n v="-2.8180996999999999E-2"/>
    <n v="16038"/>
    <n v="27.91"/>
    <n v="0.63"/>
    <n v="77.61"/>
    <n v="13"/>
    <s v="-Rp600"/>
    <n v="-1.1200000000000001"/>
  </r>
  <r>
    <x v="1383"/>
    <n v="51000"/>
    <n v="1595"/>
    <n v="5"/>
    <x v="1"/>
    <n v="1"/>
    <s v="False"/>
    <n v="53057.142857142855"/>
    <m/>
    <n v="52900"/>
    <n v="55000"/>
    <m/>
    <n v="-1900"/>
    <n v="130.9024"/>
    <n v="-2.8180996999999999E-2"/>
    <n v="16121"/>
    <n v="28.57"/>
    <n v="11.84"/>
    <n v="75.849999999999994"/>
    <n v="14"/>
    <s v="-Rp1900"/>
    <n v="-3.59"/>
  </r>
  <r>
    <x v="1384"/>
    <n v="51650"/>
    <n v="1596"/>
    <n v="5"/>
    <x v="1"/>
    <n v="2"/>
    <s v="False"/>
    <n v="52792.857142857145"/>
    <m/>
    <n v="51000"/>
    <n v="53500"/>
    <n v="40500"/>
    <n v="650"/>
    <n v="130.9024"/>
    <n v="-2.8180996999999999E-2"/>
    <n v="16102"/>
    <n v="28.17"/>
    <n v="3.2"/>
    <n v="80.8"/>
    <n v="15"/>
    <s v="Rp650"/>
    <n v="1.27"/>
  </r>
  <r>
    <x v="1385"/>
    <n v="51650"/>
    <n v="1597"/>
    <n v="5"/>
    <x v="1"/>
    <n v="3"/>
    <s v="False"/>
    <n v="52528.571428571428"/>
    <m/>
    <n v="51650"/>
    <n v="53500"/>
    <n v="63150"/>
    <n v="0"/>
    <n v="130.9024"/>
    <n v="-2.8180996999999999E-2"/>
    <n v="15914"/>
    <n v="28.12"/>
    <n v="2.85"/>
    <n v="79.599999999999994"/>
    <n v="16"/>
    <s v="Rp0"/>
    <n v="0"/>
  </r>
  <r>
    <x v="1386"/>
    <n v="50150"/>
    <n v="1598"/>
    <n v="5"/>
    <x v="1"/>
    <n v="4"/>
    <s v="False"/>
    <n v="52050"/>
    <m/>
    <n v="51650"/>
    <n v="53500"/>
    <n v="63150"/>
    <n v="-1500"/>
    <n v="130.9024"/>
    <n v="-2.8180996999999999E-2"/>
    <n v="15930.799800000001"/>
    <n v="27.94"/>
    <n v="5.59"/>
    <n v="82.88"/>
    <n v="17"/>
    <s v="-Rp1500"/>
    <n v="-2.9"/>
  </r>
  <r>
    <x v="1387"/>
    <n v="51400"/>
    <n v="1601"/>
    <n v="5"/>
    <x v="1"/>
    <n v="0"/>
    <s v="False"/>
    <m/>
    <m/>
    <m/>
    <n v="52900"/>
    <m/>
    <m/>
    <n v="130.9024"/>
    <n v="-2.8180996999999999E-2"/>
    <n v="15958"/>
    <n v="28.44"/>
    <n v="0.34"/>
    <n v="80.98"/>
    <n v="20"/>
    <s v="Rp1250"/>
    <n v="2.4900000000000002"/>
  </r>
  <r>
    <x v="1388"/>
    <n v="50150"/>
    <n v="1602"/>
    <n v="5"/>
    <x v="1"/>
    <n v="1"/>
    <s v="False"/>
    <m/>
    <m/>
    <n v="51400"/>
    <n v="51000"/>
    <m/>
    <n v="-1250"/>
    <n v="130.9024"/>
    <n v="-2.8180996999999999E-2"/>
    <n v="16031"/>
    <n v="28.35"/>
    <n v="1.58"/>
    <n v="82.13"/>
    <n v="21"/>
    <s v="-Rp1250"/>
    <n v="-2.4300000000000002"/>
  </r>
  <r>
    <x v="1389"/>
    <n v="50150"/>
    <n v="1603"/>
    <n v="5"/>
    <x v="1"/>
    <n v="2"/>
    <s v="False"/>
    <m/>
    <m/>
    <n v="50150"/>
    <n v="51650"/>
    <n v="59900"/>
    <n v="0"/>
    <n v="130.9024"/>
    <n v="-2.8180996999999999E-2"/>
    <n v="16005"/>
    <n v="28.32"/>
    <n v="2.48"/>
    <n v="83.31"/>
    <n v="22"/>
    <s v="Rp0"/>
    <n v="0"/>
  </r>
  <r>
    <x v="1390"/>
    <n v="50150"/>
    <n v="1604"/>
    <n v="5"/>
    <x v="1"/>
    <n v="3"/>
    <s v="True"/>
    <m/>
    <m/>
    <n v="50150"/>
    <n v="51650"/>
    <n v="59900"/>
    <n v="0"/>
    <n v="130.9024"/>
    <n v="-2.8180996999999999E-2"/>
    <n v="16040.700199999999"/>
    <n v="28.53"/>
    <n v="0.6"/>
    <n v="80.489999999999995"/>
    <n v="23"/>
    <s v="Rp0"/>
    <n v="0"/>
  </r>
  <r>
    <x v="1391"/>
    <n v="50150"/>
    <n v="1605"/>
    <n v="5"/>
    <x v="1"/>
    <n v="4"/>
    <s v="False"/>
    <m/>
    <m/>
    <n v="50150"/>
    <n v="50150"/>
    <n v="59150"/>
    <n v="0"/>
    <n v="130.9024"/>
    <n v="-2.8180996999999999E-2"/>
    <n v="16095"/>
    <n v="28.38"/>
    <n v="2.66"/>
    <n v="83.04"/>
    <n v="24"/>
    <s v="Rp0"/>
    <n v="0"/>
  </r>
  <r>
    <x v="1392"/>
    <n v="50250"/>
    <n v="1608"/>
    <n v="5"/>
    <x v="1"/>
    <n v="0"/>
    <s v="False"/>
    <m/>
    <m/>
    <m/>
    <n v="51400"/>
    <n v="58900"/>
    <m/>
    <n v="130.9024"/>
    <n v="-2.8180996999999999E-2"/>
    <n v="16038"/>
    <n v="27.48"/>
    <n v="7.66"/>
    <n v="79.319999999999993"/>
    <n v="27"/>
    <s v="Rp100"/>
    <n v="0.2"/>
  </r>
  <r>
    <x v="1393"/>
    <n v="50000"/>
    <n v="1609"/>
    <n v="5"/>
    <x v="1"/>
    <n v="1"/>
    <s v="False"/>
    <m/>
    <m/>
    <n v="50250"/>
    <n v="50150"/>
    <n v="58900"/>
    <n v="-250"/>
    <n v="130.9024"/>
    <n v="-2.8180996999999999E-2"/>
    <n v="16071"/>
    <n v="27.64"/>
    <n v="2.88"/>
    <n v="81.41"/>
    <n v="28"/>
    <s v="-Rp250"/>
    <n v="-0.5"/>
  </r>
  <r>
    <x v="1394"/>
    <n v="50000"/>
    <n v="1610"/>
    <n v="5"/>
    <x v="1"/>
    <n v="2"/>
    <s v="False"/>
    <m/>
    <m/>
    <n v="50000"/>
    <n v="50150"/>
    <n v="58900"/>
    <n v="0"/>
    <n v="130.9024"/>
    <n v="-2.8180996999999999E-2"/>
    <n v="16117"/>
    <n v="28.11"/>
    <n v="0.92"/>
    <n v="82.02"/>
    <n v="29"/>
    <s v="Rp0"/>
    <n v="0"/>
  </r>
  <r>
    <x v="1395"/>
    <n v="50400"/>
    <n v="1611"/>
    <n v="5"/>
    <x v="1"/>
    <n v="3"/>
    <s v="False"/>
    <m/>
    <m/>
    <n v="50000"/>
    <n v="50150"/>
    <n v="60650"/>
    <n v="400"/>
    <n v="130.9024"/>
    <n v="-2.8180996999999999E-2"/>
    <n v="16232.099609999999"/>
    <n v="28.1"/>
    <n v="1.91"/>
    <n v="82.4"/>
    <n v="30"/>
    <s v="Rp400"/>
    <n v="0.8"/>
  </r>
  <r>
    <x v="1396"/>
    <n v="50400"/>
    <n v="1612"/>
    <n v="5"/>
    <x v="1"/>
    <n v="4"/>
    <s v="False"/>
    <m/>
    <m/>
    <n v="50400"/>
    <n v="50150"/>
    <n v="58400"/>
    <n v="0"/>
    <n v="130.9024"/>
    <n v="-2.8180996999999999E-2"/>
    <n v="16228"/>
    <n v="27.69"/>
    <n v="4.6500000000000004"/>
    <n v="87.41"/>
    <n v="31"/>
    <s v="Rp0"/>
    <n v="0"/>
  </r>
  <r>
    <x v="1397"/>
    <n v="50400"/>
    <n v="1613"/>
    <n v="6"/>
    <x v="1"/>
    <n v="5"/>
    <s v="True"/>
    <m/>
    <m/>
    <n v="50400"/>
    <m/>
    <n v="59150"/>
    <n v="0"/>
    <n v="130.79159999999999"/>
    <n v="-8.4643214999999994E-2"/>
    <n v="16228"/>
    <n v="27.86"/>
    <n v="5.49"/>
    <n v="85.49"/>
    <n v="1"/>
    <s v="Rp0"/>
    <n v="0"/>
  </r>
  <r>
    <x v="1398"/>
    <n v="50400"/>
    <n v="1614"/>
    <n v="6"/>
    <x v="1"/>
    <n v="6"/>
    <s v="False"/>
    <n v="50264.285714285717"/>
    <m/>
    <n v="50400"/>
    <m/>
    <n v="58250"/>
    <n v="0"/>
    <n v="130.79159999999999"/>
    <n v="-8.4643214999999994E-2"/>
    <n v="16228"/>
    <n v="27.89"/>
    <n v="0.86"/>
    <n v="83.2"/>
    <n v="2"/>
    <s v="Rp0"/>
    <n v="0"/>
  </r>
  <r>
    <x v="1399"/>
    <n v="53150"/>
    <n v="1615"/>
    <n v="6"/>
    <x v="1"/>
    <n v="0"/>
    <s v="False"/>
    <n v="50678.571428571428"/>
    <m/>
    <n v="50400"/>
    <n v="50250"/>
    <n v="58250"/>
    <n v="2750"/>
    <n v="130.79159999999999"/>
    <n v="-8.4643214999999994E-2"/>
    <n v="16243"/>
    <n v="28.31"/>
    <n v="1.17"/>
    <n v="80.430000000000007"/>
    <n v="3"/>
    <s v="Rp2750"/>
    <n v="5.46"/>
  </r>
  <r>
    <x v="1400"/>
    <n v="57650"/>
    <n v="1616"/>
    <n v="6"/>
    <x v="1"/>
    <n v="1"/>
    <s v="False"/>
    <n v="51771.428571428572"/>
    <m/>
    <n v="53150"/>
    <n v="50000"/>
    <n v="58250"/>
    <n v="4500"/>
    <n v="130.79159999999999"/>
    <n v="-8.4643214999999994E-2"/>
    <n v="16203"/>
    <n v="27.62"/>
    <n v="20.81"/>
    <n v="85.99"/>
    <n v="4"/>
    <s v="Rp4500"/>
    <n v="8.4700000000000006"/>
  </r>
  <r>
    <x v="1401"/>
    <n v="57400"/>
    <n v="1617"/>
    <n v="6"/>
    <x v="1"/>
    <n v="2"/>
    <s v="False"/>
    <n v="52828.571428571428"/>
    <m/>
    <n v="57650"/>
    <n v="50000"/>
    <n v="55650"/>
    <n v="-250"/>
    <n v="130.79159999999999"/>
    <n v="-8.4643214999999994E-2"/>
    <n v="16276"/>
    <n v="27.64"/>
    <n v="5.24"/>
    <n v="82.64"/>
    <n v="5"/>
    <s v="-Rp250"/>
    <n v="-0.43"/>
  </r>
  <r>
    <x v="1402"/>
    <n v="56150"/>
    <n v="1618"/>
    <n v="6"/>
    <x v="1"/>
    <n v="3"/>
    <s v="False"/>
    <n v="53650"/>
    <m/>
    <n v="57400"/>
    <n v="50400"/>
    <n v="55000"/>
    <n v="-1250"/>
    <n v="130.79159999999999"/>
    <n v="-8.4643214999999994E-2"/>
    <n v="16315"/>
    <n v="27.08"/>
    <n v="9.58"/>
    <n v="84.75"/>
    <n v="6"/>
    <s v="-Rp1250"/>
    <n v="-2.1800000000000002"/>
  </r>
  <r>
    <x v="1403"/>
    <n v="55650"/>
    <n v="1619"/>
    <n v="6"/>
    <x v="1"/>
    <n v="4"/>
    <s v="False"/>
    <n v="54400"/>
    <m/>
    <n v="56150"/>
    <n v="50400"/>
    <n v="53500"/>
    <n v="-500"/>
    <n v="130.79159999999999"/>
    <n v="-8.4643214999999994E-2"/>
    <n v="16241.700199999999"/>
    <n v="27.04"/>
    <n v="8.5399999999999991"/>
    <n v="81.430000000000007"/>
    <n v="7"/>
    <s v="-Rp500"/>
    <n v="-0.89"/>
  </r>
  <r>
    <x v="1404"/>
    <n v="55650"/>
    <n v="1620"/>
    <n v="6"/>
    <x v="1"/>
    <n v="5"/>
    <s v="False"/>
    <n v="55150"/>
    <m/>
    <n v="55650"/>
    <n v="50400"/>
    <n v="53500"/>
    <n v="0"/>
    <n v="130.79159999999999"/>
    <n v="-8.4643214999999994E-2"/>
    <n v="16241.700199999999"/>
    <n v="27.12"/>
    <n v="10.7"/>
    <n v="84"/>
    <n v="8"/>
    <s v="-Rp500"/>
    <n v="-0.89"/>
  </r>
  <r>
    <x v="1405"/>
    <n v="55650"/>
    <n v="1621"/>
    <n v="6"/>
    <x v="1"/>
    <n v="6"/>
    <s v="False"/>
    <n v="55900"/>
    <m/>
    <n v="55650"/>
    <n v="50400"/>
    <n v="53500"/>
    <n v="0"/>
    <n v="130.79159999999999"/>
    <n v="-8.4643214999999994E-2"/>
    <n v="16241.700199999999"/>
    <n v="27.57"/>
    <n v="6.32"/>
    <n v="83.26"/>
    <n v="9"/>
    <s v="-Rp500"/>
    <n v="-0.89"/>
  </r>
  <r>
    <x v="1406"/>
    <n v="53650"/>
    <n v="1622"/>
    <n v="6"/>
    <x v="1"/>
    <n v="0"/>
    <s v="False"/>
    <n v="55971.428571428572"/>
    <m/>
    <n v="55650"/>
    <n v="53150"/>
    <n v="53500"/>
    <n v="-2000"/>
    <n v="130.79159999999999"/>
    <n v="-8.4643214999999994E-2"/>
    <n v="16270"/>
    <n v="27.53"/>
    <n v="6.49"/>
    <n v="81.27"/>
    <n v="10"/>
    <s v="-Rp2000"/>
    <n v="-3.59"/>
  </r>
  <r>
    <x v="1407"/>
    <n v="51400"/>
    <n v="1623"/>
    <n v="6"/>
    <x v="1"/>
    <n v="1"/>
    <s v="False"/>
    <n v="55078.571428571428"/>
    <m/>
    <n v="53650"/>
    <n v="57650"/>
    <n v="53500"/>
    <n v="-2250"/>
    <n v="130.79159999999999"/>
    <n v="-8.4643214999999994E-2"/>
    <n v="16312"/>
    <n v="27.35"/>
    <n v="3.78"/>
    <n v="81.11"/>
    <n v="11"/>
    <s v="-Rp2250"/>
    <n v="-4.1900000000000004"/>
  </r>
  <r>
    <x v="1408"/>
    <n v="51400"/>
    <n v="1624"/>
    <n v="6"/>
    <x v="1"/>
    <n v="2"/>
    <s v="False"/>
    <n v="54221.428571428572"/>
    <m/>
    <n v="51400"/>
    <n v="57400"/>
    <n v="52900"/>
    <n v="0"/>
    <n v="130.79159999999999"/>
    <n v="-8.4643214999999994E-2"/>
    <n v="16305.400390000001"/>
    <n v="26.97"/>
    <n v="3.65"/>
    <n v="82.96"/>
    <n v="12"/>
    <s v="Rp0"/>
    <n v="0"/>
  </r>
  <r>
    <x v="1409"/>
    <n v="50900"/>
    <n v="1625"/>
    <n v="6"/>
    <x v="1"/>
    <n v="3"/>
    <s v="False"/>
    <n v="53471.428571428572"/>
    <m/>
    <n v="51400"/>
    <n v="56150"/>
    <n v="51000"/>
    <n v="-500"/>
    <n v="130.79159999999999"/>
    <n v="-8.4643214999999994E-2"/>
    <n v="16230"/>
    <n v="26.97"/>
    <n v="23.08"/>
    <n v="86.1"/>
    <n v="13"/>
    <s v="-Rp500"/>
    <n v="-0.97"/>
  </r>
  <r>
    <x v="1410"/>
    <n v="50250"/>
    <n v="1626"/>
    <n v="6"/>
    <x v="1"/>
    <n v="4"/>
    <s v="False"/>
    <n v="52700"/>
    <m/>
    <n v="50900"/>
    <n v="55650"/>
    <n v="51650"/>
    <n v="-650"/>
    <n v="130.79159999999999"/>
    <n v="-8.4643214999999994E-2"/>
    <n v="16286"/>
    <n v="26.48"/>
    <n v="11.34"/>
    <n v="84.09"/>
    <n v="14"/>
    <s v="-Rp650"/>
    <n v="-1.28"/>
  </r>
  <r>
    <x v="1411"/>
    <n v="50250"/>
    <n v="1627"/>
    <n v="6"/>
    <x v="1"/>
    <n v="5"/>
    <s v="False"/>
    <n v="51928.571428571428"/>
    <m/>
    <n v="50250"/>
    <n v="55650"/>
    <n v="51650"/>
    <n v="0"/>
    <n v="130.79159999999999"/>
    <n v="-8.4643214999999994E-2"/>
    <n v="16286"/>
    <n v="26.11"/>
    <n v="4.08"/>
    <n v="82.31"/>
    <n v="15"/>
    <s v="-Rp650"/>
    <n v="-1.28"/>
  </r>
  <r>
    <x v="1412"/>
    <n v="50250"/>
    <n v="1628"/>
    <n v="6"/>
    <x v="1"/>
    <n v="6"/>
    <s v="False"/>
    <n v="51157.142857142855"/>
    <m/>
    <n v="50250"/>
    <n v="55650"/>
    <n v="50150"/>
    <n v="0"/>
    <n v="130.79159999999999"/>
    <n v="-8.4643214999999994E-2"/>
    <n v="16286"/>
    <n v="26.94"/>
    <n v="2.5"/>
    <n v="79.91"/>
    <n v="16"/>
    <s v="-Rp650"/>
    <n v="-1.28"/>
  </r>
  <r>
    <x v="1413"/>
    <n v="50250"/>
    <n v="1629"/>
    <n v="6"/>
    <x v="1"/>
    <n v="0"/>
    <s v="True"/>
    <n v="50671.428571428572"/>
    <m/>
    <n v="50250"/>
    <n v="53650"/>
    <m/>
    <n v="0"/>
    <n v="130.79159999999999"/>
    <n v="-8.4643214999999994E-2"/>
    <n v="16479.900389999999"/>
    <n v="26.91"/>
    <n v="5.54"/>
    <n v="85.63"/>
    <n v="17"/>
    <s v="Rp0"/>
    <n v="0"/>
  </r>
  <r>
    <x v="1414"/>
    <n v="50250"/>
    <n v="1630"/>
    <n v="6"/>
    <x v="1"/>
    <n v="1"/>
    <s v="False"/>
    <n v="50507.142857142855"/>
    <m/>
    <n v="50250"/>
    <n v="51400"/>
    <m/>
    <n v="0"/>
    <n v="130.79159999999999"/>
    <n v="-8.4643214999999994E-2"/>
    <n v="16479"/>
    <n v="26.71"/>
    <n v="5.51"/>
    <n v="86.11"/>
    <n v="18"/>
    <s v="Rp0"/>
    <n v="0"/>
  </r>
  <r>
    <x v="1415"/>
    <n v="50000"/>
    <n v="1631"/>
    <n v="6"/>
    <x v="1"/>
    <n v="2"/>
    <s v="False"/>
    <n v="50307.142857142855"/>
    <m/>
    <n v="50250"/>
    <n v="51400"/>
    <n v="51400"/>
    <n v="-250"/>
    <n v="130.79159999999999"/>
    <n v="-8.4643214999999994E-2"/>
    <n v="16379"/>
    <n v="26.51"/>
    <n v="23.86"/>
    <n v="88.27"/>
    <n v="19"/>
    <s v="-Rp250"/>
    <n v="-0.5"/>
  </r>
  <r>
    <x v="1416"/>
    <n v="50000"/>
    <n v="1632"/>
    <n v="6"/>
    <x v="1"/>
    <n v="3"/>
    <s v="False"/>
    <n v="50178.571428571428"/>
    <m/>
    <n v="50000"/>
    <n v="50900"/>
    <n v="50150"/>
    <n v="0"/>
    <n v="130.79159999999999"/>
    <n v="-8.4643214999999994E-2"/>
    <n v="16380.900390000001"/>
    <n v="26.5"/>
    <n v="12.17"/>
    <n v="84.95"/>
    <n v="20"/>
    <s v="Rp0"/>
    <n v="0"/>
  </r>
  <r>
    <x v="1417"/>
    <n v="49500"/>
    <n v="1633"/>
    <n v="6"/>
    <x v="1"/>
    <n v="4"/>
    <s v="False"/>
    <n v="50071.428571428572"/>
    <m/>
    <n v="50000"/>
    <n v="50250"/>
    <n v="50150"/>
    <n v="-500"/>
    <n v="130.79159999999999"/>
    <n v="-8.4643214999999994E-2"/>
    <n v="16491.900389999999"/>
    <n v="26.35"/>
    <n v="6.54"/>
    <n v="85.88"/>
    <n v="21"/>
    <s v="-Rp500"/>
    <n v="-1"/>
  </r>
  <r>
    <x v="1418"/>
    <n v="49500"/>
    <n v="1634"/>
    <n v="6"/>
    <x v="1"/>
    <n v="5"/>
    <s v="False"/>
    <n v="49964.285714285717"/>
    <m/>
    <n v="49500"/>
    <n v="50250"/>
    <n v="50150"/>
    <n v="0"/>
    <n v="130.79159999999999"/>
    <n v="-8.4643214999999994E-2"/>
    <n v="16491.900389999999"/>
    <n v="26.57"/>
    <n v="8.31"/>
    <n v="87.25"/>
    <n v="22"/>
    <s v="-Rp500"/>
    <n v="-1"/>
  </r>
  <r>
    <x v="1419"/>
    <n v="49500"/>
    <n v="1635"/>
    <n v="6"/>
    <x v="1"/>
    <n v="6"/>
    <s v="False"/>
    <n v="49857.142857142855"/>
    <m/>
    <n v="49500"/>
    <n v="50250"/>
    <n v="50150"/>
    <n v="0"/>
    <n v="130.79159999999999"/>
    <n v="-8.4643214999999994E-2"/>
    <n v="16491.900389999999"/>
    <n v="26.63"/>
    <n v="13.22"/>
    <n v="83.9"/>
    <n v="23"/>
    <s v="-Rp500"/>
    <n v="-1"/>
  </r>
  <r>
    <x v="1420"/>
    <n v="48000"/>
    <n v="1636"/>
    <n v="6"/>
    <x v="1"/>
    <n v="0"/>
    <s v="False"/>
    <n v="49535.714285714283"/>
    <m/>
    <n v="49500"/>
    <n v="50250"/>
    <m/>
    <n v="-1500"/>
    <n v="130.79159999999999"/>
    <n v="-8.4643214999999994E-2"/>
    <n v="16443"/>
    <n v="26.92"/>
    <n v="32.58"/>
    <n v="83.73"/>
    <n v="24"/>
    <s v="-Rp1500"/>
    <n v="-3.03"/>
  </r>
  <r>
    <x v="1421"/>
    <n v="46250"/>
    <n v="1637"/>
    <n v="6"/>
    <x v="1"/>
    <n v="1"/>
    <s v="False"/>
    <n v="48964.285714285717"/>
    <n v="51483.333333333336"/>
    <n v="48000"/>
    <n v="50250"/>
    <m/>
    <n v="-1750"/>
    <n v="130.79159999999999"/>
    <n v="-8.4643214999999994E-2"/>
    <n v="16394.099610000001"/>
    <n v="26.84"/>
    <n v="13.27"/>
    <n v="86.71"/>
    <n v="25"/>
    <s v="-Rp1750"/>
    <n v="-3.65"/>
  </r>
  <r>
    <x v="1422"/>
    <n v="46150"/>
    <n v="1638"/>
    <n v="6"/>
    <x v="1"/>
    <n v="2"/>
    <s v="False"/>
    <n v="48414.285714285717"/>
    <n v="51346.666666666664"/>
    <n v="46250"/>
    <n v="50000"/>
    <n v="50250"/>
    <n v="-100"/>
    <n v="130.79159999999999"/>
    <n v="-8.4643214999999994E-2"/>
    <n v="16401"/>
    <n v="26.17"/>
    <n v="7.12"/>
    <n v="88.81"/>
    <n v="26"/>
    <s v="-Rp100"/>
    <n v="-0.22"/>
  </r>
  <r>
    <x v="1423"/>
    <n v="46150"/>
    <n v="1639"/>
    <n v="6"/>
    <x v="1"/>
    <n v="3"/>
    <s v="False"/>
    <n v="47864.285714285717"/>
    <n v="51218.333333333336"/>
    <n v="46150"/>
    <n v="50000"/>
    <n v="50000"/>
    <n v="0"/>
    <n v="130.79159999999999"/>
    <n v="-8.4643214999999994E-2"/>
    <n v="16434"/>
    <n v="26.32"/>
    <n v="5.42"/>
    <n v="87.09"/>
    <n v="27"/>
    <s v="Rp0"/>
    <n v="0"/>
  </r>
  <r>
    <x v="1424"/>
    <n v="45900"/>
    <n v="1640"/>
    <n v="6"/>
    <x v="1"/>
    <n v="4"/>
    <s v="False"/>
    <n v="47350"/>
    <n v="51081.666666666664"/>
    <n v="46150"/>
    <n v="49500"/>
    <n v="50000"/>
    <n v="-250"/>
    <n v="130.79159999999999"/>
    <n v="-8.4643214999999994E-2"/>
    <n v="16374.400390000001"/>
    <n v="26.45"/>
    <n v="4.9400000000000004"/>
    <n v="80.77"/>
    <n v="28"/>
    <s v="-Rp250"/>
    <n v="-0.54"/>
  </r>
  <r>
    <x v="1425"/>
    <n v="45900"/>
    <n v="1641"/>
    <n v="6"/>
    <x v="1"/>
    <n v="5"/>
    <s v="False"/>
    <n v="46835.714285714283"/>
    <n v="50931.666666666664"/>
    <n v="45900"/>
    <n v="49500"/>
    <n v="50400"/>
    <n v="0"/>
    <n v="130.79159999999999"/>
    <n v="-8.4643214999999994E-2"/>
    <n v="16374.400390000001"/>
    <n v="27.25"/>
    <n v="6.37"/>
    <n v="79.25"/>
    <n v="29"/>
    <s v="-Rp250"/>
    <n v="-0.54"/>
  </r>
  <r>
    <x v="1426"/>
    <n v="45900"/>
    <n v="1642"/>
    <n v="6"/>
    <x v="1"/>
    <n v="6"/>
    <s v="False"/>
    <n v="46321.428571428572"/>
    <n v="50781.666666666664"/>
    <n v="45900"/>
    <n v="49500"/>
    <n v="50400"/>
    <n v="0"/>
    <n v="130.79159999999999"/>
    <n v="-8.4643214999999994E-2"/>
    <n v="16374.400390000001"/>
    <n v="27.01"/>
    <n v="6.97"/>
    <n v="82.67"/>
    <n v="30"/>
    <s v="-Rp250"/>
    <n v="-0.54"/>
  </r>
  <r>
    <x v="1427"/>
    <n v="45650"/>
    <n v="1643"/>
    <n v="7"/>
    <x v="1"/>
    <n v="0"/>
    <s v="False"/>
    <n v="45985.714285714283"/>
    <n v="50623.333333333336"/>
    <n v="45900"/>
    <n v="48000"/>
    <n v="50400"/>
    <n v="-250"/>
    <n v="130.55779999999999"/>
    <n v="-0.17875765699999999"/>
    <n v="16343"/>
    <n v="27.04"/>
    <n v="5.88"/>
    <n v="82.34"/>
    <n v="1"/>
    <s v="-Rp250"/>
    <n v="-0.54"/>
  </r>
  <r>
    <x v="1428"/>
    <n v="44500"/>
    <n v="1644"/>
    <n v="7"/>
    <x v="1"/>
    <n v="1"/>
    <s v="False"/>
    <n v="45735.714285714283"/>
    <n v="50426.666666666664"/>
    <n v="45650"/>
    <n v="46250"/>
    <n v="50400"/>
    <n v="-1150"/>
    <n v="130.55779999999999"/>
    <n v="-0.17875765699999999"/>
    <n v="16390"/>
    <n v="26.87"/>
    <n v="2.81"/>
    <n v="83.84"/>
    <n v="2"/>
    <s v="-Rp1150"/>
    <n v="-2.52"/>
  </r>
  <r>
    <x v="1429"/>
    <n v="44150"/>
    <n v="1645"/>
    <n v="7"/>
    <x v="1"/>
    <n v="2"/>
    <s v="False"/>
    <n v="45450"/>
    <n v="50126.666666666664"/>
    <n v="44500"/>
    <n v="46150"/>
    <n v="53150"/>
    <n v="-350"/>
    <n v="130.55779999999999"/>
    <n v="-0.17875765699999999"/>
    <n v="16391"/>
    <n v="26.48"/>
    <n v="10.039999999999999"/>
    <n v="82.63"/>
    <n v="3"/>
    <s v="-Rp350"/>
    <n v="-0.79"/>
  </r>
  <r>
    <x v="1430"/>
    <n v="44750"/>
    <n v="1646"/>
    <n v="7"/>
    <x v="1"/>
    <n v="3"/>
    <s v="False"/>
    <n v="45250"/>
    <n v="49696.666666666664"/>
    <n v="44150"/>
    <n v="46150"/>
    <n v="57650"/>
    <n v="600"/>
    <n v="130.55779999999999"/>
    <n v="-0.17875765699999999"/>
    <n v="16340"/>
    <n v="26.64"/>
    <n v="13.18"/>
    <n v="80.41"/>
    <n v="4"/>
    <s v="Rp600"/>
    <n v="1.36"/>
  </r>
  <r>
    <x v="1431"/>
    <n v="44750"/>
    <n v="1647"/>
    <n v="7"/>
    <x v="1"/>
    <n v="4"/>
    <s v="False"/>
    <n v="45085.714285714283"/>
    <n v="49275"/>
    <n v="44750"/>
    <n v="45900"/>
    <n v="57400"/>
    <n v="0"/>
    <n v="130.55779999999999"/>
    <n v="-0.17875765699999999"/>
    <n v="16328.5"/>
    <n v="27.06"/>
    <n v="3.08"/>
    <n v="80.14"/>
    <n v="5"/>
    <s v="Rp0"/>
    <n v="0"/>
  </r>
  <r>
    <x v="1432"/>
    <n v="44750"/>
    <n v="1648"/>
    <n v="7"/>
    <x v="1"/>
    <n v="5"/>
    <s v="False"/>
    <n v="44921.428571428572"/>
    <n v="48895"/>
    <n v="44750"/>
    <n v="45900"/>
    <n v="56150"/>
    <n v="0"/>
    <n v="130.55779999999999"/>
    <n v="-0.17875765699999999"/>
    <n v="16328.5"/>
    <n v="26.87"/>
    <n v="4.78"/>
    <n v="83.73"/>
    <n v="6"/>
    <s v="Rp0"/>
    <n v="0"/>
  </r>
  <r>
    <x v="1433"/>
    <n v="44750"/>
    <n v="1649"/>
    <n v="7"/>
    <x v="1"/>
    <n v="6"/>
    <s v="True"/>
    <n v="44757.142857142855"/>
    <n v="48531.666666666664"/>
    <n v="44750"/>
    <n v="45900"/>
    <n v="55650"/>
    <n v="0"/>
    <n v="130.55779999999999"/>
    <n v="-0.17875765699999999"/>
    <n v="16328.5"/>
    <n v="26.91"/>
    <n v="2.2200000000000002"/>
    <n v="85.35"/>
    <n v="7"/>
    <s v="Rp0"/>
    <n v="0"/>
  </r>
  <r>
    <x v="1434"/>
    <n v="45250"/>
    <n v="1650"/>
    <n v="7"/>
    <x v="1"/>
    <n v="0"/>
    <s v="False"/>
    <n v="44700"/>
    <n v="48185"/>
    <n v="44750"/>
    <n v="45650"/>
    <n v="55650"/>
    <n v="500"/>
    <n v="130.55779999999999"/>
    <n v="-0.17875765699999999"/>
    <n v="16245"/>
    <n v="26.4"/>
    <n v="9.49"/>
    <n v="85.49"/>
    <n v="8"/>
    <s v="Rp500"/>
    <n v="1.1200000000000001"/>
  </r>
  <r>
    <x v="1435"/>
    <n v="44750"/>
    <n v="1651"/>
    <n v="7"/>
    <x v="1"/>
    <n v="1"/>
    <s v="False"/>
    <n v="44735.714285714283"/>
    <n v="47821.666666666664"/>
    <n v="45250"/>
    <n v="44500"/>
    <n v="55650"/>
    <n v="-500"/>
    <n v="130.55779999999999"/>
    <n v="-0.17875765699999999"/>
    <n v="16277.200199999999"/>
    <n v="26.37"/>
    <n v="3.16"/>
    <n v="85.09"/>
    <n v="9"/>
    <s v="-Rp500"/>
    <n v="-1.1000000000000001"/>
  </r>
  <r>
    <x v="1436"/>
    <n v="44750"/>
    <n v="1652"/>
    <n v="7"/>
    <x v="1"/>
    <n v="2"/>
    <s v="False"/>
    <n v="44821.428571428572"/>
    <n v="47525"/>
    <n v="44750"/>
    <n v="44150"/>
    <n v="53650"/>
    <n v="0"/>
    <n v="130.55779999999999"/>
    <n v="-0.17875765699999999"/>
    <n v="16277"/>
    <n v="26.28"/>
    <n v="14.36"/>
    <n v="86.5"/>
    <n v="10"/>
    <s v="Rp0"/>
    <n v="0"/>
  </r>
  <r>
    <x v="1437"/>
    <n v="44250"/>
    <n v="1653"/>
    <n v="7"/>
    <x v="1"/>
    <n v="3"/>
    <s v="False"/>
    <n v="44750"/>
    <n v="47286.666666666664"/>
    <n v="44750"/>
    <n v="44750"/>
    <n v="51400"/>
    <n v="-500"/>
    <n v="130.55779999999999"/>
    <n v="-0.17875765699999999"/>
    <n v="16198"/>
    <n v="26.53"/>
    <n v="9.11"/>
    <n v="84.9"/>
    <n v="11"/>
    <s v="-Rp500"/>
    <n v="-1.1200000000000001"/>
  </r>
  <r>
    <x v="1438"/>
    <n v="44250"/>
    <n v="1654"/>
    <n v="7"/>
    <x v="1"/>
    <n v="4"/>
    <s v="False"/>
    <n v="44678.571428571428"/>
    <n v="47048.333333333336"/>
    <n v="44250"/>
    <n v="44750"/>
    <n v="51400"/>
    <n v="0"/>
    <n v="130.55779999999999"/>
    <n v="-0.17875765699999999"/>
    <n v="16104"/>
    <n v="26.42"/>
    <n v="8.15"/>
    <n v="84.25"/>
    <n v="12"/>
    <s v="Rp0"/>
    <n v="0"/>
  </r>
  <r>
    <x v="1439"/>
    <n v="44250"/>
    <n v="1655"/>
    <n v="7"/>
    <x v="1"/>
    <n v="5"/>
    <s v="False"/>
    <n v="44607.142857142855"/>
    <n v="46826.666666666664"/>
    <n v="44250"/>
    <n v="44750"/>
    <n v="50900"/>
    <n v="0"/>
    <n v="130.55779999999999"/>
    <n v="-0.17875765699999999"/>
    <n v="16104"/>
    <n v="26.62"/>
    <n v="3.69"/>
    <n v="80.12"/>
    <n v="13"/>
    <s v="Rp0"/>
    <n v="0"/>
  </r>
  <r>
    <x v="1440"/>
    <n v="44250"/>
    <n v="1656"/>
    <n v="7"/>
    <x v="1"/>
    <n v="6"/>
    <s v="False"/>
    <n v="44535.714285714283"/>
    <n v="46626.666666666664"/>
    <n v="44250"/>
    <n v="44750"/>
    <n v="50250"/>
    <n v="0"/>
    <n v="130.55779999999999"/>
    <n v="-0.17875765699999999"/>
    <n v="16104"/>
    <n v="26.53"/>
    <n v="1.62"/>
    <n v="80.95"/>
    <n v="14"/>
    <s v="Rp0"/>
    <n v="0"/>
  </r>
  <r>
    <x v="1441"/>
    <n v="43900"/>
    <n v="1657"/>
    <n v="7"/>
    <x v="1"/>
    <n v="0"/>
    <s v="False"/>
    <n v="44342.857142857145"/>
    <n v="46415"/>
    <n v="44250"/>
    <n v="45250"/>
    <n v="50250"/>
    <n v="-350"/>
    <n v="130.55779999999999"/>
    <n v="-0.17875765699999999"/>
    <n v="16108"/>
    <n v="26.94"/>
    <n v="0.98"/>
    <n v="82.11"/>
    <n v="15"/>
    <s v="-Rp350"/>
    <n v="-0.79"/>
  </r>
  <r>
    <x v="1442"/>
    <n v="42750"/>
    <n v="1658"/>
    <n v="7"/>
    <x v="1"/>
    <n v="1"/>
    <s v="False"/>
    <n v="44057.142857142855"/>
    <n v="46165"/>
    <n v="43900"/>
    <n v="44750"/>
    <n v="50250"/>
    <n v="-1150"/>
    <n v="130.55779999999999"/>
    <n v="-0.17875765699999999"/>
    <n v="16195"/>
    <n v="26.87"/>
    <n v="1.77"/>
    <n v="84.27"/>
    <n v="16"/>
    <s v="-Rp1150"/>
    <n v="-2.62"/>
  </r>
  <r>
    <x v="1443"/>
    <n v="41750"/>
    <n v="1659"/>
    <n v="7"/>
    <x v="1"/>
    <n v="2"/>
    <s v="False"/>
    <n v="43628.571428571428"/>
    <n v="45881.666666666664"/>
    <n v="42750"/>
    <n v="44750"/>
    <n v="50250"/>
    <n v="-1000"/>
    <n v="130.55779999999999"/>
    <n v="-0.17875765699999999"/>
    <n v="16173"/>
    <n v="26.78"/>
    <n v="2.66"/>
    <n v="83.9"/>
    <n v="17"/>
    <s v="-Rp1000"/>
    <n v="-2.34"/>
  </r>
  <r>
    <x v="1444"/>
    <n v="41750"/>
    <n v="1660"/>
    <n v="7"/>
    <x v="1"/>
    <n v="3"/>
    <s v="False"/>
    <n v="43271.428571428572"/>
    <n v="45598.333333333336"/>
    <n v="41750"/>
    <n v="44250"/>
    <n v="50250"/>
    <n v="0"/>
    <n v="130.55779999999999"/>
    <n v="-0.17875765699999999"/>
    <n v="16138"/>
    <n v="26.61"/>
    <n v="2.35"/>
    <n v="82.73"/>
    <n v="18"/>
    <s v="Rp0"/>
    <n v="0"/>
  </r>
  <r>
    <x v="1445"/>
    <n v="40500"/>
    <n v="1661"/>
    <n v="7"/>
    <x v="1"/>
    <n v="4"/>
    <s v="False"/>
    <n v="42735.714285714283"/>
    <n v="45281.666666666664"/>
    <n v="41750"/>
    <n v="44250"/>
    <n v="50000"/>
    <n v="-1250"/>
    <n v="130.55779999999999"/>
    <n v="-0.17875765699999999"/>
    <n v="16185"/>
    <n v="26.56"/>
    <n v="1.62"/>
    <n v="83.43"/>
    <n v="19"/>
    <s v="-Rp1250"/>
    <n v="-2.99"/>
  </r>
  <r>
    <x v="1446"/>
    <n v="40500"/>
    <n v="1662"/>
    <n v="7"/>
    <x v="1"/>
    <n v="5"/>
    <s v="False"/>
    <n v="42200"/>
    <n v="44965"/>
    <n v="40500"/>
    <n v="44250"/>
    <n v="50000"/>
    <n v="0"/>
    <n v="130.55779999999999"/>
    <n v="-0.17875765699999999"/>
    <n v="16185"/>
    <n v="26.81"/>
    <n v="0.84"/>
    <n v="83.83"/>
    <n v="20"/>
    <s v="-Rp1250"/>
    <n v="-2.99"/>
  </r>
  <r>
    <x v="1447"/>
    <n v="40500"/>
    <n v="1663"/>
    <n v="7"/>
    <x v="1"/>
    <n v="6"/>
    <s v="False"/>
    <n v="41664.285714285717"/>
    <n v="44665"/>
    <n v="40500"/>
    <n v="44250"/>
    <n v="49500"/>
    <n v="0"/>
    <n v="130.55779999999999"/>
    <n v="-0.17875765699999999"/>
    <n v="16185"/>
    <n v="26.62"/>
    <n v="2.2599999999999998"/>
    <n v="86.47"/>
    <n v="21"/>
    <s v="-Rp1250"/>
    <n v="-2.99"/>
  </r>
  <r>
    <x v="1448"/>
    <n v="38400"/>
    <n v="1664"/>
    <n v="7"/>
    <x v="1"/>
    <n v="0"/>
    <s v="False"/>
    <n v="40878.571428571428"/>
    <n v="44295"/>
    <n v="40500"/>
    <n v="43900"/>
    <n v="49500"/>
    <n v="-2100"/>
    <n v="130.55779999999999"/>
    <n v="-0.17875765699999999"/>
    <n v="16206"/>
    <n v="26.42"/>
    <n v="2.79"/>
    <n v="85.37"/>
    <n v="22"/>
    <s v="-Rp2100"/>
    <n v="-5.19"/>
  </r>
  <r>
    <x v="1449"/>
    <n v="36250"/>
    <n v="1665"/>
    <n v="7"/>
    <x v="1"/>
    <n v="1"/>
    <s v="False"/>
    <n v="39950"/>
    <n v="43853.333333333336"/>
    <n v="38400"/>
    <n v="42750"/>
    <n v="49500"/>
    <n v="-2150"/>
    <n v="130.55779999999999"/>
    <n v="-0.17875765699999999"/>
    <n v="16220.200199999999"/>
    <n v="26.09"/>
    <n v="11.01"/>
    <n v="88.49"/>
    <n v="23"/>
    <s v="-Rp2150"/>
    <n v="-5.6"/>
  </r>
  <r>
    <x v="1450"/>
    <n v="36150"/>
    <n v="1666"/>
    <n v="7"/>
    <x v="1"/>
    <n v="2"/>
    <s v="False"/>
    <n v="39150"/>
    <n v="43458.333333333336"/>
    <n v="36250"/>
    <n v="41750"/>
    <n v="48000"/>
    <n v="-100"/>
    <n v="130.55779999999999"/>
    <n v="-0.17875765699999999"/>
    <n v="16222"/>
    <n v="26.08"/>
    <n v="10.37"/>
    <n v="85.32"/>
    <n v="24"/>
    <s v="-Rp100"/>
    <n v="-0.28000000000000003"/>
  </r>
  <r>
    <x v="1451"/>
    <n v="33900"/>
    <n v="1667"/>
    <n v="7"/>
    <x v="1"/>
    <n v="3"/>
    <s v="False"/>
    <n v="38028.571428571428"/>
    <n v="43046.666666666664"/>
    <n v="36150"/>
    <n v="41750"/>
    <n v="46250"/>
    <n v="-2250"/>
    <n v="130.55779999999999"/>
    <n v="-0.17875765699999999"/>
    <n v="16246"/>
    <n v="26.43"/>
    <n v="0.47"/>
    <n v="84.17"/>
    <n v="25"/>
    <s v="-Rp2250"/>
    <n v="-6.22"/>
  </r>
  <r>
    <x v="1452"/>
    <n v="34000"/>
    <n v="1668"/>
    <n v="7"/>
    <x v="1"/>
    <n v="4"/>
    <s v="False"/>
    <n v="37100"/>
    <n v="42641.666666666664"/>
    <n v="33900"/>
    <n v="40500"/>
    <n v="46150"/>
    <n v="100"/>
    <n v="130.55779999999999"/>
    <n v="-0.17875765699999999"/>
    <n v="16337.799800000001"/>
    <n v="26.99"/>
    <n v="0.06"/>
    <n v="83.52"/>
    <n v="26"/>
    <s v="Rp100"/>
    <n v="0.28999999999999998"/>
  </r>
  <r>
    <x v="1453"/>
    <n v="34000"/>
    <n v="1669"/>
    <n v="7"/>
    <x v="1"/>
    <n v="5"/>
    <s v="False"/>
    <n v="36171.428571428572"/>
    <n v="42236.666666666664"/>
    <n v="34000"/>
    <n v="40500"/>
    <n v="46150"/>
    <n v="0"/>
    <n v="130.55779999999999"/>
    <n v="-0.17875765699999999"/>
    <n v="16337.799800000001"/>
    <n v="27.28"/>
    <n v="0.06"/>
    <n v="83.89"/>
    <n v="27"/>
    <s v="Rp100"/>
    <n v="0.28999999999999998"/>
  </r>
  <r>
    <x v="1454"/>
    <n v="34000"/>
    <n v="1670"/>
    <n v="7"/>
    <x v="1"/>
    <n v="6"/>
    <s v="False"/>
    <n v="35242.857142857145"/>
    <n v="41840"/>
    <n v="34000"/>
    <n v="40500"/>
    <n v="45900"/>
    <n v="0"/>
    <n v="130.55779999999999"/>
    <n v="-0.17875765699999999"/>
    <n v="16337.799800000001"/>
    <n v="27.26"/>
    <n v="0.37"/>
    <n v="82.89"/>
    <n v="28"/>
    <s v="Rp100"/>
    <n v="0.28999999999999998"/>
  </r>
  <r>
    <x v="1455"/>
    <n v="32400"/>
    <n v="1671"/>
    <n v="7"/>
    <x v="1"/>
    <n v="0"/>
    <s v="False"/>
    <n v="34385.714285714283"/>
    <n v="41390"/>
    <n v="34000"/>
    <n v="38400"/>
    <n v="45900"/>
    <n v="-1600"/>
    <n v="130.55779999999999"/>
    <n v="-0.17875765699999999"/>
    <n v="16283"/>
    <n v="27.31"/>
    <n v="0.43"/>
    <n v="81.95"/>
    <n v="29"/>
    <s v="-Rp1600"/>
    <n v="-4.71"/>
  </r>
  <r>
    <x v="1456"/>
    <n v="29900"/>
    <n v="1672"/>
    <n v="7"/>
    <x v="1"/>
    <n v="1"/>
    <s v="False"/>
    <n v="33478.571428571428"/>
    <n v="40856.666666666664"/>
    <n v="32400"/>
    <n v="36250"/>
    <n v="45900"/>
    <n v="-2500"/>
    <n v="130.55779999999999"/>
    <n v="-0.17875765699999999"/>
    <n v="16301.700199999999"/>
    <n v="26.98"/>
    <n v="0.21"/>
    <n v="83.79"/>
    <n v="30"/>
    <s v="-Rp2500"/>
    <n v="-7.72"/>
  </r>
  <r>
    <x v="1457"/>
    <n v="29400"/>
    <n v="1673"/>
    <n v="7"/>
    <x v="1"/>
    <n v="2"/>
    <s v="False"/>
    <n v="32514.285714285714"/>
    <n v="40315"/>
    <n v="29900"/>
    <n v="36150"/>
    <n v="45650"/>
    <n v="-500"/>
    <n v="130.55779999999999"/>
    <n v="-0.17875765699999999"/>
    <n v="16328.5"/>
    <n v="27.06"/>
    <n v="1.98"/>
    <n v="85.48"/>
    <n v="31"/>
    <s v="-Rp500"/>
    <n v="-1.67"/>
  </r>
  <r>
    <x v="1458"/>
    <n v="29150"/>
    <n v="1674"/>
    <n v="8"/>
    <x v="1"/>
    <n v="3"/>
    <s v="False"/>
    <n v="31835.714285714286"/>
    <n v="39803.333333333336"/>
    <n v="29400"/>
    <n v="33900"/>
    <n v="44500"/>
    <n v="-250"/>
    <n v="130.52090000000001"/>
    <n v="-2.8263343999999999E-2"/>
    <n v="16255"/>
    <n v="26.92"/>
    <n v="0.57999999999999996"/>
    <n v="83.65"/>
    <n v="1"/>
    <s v="-Rp250"/>
    <n v="-0.85"/>
  </r>
  <r>
    <x v="1459"/>
    <n v="30000"/>
    <n v="1675"/>
    <n v="8"/>
    <x v="1"/>
    <n v="4"/>
    <s v="False"/>
    <n v="31264.285714285714"/>
    <n v="39331.666666666664"/>
    <n v="29150"/>
    <n v="34000"/>
    <n v="44150"/>
    <n v="850"/>
    <n v="130.52090000000001"/>
    <n v="-2.8263343999999999E-2"/>
    <n v="16281"/>
    <n v="26.7"/>
    <n v="1.07"/>
    <n v="85.39"/>
    <n v="2"/>
    <s v="Rp850"/>
    <n v="2.92"/>
  </r>
  <r>
    <x v="1460"/>
    <n v="30000"/>
    <n v="1676"/>
    <n v="8"/>
    <x v="1"/>
    <n v="5"/>
    <s v="False"/>
    <n v="30692.857142857141"/>
    <n v="38840"/>
    <n v="30000"/>
    <n v="34000"/>
    <n v="44750"/>
    <n v="0"/>
    <n v="130.52090000000001"/>
    <n v="-2.8263343999999999E-2"/>
    <n v="16281"/>
    <n v="26.86"/>
    <n v="6.68"/>
    <n v="85.21"/>
    <n v="3"/>
    <s v="Rp850"/>
    <n v="2.92"/>
  </r>
  <r>
    <x v="1461"/>
    <n v="30000"/>
    <n v="1677"/>
    <n v="8"/>
    <x v="1"/>
    <n v="6"/>
    <s v="False"/>
    <n v="30121.428571428572"/>
    <n v="38348.333333333336"/>
    <n v="30000"/>
    <n v="34000"/>
    <n v="44750"/>
    <n v="0"/>
    <n v="130.52090000000001"/>
    <n v="-2.8263343999999999E-2"/>
    <n v="16281"/>
    <n v="26.43"/>
    <n v="11.15"/>
    <n v="84.52"/>
    <n v="4"/>
    <s v="Rp850"/>
    <n v="2.92"/>
  </r>
  <r>
    <x v="1462"/>
    <n v="31400"/>
    <n v="1678"/>
    <n v="8"/>
    <x v="1"/>
    <n v="0"/>
    <s v="False"/>
    <n v="29978.571428571428"/>
    <n v="37903.333333333336"/>
    <n v="30000"/>
    <n v="32400"/>
    <n v="44750"/>
    <n v="1400"/>
    <n v="130.52090000000001"/>
    <n v="-2.8263343999999999E-2"/>
    <n v="16012"/>
    <n v="26.11"/>
    <n v="3.63"/>
    <n v="84.74"/>
    <n v="5"/>
    <s v="Rp1400"/>
    <n v="4.67"/>
  </r>
  <r>
    <x v="1463"/>
    <n v="32250"/>
    <n v="1679"/>
    <n v="8"/>
    <x v="1"/>
    <n v="1"/>
    <s v="False"/>
    <n v="30314.285714285714"/>
    <n v="37486.666666666664"/>
    <n v="31400"/>
    <n v="29900"/>
    <n v="44750"/>
    <n v="850"/>
    <n v="130.52090000000001"/>
    <n v="-2.8263343999999999E-2"/>
    <n v="16208"/>
    <n v="26.62"/>
    <n v="1.92"/>
    <n v="83.29"/>
    <n v="6"/>
    <s v="Rp850"/>
    <n v="2.71"/>
  </r>
  <r>
    <x v="1464"/>
    <n v="31400"/>
    <n v="1680"/>
    <n v="8"/>
    <x v="1"/>
    <n v="2"/>
    <s v="False"/>
    <n v="30600"/>
    <n v="37025"/>
    <n v="32250"/>
    <n v="29400"/>
    <n v="45250"/>
    <n v="-850"/>
    <n v="130.52090000000001"/>
    <n v="-2.8263343999999999E-2"/>
    <n v="16152.299800000001"/>
    <n v="26.13"/>
    <n v="9.17"/>
    <n v="87.51"/>
    <n v="7"/>
    <s v="-Rp850"/>
    <n v="-2.64"/>
  </r>
  <r>
    <x v="1465"/>
    <n v="31250"/>
    <n v="1681"/>
    <n v="8"/>
    <x v="1"/>
    <n v="3"/>
    <s v="False"/>
    <n v="30900"/>
    <n v="36575"/>
    <n v="31400"/>
    <n v="29150"/>
    <n v="44750"/>
    <n v="-150"/>
    <n v="130.52090000000001"/>
    <n v="-2.8263343999999999E-2"/>
    <n v="16023"/>
    <n v="26.35"/>
    <n v="1.95"/>
    <n v="86.57"/>
    <n v="8"/>
    <s v="-Rp150"/>
    <n v="-0.48"/>
  </r>
  <r>
    <x v="1466"/>
    <n v="31250"/>
    <n v="1682"/>
    <n v="8"/>
    <x v="1"/>
    <n v="4"/>
    <s v="False"/>
    <n v="31078.571428571428"/>
    <n v="36125"/>
    <n v="31250"/>
    <n v="30000"/>
    <n v="44750"/>
    <n v="0"/>
    <n v="130.52090000000001"/>
    <n v="-2.8263343999999999E-2"/>
    <n v="15979"/>
    <n v="26.84"/>
    <n v="2.99"/>
    <n v="84.74"/>
    <n v="9"/>
    <s v="Rp0"/>
    <n v="0"/>
  </r>
  <r>
    <x v="1467"/>
    <n v="31250"/>
    <n v="1683"/>
    <n v="8"/>
    <x v="1"/>
    <n v="5"/>
    <s v="False"/>
    <n v="31257.142857142859"/>
    <n v="35691.666666666664"/>
    <n v="31250"/>
    <n v="30000"/>
    <n v="44250"/>
    <n v="0"/>
    <n v="130.52090000000001"/>
    <n v="-2.8263343999999999E-2"/>
    <n v="15979"/>
    <n v="26.48"/>
    <n v="2.27"/>
    <n v="84.43"/>
    <n v="10"/>
    <s v="Rp0"/>
    <n v="0"/>
  </r>
  <r>
    <x v="1468"/>
    <n v="31250"/>
    <n v="1684"/>
    <n v="8"/>
    <x v="1"/>
    <n v="6"/>
    <s v="False"/>
    <n v="31435.714285714286"/>
    <n v="35258.333333333336"/>
    <n v="31250"/>
    <n v="30000"/>
    <n v="44250"/>
    <n v="0"/>
    <n v="130.52090000000001"/>
    <n v="-2.8263343999999999E-2"/>
    <n v="15979"/>
    <n v="26.91"/>
    <n v="2.13"/>
    <n v="81.59"/>
    <n v="11"/>
    <s v="Rp0"/>
    <n v="0"/>
  </r>
  <r>
    <x v="1469"/>
    <n v="30750"/>
    <n v="1685"/>
    <n v="8"/>
    <x v="1"/>
    <n v="0"/>
    <s v="False"/>
    <n v="31342.857142857141"/>
    <n v="34808.333333333336"/>
    <n v="31250"/>
    <n v="31400"/>
    <n v="44250"/>
    <n v="-500"/>
    <n v="130.52090000000001"/>
    <n v="-2.8263343999999999E-2"/>
    <n v="15918"/>
    <n v="26.74"/>
    <n v="7.36"/>
    <n v="85.2"/>
    <n v="12"/>
    <s v="-Rp500"/>
    <n v="-1.6"/>
  </r>
  <r>
    <x v="1470"/>
    <n v="27150"/>
    <n v="1686"/>
    <n v="8"/>
    <x v="1"/>
    <n v="1"/>
    <s v="False"/>
    <n v="30614.285714285714"/>
    <n v="34238.333333333336"/>
    <n v="30750"/>
    <n v="32250"/>
    <n v="44250"/>
    <n v="-3600"/>
    <n v="130.52090000000001"/>
    <n v="-2.8263343999999999E-2"/>
    <n v="15949.099609999999"/>
    <n v="26.32"/>
    <n v="11.83"/>
    <n v="85.26"/>
    <n v="13"/>
    <s v="-Rp3600"/>
    <n v="-11.71"/>
  </r>
  <r>
    <x v="1471"/>
    <n v="31150"/>
    <n v="1687"/>
    <n v="8"/>
    <x v="1"/>
    <n v="2"/>
    <s v="False"/>
    <n v="30578.571428571428"/>
    <n v="33813.333333333336"/>
    <n v="27150"/>
    <n v="31400"/>
    <n v="43900"/>
    <n v="4000"/>
    <n v="130.52090000000001"/>
    <n v="-2.8263343999999999E-2"/>
    <n v="15749"/>
    <n v="26.22"/>
    <n v="2.39"/>
    <n v="84.05"/>
    <n v="14"/>
    <s v="Rp4000"/>
    <n v="14.73"/>
  </r>
  <r>
    <x v="1472"/>
    <n v="32150"/>
    <n v="1688"/>
    <n v="8"/>
    <x v="1"/>
    <n v="3"/>
    <s v="False"/>
    <n v="30707.142857142859"/>
    <n v="33460"/>
    <n v="31150"/>
    <n v="31250"/>
    <n v="42750"/>
    <n v="1000"/>
    <n v="130.52090000000001"/>
    <n v="-2.8263343999999999E-2"/>
    <n v="15619.5"/>
    <n v="26.67"/>
    <n v="0.94"/>
    <n v="85.53"/>
    <n v="15"/>
    <s v="Rp1000"/>
    <n v="3.21"/>
  </r>
  <r>
    <x v="1473"/>
    <n v="32150"/>
    <n v="1689"/>
    <n v="8"/>
    <x v="1"/>
    <n v="4"/>
    <s v="False"/>
    <n v="30835.714285714286"/>
    <n v="33140"/>
    <n v="32150"/>
    <n v="31250"/>
    <n v="41750"/>
    <n v="0"/>
    <n v="130.52090000000001"/>
    <n v="-2.8263343999999999E-2"/>
    <n v="15755"/>
    <n v="26.53"/>
    <n v="1.66"/>
    <n v="86.2"/>
    <n v="16"/>
    <s v="Rp0"/>
    <n v="0"/>
  </r>
  <r>
    <x v="1474"/>
    <n v="32150"/>
    <n v="1690"/>
    <n v="8"/>
    <x v="1"/>
    <n v="5"/>
    <s v="True"/>
    <n v="30964.285714285714"/>
    <n v="32820"/>
    <n v="32150"/>
    <n v="31250"/>
    <n v="41750"/>
    <n v="0"/>
    <n v="130.52090000000001"/>
    <n v="-2.8263343999999999E-2"/>
    <n v="15755"/>
    <n v="26.58"/>
    <n v="3.85"/>
    <n v="86.46"/>
    <n v="17"/>
    <s v="Rp0"/>
    <n v="0"/>
  </r>
  <r>
    <x v="1475"/>
    <n v="32150"/>
    <n v="1691"/>
    <n v="8"/>
    <x v="1"/>
    <n v="6"/>
    <s v="False"/>
    <n v="31092.857142857141"/>
    <n v="32541.666666666668"/>
    <n v="32150"/>
    <n v="31250"/>
    <n v="40500"/>
    <n v="0"/>
    <n v="130.52090000000001"/>
    <n v="-2.8263343999999999E-2"/>
    <n v="15755"/>
    <n v="26.78"/>
    <n v="2.4500000000000002"/>
    <n v="84.81"/>
    <n v="18"/>
    <s v="Rp0"/>
    <n v="0"/>
  </r>
  <r>
    <x v="1476"/>
    <n v="30900"/>
    <n v="1692"/>
    <n v="8"/>
    <x v="1"/>
    <n v="0"/>
    <s v="False"/>
    <n v="31114.285714285714"/>
    <n v="32221.666666666668"/>
    <n v="32150"/>
    <n v="30750"/>
    <n v="40500"/>
    <n v="-1250"/>
    <n v="130.52090000000001"/>
    <n v="-2.8263343999999999E-2"/>
    <n v="15683"/>
    <n v="26.68"/>
    <n v="1.44"/>
    <n v="86.52"/>
    <n v="19"/>
    <s v="-Rp1250"/>
    <n v="-3.89"/>
  </r>
  <r>
    <x v="1477"/>
    <n v="30650"/>
    <n v="1693"/>
    <n v="8"/>
    <x v="1"/>
    <n v="1"/>
    <s v="False"/>
    <n v="31614.285714285714"/>
    <n v="31893.333333333332"/>
    <n v="30900"/>
    <n v="27150"/>
    <n v="40500"/>
    <n v="-250"/>
    <n v="130.52090000000001"/>
    <n v="-2.8263343999999999E-2"/>
    <n v="15523"/>
    <n v="26.45"/>
    <n v="3.94"/>
    <n v="88.19"/>
    <n v="20"/>
    <s v="-Rp250"/>
    <n v="-0.81"/>
  </r>
  <r>
    <x v="1478"/>
    <n v="30400"/>
    <n v="1694"/>
    <n v="8"/>
    <x v="1"/>
    <n v="2"/>
    <s v="False"/>
    <n v="31507.142857142859"/>
    <n v="31626.666666666668"/>
    <n v="30650"/>
    <n v="31150"/>
    <n v="38400"/>
    <n v="-250"/>
    <n v="130.52090000000001"/>
    <n v="-2.8263343999999999E-2"/>
    <n v="15442"/>
    <n v="26.43"/>
    <n v="8.6"/>
    <n v="84.43"/>
    <n v="21"/>
    <s v="-Rp250"/>
    <n v="-0.82"/>
  </r>
  <r>
    <x v="1479"/>
    <n v="30400"/>
    <n v="1695"/>
    <n v="8"/>
    <x v="1"/>
    <n v="3"/>
    <s v="False"/>
    <n v="31257.142857142859"/>
    <n v="31431.666666666668"/>
    <n v="30400"/>
    <n v="32150"/>
    <n v="36250"/>
    <n v="0"/>
    <n v="130.52090000000001"/>
    <n v="-2.8263343999999999E-2"/>
    <n v="15484"/>
    <n v="26.59"/>
    <n v="5.16"/>
    <n v="81.59"/>
    <n v="22"/>
    <s v="Rp0"/>
    <n v="0"/>
  </r>
  <r>
    <x v="1480"/>
    <n v="30400"/>
    <n v="1696"/>
    <n v="8"/>
    <x v="1"/>
    <n v="4"/>
    <s v="False"/>
    <n v="31007.142857142859"/>
    <n v="31240"/>
    <n v="30400"/>
    <n v="32150"/>
    <n v="36150"/>
    <n v="0"/>
    <n v="130.52090000000001"/>
    <n v="-2.8263343999999999E-2"/>
    <n v="15728.5"/>
    <n v="26.86"/>
    <n v="2.73"/>
    <n v="83.32"/>
    <n v="23"/>
    <s v="Rp0"/>
    <n v="0"/>
  </r>
  <r>
    <x v="1481"/>
    <n v="30150"/>
    <n v="1699"/>
    <n v="8"/>
    <x v="1"/>
    <n v="0"/>
    <s v="False"/>
    <m/>
    <m/>
    <m/>
    <n v="30900"/>
    <n v="34000"/>
    <m/>
    <n v="130.52090000000001"/>
    <n v="-2.8263343999999999E-2"/>
    <n v="15377.200199999999"/>
    <n v="27.21"/>
    <n v="3.34"/>
    <n v="82.65"/>
    <n v="26"/>
    <m/>
    <n v="0"/>
  </r>
  <r>
    <x v="1482"/>
    <n v="29900"/>
    <n v="1700"/>
    <n v="8"/>
    <x v="1"/>
    <n v="1"/>
    <s v="False"/>
    <m/>
    <m/>
    <n v="30150"/>
    <n v="30650"/>
    <n v="34000"/>
    <n v="-250"/>
    <n v="130.52090000000001"/>
    <n v="-2.8263343999999999E-2"/>
    <n v="15462.599609999999"/>
    <n v="27.48"/>
    <n v="2.08"/>
    <n v="78.569999999999993"/>
    <n v="27"/>
    <s v="-Rp250"/>
    <n v="-0.83"/>
  </r>
  <r>
    <x v="1483"/>
    <n v="30400"/>
    <n v="1701"/>
    <n v="8"/>
    <x v="1"/>
    <n v="2"/>
    <s v="False"/>
    <m/>
    <m/>
    <n v="29900"/>
    <n v="30400"/>
    <n v="32400"/>
    <n v="500"/>
    <n v="130.52090000000001"/>
    <n v="-2.8263343999999999E-2"/>
    <n v="15467.099609999999"/>
    <n v="27.72"/>
    <n v="3.07"/>
    <n v="79.67"/>
    <n v="28"/>
    <s v="Rp500"/>
    <n v="1.67"/>
  </r>
  <r>
    <x v="1484"/>
    <n v="30400"/>
    <n v="1702"/>
    <n v="8"/>
    <x v="1"/>
    <n v="3"/>
    <s v="False"/>
    <m/>
    <m/>
    <n v="30400"/>
    <n v="30400"/>
    <n v="29900"/>
    <n v="0"/>
    <n v="130.52090000000001"/>
    <n v="-2.8263343999999999E-2"/>
    <n v="15440"/>
    <n v="27.03"/>
    <n v="6.22"/>
    <n v="78.44"/>
    <n v="29"/>
    <s v="Rp0"/>
    <n v="0"/>
  </r>
  <r>
    <x v="1485"/>
    <n v="30150"/>
    <n v="1703"/>
    <n v="8"/>
    <x v="1"/>
    <n v="4"/>
    <s v="False"/>
    <m/>
    <m/>
    <n v="30400"/>
    <n v="30400"/>
    <n v="29400"/>
    <n v="-250"/>
    <n v="130.52090000000001"/>
    <n v="-2.8263343999999999E-2"/>
    <n v="15444.799800000001"/>
    <n v="26.7"/>
    <n v="15.49"/>
    <n v="79.849999999999994"/>
    <n v="30"/>
    <s v="-Rp250"/>
    <n v="-0.82"/>
  </r>
  <r>
    <x v="1486"/>
    <n v="30150"/>
    <n v="1704"/>
    <n v="8"/>
    <x v="1"/>
    <n v="5"/>
    <s v="False"/>
    <m/>
    <m/>
    <n v="30150"/>
    <m/>
    <n v="29150"/>
    <n v="0"/>
    <n v="130.52090000000001"/>
    <n v="-2.8263343999999999E-2"/>
    <n v="15444.799800000001"/>
    <n v="26.66"/>
    <n v="7.27"/>
    <n v="82.34"/>
    <n v="31"/>
    <s v="-Rp250"/>
    <n v="-0.82"/>
  </r>
  <r>
    <x v="1487"/>
    <n v="30150"/>
    <n v="1705"/>
    <n v="9"/>
    <x v="1"/>
    <n v="6"/>
    <s v="False"/>
    <n v="30185.714285714286"/>
    <m/>
    <n v="30150"/>
    <m/>
    <n v="30000"/>
    <n v="0"/>
    <n v="130.36089999999999"/>
    <n v="-0.122585731"/>
    <n v="15444.799800000001"/>
    <n v="26.88"/>
    <n v="1.58"/>
    <n v="83.62"/>
    <n v="1"/>
    <s v="-Rp250"/>
    <n v="-0.82"/>
  </r>
  <r>
    <x v="1488"/>
    <n v="30150"/>
    <n v="1706"/>
    <n v="9"/>
    <x v="1"/>
    <n v="0"/>
    <s v="False"/>
    <n v="30185.714285714286"/>
    <m/>
    <n v="30150"/>
    <n v="30150"/>
    <n v="30000"/>
    <n v="0"/>
    <n v="130.36089999999999"/>
    <n v="-0.122585731"/>
    <n v="15525"/>
    <n v="26.73"/>
    <n v="1.25"/>
    <n v="83.26"/>
    <n v="2"/>
    <s v="Rp0"/>
    <n v="0"/>
  </r>
  <r>
    <x v="1489"/>
    <n v="30150"/>
    <n v="1707"/>
    <n v="9"/>
    <x v="1"/>
    <n v="1"/>
    <s v="False"/>
    <n v="30221.428571428572"/>
    <m/>
    <n v="30150"/>
    <n v="29900"/>
    <n v="30000"/>
    <n v="0"/>
    <n v="130.36089999999999"/>
    <n v="-0.122585731"/>
    <n v="15520.099609999999"/>
    <n v="26.57"/>
    <n v="1.44"/>
    <n v="84.53"/>
    <n v="3"/>
    <s v="Rp0"/>
    <n v="0"/>
  </r>
  <r>
    <x v="1490"/>
    <n v="30150"/>
    <n v="1708"/>
    <n v="9"/>
    <x v="1"/>
    <n v="2"/>
    <s v="False"/>
    <n v="30185.714285714286"/>
    <m/>
    <n v="30150"/>
    <n v="30400"/>
    <n v="31400"/>
    <n v="0"/>
    <n v="130.36089999999999"/>
    <n v="-0.122585731"/>
    <n v="15532.900390000001"/>
    <n v="27.31"/>
    <n v="0.52"/>
    <n v="77.38"/>
    <n v="4"/>
    <s v="Rp0"/>
    <n v="0"/>
  </r>
  <r>
    <x v="1491"/>
    <n v="29900"/>
    <n v="1709"/>
    <n v="9"/>
    <x v="1"/>
    <n v="3"/>
    <s v="False"/>
    <n v="30114.285714285714"/>
    <m/>
    <n v="30150"/>
    <n v="30400"/>
    <n v="32250"/>
    <n v="-250"/>
    <n v="130.36089999999999"/>
    <n v="-0.122585731"/>
    <n v="15444.400390000001"/>
    <n v="27.47"/>
    <n v="0.7"/>
    <n v="80.63"/>
    <n v="5"/>
    <s v="-Rp250"/>
    <n v="-0.83"/>
  </r>
  <r>
    <x v="1492"/>
    <n v="30150"/>
    <n v="1710"/>
    <n v="9"/>
    <x v="1"/>
    <n v="4"/>
    <s v="False"/>
    <n v="30114.285714285714"/>
    <m/>
    <n v="29900"/>
    <n v="30150"/>
    <n v="31400"/>
    <n v="250"/>
    <n v="130.36089999999999"/>
    <n v="-0.122585731"/>
    <n v="15417"/>
    <n v="27.32"/>
    <n v="1.17"/>
    <n v="84.65"/>
    <n v="6"/>
    <s v="Rp250"/>
    <n v="0.84"/>
  </r>
  <r>
    <x v="1493"/>
    <n v="30150"/>
    <n v="1711"/>
    <n v="9"/>
    <x v="1"/>
    <n v="5"/>
    <s v="False"/>
    <n v="30114.285714285714"/>
    <m/>
    <n v="30150"/>
    <n v="30150"/>
    <n v="31250"/>
    <n v="0"/>
    <n v="130.36089999999999"/>
    <n v="-0.122585731"/>
    <n v="15417"/>
    <n v="27.07"/>
    <n v="0.82"/>
    <n v="85.55"/>
    <n v="7"/>
    <s v="Rp250"/>
    <n v="0.84"/>
  </r>
  <r>
    <x v="1494"/>
    <n v="30150"/>
    <n v="1712"/>
    <n v="9"/>
    <x v="1"/>
    <n v="6"/>
    <s v="False"/>
    <n v="30114.285714285714"/>
    <m/>
    <n v="30150"/>
    <n v="30150"/>
    <n v="31250"/>
    <n v="0"/>
    <n v="130.36089999999999"/>
    <n v="-0.122585731"/>
    <n v="15417"/>
    <n v="27.33"/>
    <n v="1.71"/>
    <n v="82.75"/>
    <n v="8"/>
    <s v="Rp250"/>
    <n v="0.84"/>
  </r>
  <r>
    <x v="1495"/>
    <n v="31150"/>
    <n v="1713"/>
    <n v="9"/>
    <x v="1"/>
    <n v="0"/>
    <s v="False"/>
    <n v="30257.142857142859"/>
    <m/>
    <n v="30150"/>
    <n v="30150"/>
    <n v="31250"/>
    <n v="1000"/>
    <n v="130.36089999999999"/>
    <n v="-0.122585731"/>
    <n v="15405"/>
    <n v="27.41"/>
    <n v="4.26"/>
    <n v="83.4"/>
    <n v="9"/>
    <s v="Rp1000"/>
    <n v="3.32"/>
  </r>
  <r>
    <x v="1496"/>
    <n v="32150"/>
    <n v="1714"/>
    <n v="9"/>
    <x v="1"/>
    <n v="1"/>
    <s v="False"/>
    <n v="30542.857142857141"/>
    <m/>
    <n v="31150"/>
    <n v="30150"/>
    <n v="31250"/>
    <n v="1000"/>
    <n v="130.36089999999999"/>
    <n v="-0.122585731"/>
    <n v="15456.799800000001"/>
    <n v="27.38"/>
    <n v="5.05"/>
    <n v="76.78"/>
    <n v="10"/>
    <s v="Rp1000"/>
    <n v="3.21"/>
  </r>
  <r>
    <x v="1497"/>
    <n v="33250"/>
    <n v="1715"/>
    <n v="9"/>
    <x v="1"/>
    <n v="2"/>
    <s v="False"/>
    <n v="30985.714285714286"/>
    <m/>
    <n v="32150"/>
    <n v="30150"/>
    <n v="30750"/>
    <n v="1100"/>
    <n v="130.36089999999999"/>
    <n v="-0.122585731"/>
    <n v="15489"/>
    <n v="27.4"/>
    <n v="0.03"/>
    <n v="75.930000000000007"/>
    <n v="11"/>
    <s v="Rp1100"/>
    <n v="3.42"/>
  </r>
  <r>
    <x v="1498"/>
    <n v="35400"/>
    <n v="1716"/>
    <n v="9"/>
    <x v="1"/>
    <n v="3"/>
    <s v="False"/>
    <n v="31771.428571428572"/>
    <m/>
    <n v="33250"/>
    <n v="29900"/>
    <n v="27150"/>
    <n v="2150"/>
    <n v="130.36089999999999"/>
    <n v="-0.122585731"/>
    <n v="15437"/>
    <n v="27.39"/>
    <n v="7.0000000000000007E-2"/>
    <n v="75.83"/>
    <n v="12"/>
    <s v="Rp2150"/>
    <n v="6.47"/>
  </r>
  <r>
    <x v="1499"/>
    <n v="35400"/>
    <n v="1717"/>
    <n v="9"/>
    <x v="1"/>
    <n v="4"/>
    <s v="False"/>
    <n v="32521.428571428572"/>
    <m/>
    <n v="35400"/>
    <n v="30150"/>
    <n v="31150"/>
    <n v="0"/>
    <n v="130.36089999999999"/>
    <n v="-0.122585731"/>
    <n v="15418.700199999999"/>
    <n v="27.22"/>
    <n v="0.21"/>
    <n v="79.58"/>
    <n v="13"/>
    <s v="Rp0"/>
    <n v="0"/>
  </r>
  <r>
    <x v="1500"/>
    <n v="35400"/>
    <n v="1718"/>
    <n v="9"/>
    <x v="1"/>
    <n v="5"/>
    <s v="False"/>
    <n v="33271.428571428572"/>
    <m/>
    <n v="35400"/>
    <n v="30150"/>
    <n v="32150"/>
    <n v="0"/>
    <n v="130.36089999999999"/>
    <n v="-0.122585731"/>
    <n v="15418.700199999999"/>
    <n v="26.87"/>
    <n v="0.39"/>
    <n v="79.78"/>
    <n v="14"/>
    <s v="Rp0"/>
    <n v="0"/>
  </r>
  <r>
    <x v="1501"/>
    <n v="35400"/>
    <n v="1719"/>
    <n v="9"/>
    <x v="1"/>
    <n v="6"/>
    <s v="False"/>
    <n v="34021.428571428572"/>
    <m/>
    <n v="35400"/>
    <n v="30150"/>
    <n v="32150"/>
    <n v="0"/>
    <n v="130.36089999999999"/>
    <n v="-0.122585731"/>
    <n v="15418.700199999999"/>
    <n v="27.06"/>
    <n v="0.15"/>
    <n v="77.7"/>
    <n v="15"/>
    <s v="Rp0"/>
    <n v="0"/>
  </r>
  <r>
    <x v="1502"/>
    <n v="35400"/>
    <n v="1720"/>
    <n v="9"/>
    <x v="1"/>
    <n v="0"/>
    <s v="True"/>
    <n v="34628.571428571428"/>
    <m/>
    <n v="35400"/>
    <n v="31150"/>
    <n v="32150"/>
    <n v="0"/>
    <n v="130.36089999999999"/>
    <n v="-0.122585731"/>
    <n v="15393"/>
    <n v="27.46"/>
    <n v="0.08"/>
    <n v="77.91"/>
    <n v="16"/>
    <s v="Rp0"/>
    <n v="0"/>
  </r>
  <r>
    <x v="1503"/>
    <n v="34650"/>
    <n v="1721"/>
    <n v="9"/>
    <x v="1"/>
    <n v="1"/>
    <s v="False"/>
    <n v="34985.714285714283"/>
    <m/>
    <n v="35400"/>
    <n v="32150"/>
    <n v="32150"/>
    <n v="-750"/>
    <n v="130.36089999999999"/>
    <n v="-0.122585731"/>
    <n v="15385"/>
    <n v="27.34"/>
    <n v="0.56999999999999995"/>
    <n v="80.42"/>
    <n v="17"/>
    <s v="-Rp750"/>
    <n v="-2.12"/>
  </r>
  <r>
    <x v="1504"/>
    <n v="34400"/>
    <n v="1722"/>
    <n v="9"/>
    <x v="1"/>
    <n v="2"/>
    <s v="False"/>
    <n v="35150"/>
    <m/>
    <n v="34650"/>
    <n v="33250"/>
    <n v="30900"/>
    <n v="-250"/>
    <n v="130.36089999999999"/>
    <n v="-0.122585731"/>
    <n v="15345"/>
    <n v="27.38"/>
    <n v="1.54"/>
    <n v="83.97"/>
    <n v="18"/>
    <s v="-Rp250"/>
    <n v="-0.72"/>
  </r>
  <r>
    <x v="1505"/>
    <n v="34400"/>
    <n v="1723"/>
    <n v="9"/>
    <x v="1"/>
    <n v="3"/>
    <s v="False"/>
    <n v="35007.142857142855"/>
    <m/>
    <n v="34400"/>
    <n v="35400"/>
    <n v="30650"/>
    <n v="0"/>
    <n v="130.36089999999999"/>
    <n v="-0.122585731"/>
    <n v="15300.200199999999"/>
    <n v="26.73"/>
    <n v="4.1100000000000003"/>
    <n v="80.59"/>
    <n v="19"/>
    <s v="Rp0"/>
    <n v="0"/>
  </r>
  <r>
    <x v="1506"/>
    <n v="34400"/>
    <n v="1724"/>
    <n v="9"/>
    <x v="1"/>
    <n v="4"/>
    <s v="False"/>
    <n v="34864.285714285717"/>
    <m/>
    <n v="34400"/>
    <n v="35400"/>
    <n v="30400"/>
    <n v="0"/>
    <n v="130.36089999999999"/>
    <n v="-0.122585731"/>
    <n v="15197.599609999999"/>
    <n v="26.7"/>
    <n v="4.47"/>
    <n v="83.44"/>
    <n v="20"/>
    <s v="Rp0"/>
    <n v="0"/>
  </r>
  <r>
    <x v="1507"/>
    <n v="34400"/>
    <n v="1725"/>
    <n v="9"/>
    <x v="1"/>
    <n v="5"/>
    <s v="False"/>
    <n v="34721.428571428572"/>
    <m/>
    <n v="34400"/>
    <n v="35400"/>
    <n v="30400"/>
    <n v="0"/>
    <n v="130.36089999999999"/>
    <n v="-0.122585731"/>
    <n v="15197.599609999999"/>
    <n v="27.52"/>
    <n v="1.28"/>
    <n v="78.28"/>
    <n v="21"/>
    <s v="Rp0"/>
    <n v="0"/>
  </r>
  <r>
    <x v="1508"/>
    <n v="34400"/>
    <n v="1726"/>
    <n v="9"/>
    <x v="1"/>
    <n v="6"/>
    <s v="False"/>
    <n v="34578.571428571428"/>
    <m/>
    <n v="34400"/>
    <n v="35400"/>
    <n v="30400"/>
    <n v="0"/>
    <n v="130.36089999999999"/>
    <n v="-0.122585731"/>
    <n v="15197.599609999999"/>
    <n v="27.73"/>
    <n v="0.57999999999999996"/>
    <n v="78.12"/>
    <n v="22"/>
    <s v="Rp0"/>
    <n v="0"/>
  </r>
  <r>
    <x v="1509"/>
    <n v="34750"/>
    <n v="1727"/>
    <n v="9"/>
    <x v="1"/>
    <n v="0"/>
    <s v="False"/>
    <n v="34485.714285714283"/>
    <m/>
    <n v="34400"/>
    <n v="35400"/>
    <m/>
    <n v="350"/>
    <n v="130.36089999999999"/>
    <n v="-0.122585731"/>
    <n v="15154"/>
    <n v="27.76"/>
    <n v="1.55"/>
    <n v="77.209999999999994"/>
    <n v="23"/>
    <s v="Rp350"/>
    <n v="1.02"/>
  </r>
  <r>
    <x v="1510"/>
    <n v="35150"/>
    <n v="1728"/>
    <n v="9"/>
    <x v="1"/>
    <n v="1"/>
    <s v="False"/>
    <n v="34557.142857142855"/>
    <n v="32406.666666666668"/>
    <n v="34750"/>
    <n v="34650"/>
    <m/>
    <n v="400"/>
    <n v="130.36089999999999"/>
    <n v="-0.122585731"/>
    <n v="15174.099609999999"/>
    <n v="28.14"/>
    <n v="1.45"/>
    <n v="74.010000000000005"/>
    <n v="24"/>
    <s v="Rp400"/>
    <n v="1.1499999999999999"/>
  </r>
  <r>
    <x v="1511"/>
    <n v="35250"/>
    <n v="1729"/>
    <n v="9"/>
    <x v="1"/>
    <n v="2"/>
    <s v="False"/>
    <n v="34678.571428571428"/>
    <n v="32576.666666666668"/>
    <n v="35150"/>
    <n v="34400"/>
    <n v="30150"/>
    <n v="100"/>
    <n v="130.36089999999999"/>
    <n v="-0.122585731"/>
    <n v="15121.099609999999"/>
    <n v="28.01"/>
    <n v="2.29"/>
    <n v="78.8"/>
    <n v="25"/>
    <s v="Rp100"/>
    <n v="0.28000000000000003"/>
  </r>
  <r>
    <x v="1512"/>
    <n v="35250"/>
    <n v="1730"/>
    <n v="9"/>
    <x v="1"/>
    <n v="3"/>
    <s v="False"/>
    <n v="34800"/>
    <n v="32755"/>
    <n v="35250"/>
    <n v="34400"/>
    <n v="29900"/>
    <n v="0"/>
    <n v="130.36089999999999"/>
    <n v="-0.122585731"/>
    <n v="15201.5"/>
    <n v="27.65"/>
    <n v="3.08"/>
    <n v="79.7"/>
    <n v="26"/>
    <s v="Rp0"/>
    <n v="0"/>
  </r>
  <r>
    <x v="1513"/>
    <n v="35500"/>
    <n v="1731"/>
    <n v="9"/>
    <x v="1"/>
    <n v="4"/>
    <s v="False"/>
    <n v="34957.142857142855"/>
    <n v="32925"/>
    <n v="35250"/>
    <n v="34400"/>
    <n v="30400"/>
    <n v="250"/>
    <n v="130.36089999999999"/>
    <n v="-0.122585731"/>
    <n v="15070"/>
    <n v="27.4"/>
    <n v="4.4000000000000004"/>
    <n v="73.78"/>
    <n v="27"/>
    <s v="Rp250"/>
    <n v="0.71"/>
  </r>
  <r>
    <x v="1514"/>
    <n v="35500"/>
    <n v="1732"/>
    <n v="9"/>
    <x v="1"/>
    <n v="5"/>
    <s v="False"/>
    <n v="35114.285714285717"/>
    <n v="33095"/>
    <n v="35500"/>
    <n v="34400"/>
    <n v="30400"/>
    <n v="0"/>
    <n v="130.36089999999999"/>
    <n v="-0.122585731"/>
    <n v="15070"/>
    <n v="27.08"/>
    <n v="4.51"/>
    <n v="79.959999999999994"/>
    <n v="28"/>
    <s v="Rp250"/>
    <n v="0.71"/>
  </r>
  <r>
    <x v="1515"/>
    <n v="35500"/>
    <n v="1733"/>
    <n v="9"/>
    <x v="1"/>
    <n v="6"/>
    <s v="False"/>
    <n v="35271.428571428572"/>
    <n v="33273.333333333336"/>
    <n v="35500"/>
    <n v="34400"/>
    <n v="30150"/>
    <n v="0"/>
    <n v="130.36089999999999"/>
    <n v="-0.122585731"/>
    <n v="15070"/>
    <n v="27.61"/>
    <n v="2.0499999999999998"/>
    <n v="83.43"/>
    <n v="29"/>
    <s v="Rp250"/>
    <n v="0.71"/>
  </r>
  <r>
    <x v="1516"/>
    <n v="35000"/>
    <n v="1734"/>
    <n v="9"/>
    <x v="1"/>
    <n v="0"/>
    <s v="False"/>
    <n v="35307.142857142855"/>
    <n v="33435"/>
    <n v="35500"/>
    <n v="34750"/>
    <n v="30150"/>
    <n v="-500"/>
    <n v="130.36089999999999"/>
    <n v="-0.122585731"/>
    <n v="15118"/>
    <n v="27.64"/>
    <n v="4.43"/>
    <n v="81.17"/>
    <n v="30"/>
    <s v="-Rp500"/>
    <n v="-1.41"/>
  </r>
  <r>
    <x v="1517"/>
    <n v="35500"/>
    <n v="1735"/>
    <n v="10"/>
    <x v="0"/>
    <n v="1"/>
    <s v="False"/>
    <n v="35357.142857142855"/>
    <n v="33613.333333333336"/>
    <n v="35000"/>
    <n v="35150"/>
    <n v="30150"/>
    <n v="500"/>
    <n v="130.45930000000001"/>
    <n v="7.5482755999999998E-2"/>
    <n v="15170.599609999999"/>
    <n v="27.19"/>
    <n v="3.02"/>
    <n v="80.81"/>
    <n v="1"/>
    <s v="Rp500"/>
    <n v="1.43"/>
  </r>
  <r>
    <x v="1518"/>
    <n v="34500"/>
    <n v="1736"/>
    <n v="10"/>
    <x v="0"/>
    <n v="2"/>
    <s v="False"/>
    <n v="35250"/>
    <n v="33758.333333333336"/>
    <n v="35500"/>
    <n v="35250"/>
    <n v="30150"/>
    <n v="-1000"/>
    <n v="130.45930000000001"/>
    <n v="7.5482755999999998E-2"/>
    <n v="15260.599609999999"/>
    <n v="27.66"/>
    <n v="5.45"/>
    <n v="74.75"/>
    <n v="2"/>
    <s v="-Rp1000"/>
    <n v="-2.82"/>
  </r>
  <r>
    <x v="1519"/>
    <n v="35150"/>
    <n v="1737"/>
    <n v="10"/>
    <x v="0"/>
    <n v="3"/>
    <s v="False"/>
    <n v="35235.714285714283"/>
    <n v="33925"/>
    <n v="34500"/>
    <n v="35250"/>
    <n v="30150"/>
    <n v="650"/>
    <n v="130.45930000000001"/>
    <n v="7.5482755999999998E-2"/>
    <n v="15324"/>
    <n v="27.34"/>
    <n v="3.06"/>
    <n v="80.48"/>
    <n v="3"/>
    <s v="Rp650"/>
    <n v="1.88"/>
  </r>
  <r>
    <x v="1520"/>
    <n v="35150"/>
    <n v="1738"/>
    <n v="10"/>
    <x v="0"/>
    <n v="4"/>
    <s v="False"/>
    <n v="35185.714285714283"/>
    <n v="34091.666666666664"/>
    <n v="35150"/>
    <n v="35500"/>
    <n v="30150"/>
    <n v="0"/>
    <n v="130.45930000000001"/>
    <n v="7.5482755999999998E-2"/>
    <n v="15457"/>
    <n v="27.12"/>
    <n v="6.05"/>
    <n v="83.47"/>
    <n v="4"/>
    <s v="Rp0"/>
    <n v="0"/>
  </r>
  <r>
    <x v="1521"/>
    <n v="35150"/>
    <n v="1739"/>
    <n v="10"/>
    <x v="0"/>
    <n v="5"/>
    <s v="False"/>
    <n v="35135.714285714283"/>
    <n v="34266.666666666664"/>
    <n v="35150"/>
    <n v="35500"/>
    <n v="29900"/>
    <n v="0"/>
    <n v="130.45930000000001"/>
    <n v="7.5482755999999998E-2"/>
    <n v="15457"/>
    <n v="27.7"/>
    <n v="3.67"/>
    <n v="79.28"/>
    <n v="5"/>
    <s v="Rp0"/>
    <n v="0"/>
  </r>
  <r>
    <x v="1522"/>
    <n v="35150"/>
    <n v="1740"/>
    <n v="10"/>
    <x v="0"/>
    <n v="6"/>
    <s v="False"/>
    <n v="35085.714285714283"/>
    <n v="34433.333333333336"/>
    <n v="35150"/>
    <n v="35500"/>
    <n v="30150"/>
    <n v="0"/>
    <n v="130.45930000000001"/>
    <n v="7.5482755999999998E-2"/>
    <n v="15457"/>
    <n v="27.76"/>
    <n v="6.32"/>
    <n v="79.48"/>
    <n v="6"/>
    <s v="Rp0"/>
    <n v="0"/>
  </r>
  <r>
    <x v="1523"/>
    <n v="36000"/>
    <n v="1741"/>
    <n v="10"/>
    <x v="0"/>
    <n v="0"/>
    <s v="False"/>
    <n v="35228.571428571428"/>
    <n v="34628.333333333336"/>
    <n v="35150"/>
    <n v="35000"/>
    <n v="30150"/>
    <n v="850"/>
    <n v="130.45930000000001"/>
    <n v="7.5482755999999998E-2"/>
    <n v="15650"/>
    <n v="27.41"/>
    <n v="16.75"/>
    <n v="82.74"/>
    <n v="7"/>
    <s v="Rp850"/>
    <n v="2.42"/>
  </r>
  <r>
    <x v="1524"/>
    <n v="36000"/>
    <n v="1742"/>
    <n v="10"/>
    <x v="0"/>
    <n v="1"/>
    <s v="False"/>
    <n v="35300"/>
    <n v="34823.333333333336"/>
    <n v="36000"/>
    <n v="35500"/>
    <n v="30150"/>
    <n v="0"/>
    <n v="130.45930000000001"/>
    <n v="7.5482755999999998E-2"/>
    <n v="15744"/>
    <n v="27.43"/>
    <n v="1.29"/>
    <n v="80.61"/>
    <n v="8"/>
    <s v="Rp0"/>
    <n v="0"/>
  </r>
  <r>
    <x v="1525"/>
    <n v="36000"/>
    <n v="1743"/>
    <n v="10"/>
    <x v="0"/>
    <n v="2"/>
    <s v="False"/>
    <n v="35514.285714285717"/>
    <n v="34985"/>
    <n v="36000"/>
    <n v="34500"/>
    <n v="31150"/>
    <n v="0"/>
    <n v="130.45930000000001"/>
    <n v="7.5482755999999998E-2"/>
    <n v="15682.400390000001"/>
    <n v="27.59"/>
    <n v="3.9"/>
    <n v="81.55"/>
    <n v="9"/>
    <s v="Rp0"/>
    <n v="0"/>
  </r>
  <r>
    <x v="1526"/>
    <n v="36000"/>
    <n v="1744"/>
    <n v="10"/>
    <x v="0"/>
    <n v="3"/>
    <s v="False"/>
    <n v="35635.714285714283"/>
    <n v="35113.333333333336"/>
    <n v="36000"/>
    <n v="35150"/>
    <n v="32150"/>
    <n v="0"/>
    <n v="130.45930000000001"/>
    <n v="7.5482755999999998E-2"/>
    <n v="15664.599609999999"/>
    <n v="27.59"/>
    <n v="1.84"/>
    <n v="81.56"/>
    <n v="10"/>
    <s v="Rp0"/>
    <n v="0"/>
  </r>
  <r>
    <x v="1527"/>
    <n v="35000"/>
    <n v="1745"/>
    <n v="10"/>
    <x v="0"/>
    <n v="4"/>
    <s v="False"/>
    <n v="35614.285714285717"/>
    <n v="35171.666666666664"/>
    <n v="36000"/>
    <n v="35150"/>
    <n v="33250"/>
    <n v="-1000"/>
    <n v="130.45930000000001"/>
    <n v="7.5482755999999998E-2"/>
    <n v="15670.900390000001"/>
    <n v="27.68"/>
    <n v="5.5"/>
    <n v="81.540000000000006"/>
    <n v="11"/>
    <s v="-Rp1000"/>
    <n v="-2.78"/>
  </r>
  <r>
    <x v="1528"/>
    <n v="35000"/>
    <n v="1746"/>
    <n v="10"/>
    <x v="0"/>
    <n v="5"/>
    <s v="False"/>
    <n v="35592.857142857145"/>
    <n v="35158.333333333336"/>
    <n v="35000"/>
    <n v="35150"/>
    <n v="35400"/>
    <n v="0"/>
    <n v="130.45930000000001"/>
    <n v="7.5482755999999998E-2"/>
    <n v="15670.900390000001"/>
    <n v="27.49"/>
    <n v="12.15"/>
    <n v="84.06"/>
    <n v="12"/>
    <s v="-Rp1000"/>
    <n v="-2.78"/>
  </r>
  <r>
    <x v="1529"/>
    <n v="35000"/>
    <n v="1747"/>
    <n v="10"/>
    <x v="0"/>
    <n v="6"/>
    <s v="False"/>
    <n v="35571.428571428572"/>
    <n v="35145"/>
    <n v="35000"/>
    <n v="35150"/>
    <n v="35400"/>
    <n v="0"/>
    <n v="130.45930000000001"/>
    <n v="7.5482755999999998E-2"/>
    <n v="15670.900390000001"/>
    <n v="27.48"/>
    <n v="1.44"/>
    <n v="83.38"/>
    <n v="13"/>
    <s v="-Rp1000"/>
    <n v="-2.78"/>
  </r>
  <r>
    <x v="1530"/>
    <n v="35900"/>
    <n v="1748"/>
    <n v="10"/>
    <x v="0"/>
    <n v="0"/>
    <s v="False"/>
    <n v="35557.142857142855"/>
    <n v="35161.666666666664"/>
    <n v="35000"/>
    <n v="36000"/>
    <n v="35400"/>
    <n v="900"/>
    <n v="130.45930000000001"/>
    <n v="7.5482755999999998E-2"/>
    <n v="15562"/>
    <n v="27.63"/>
    <n v="1.61"/>
    <n v="82.17"/>
    <n v="14"/>
    <s v="Rp900"/>
    <n v="2.57"/>
  </r>
  <r>
    <x v="1531"/>
    <n v="36000"/>
    <n v="1749"/>
    <n v="10"/>
    <x v="0"/>
    <n v="1"/>
    <s v="False"/>
    <n v="35557.142857142855"/>
    <n v="35181.666666666664"/>
    <n v="35900"/>
    <n v="36000"/>
    <n v="35400"/>
    <n v="100"/>
    <n v="130.45930000000001"/>
    <n v="7.5482755999999998E-2"/>
    <n v="15573"/>
    <n v="27.3"/>
    <n v="3.04"/>
    <n v="83.77"/>
    <n v="15"/>
    <s v="Rp100"/>
    <n v="0.28000000000000003"/>
  </r>
  <r>
    <x v="1532"/>
    <n v="36250"/>
    <n v="1750"/>
    <n v="10"/>
    <x v="0"/>
    <n v="2"/>
    <s v="False"/>
    <n v="35592.857142857145"/>
    <n v="35210"/>
    <n v="36000"/>
    <n v="36000"/>
    <n v="35400"/>
    <n v="250"/>
    <n v="130.45930000000001"/>
    <n v="7.5482755999999998E-2"/>
    <n v="15578.599609999999"/>
    <n v="27.17"/>
    <n v="10.220000000000001"/>
    <n v="83.27"/>
    <n v="16"/>
    <s v="Rp250"/>
    <n v="0.69"/>
  </r>
  <r>
    <x v="1533"/>
    <n v="36150"/>
    <n v="1751"/>
    <n v="10"/>
    <x v="0"/>
    <n v="3"/>
    <s v="False"/>
    <n v="35614.285714285717"/>
    <n v="35260"/>
    <n v="36250"/>
    <n v="36000"/>
    <n v="34650"/>
    <n v="-100"/>
    <n v="130.45930000000001"/>
    <n v="7.5482755999999998E-2"/>
    <n v="15583.900390000001"/>
    <n v="27.63"/>
    <n v="12.92"/>
    <n v="76.260000000000005"/>
    <n v="17"/>
    <s v="-Rp100"/>
    <n v="-0.28000000000000003"/>
  </r>
  <r>
    <x v="1534"/>
    <n v="36750"/>
    <n v="1752"/>
    <n v="10"/>
    <x v="0"/>
    <n v="4"/>
    <s v="False"/>
    <n v="35864.285714285717"/>
    <n v="35338.333333333336"/>
    <n v="36150"/>
    <n v="35000"/>
    <n v="34400"/>
    <n v="600"/>
    <n v="130.45930000000001"/>
    <n v="7.5482755999999998E-2"/>
    <n v="15493"/>
    <n v="26.89"/>
    <n v="30.63"/>
    <n v="82.17"/>
    <n v="18"/>
    <s v="Rp600"/>
    <n v="1.66"/>
  </r>
  <r>
    <x v="1535"/>
    <n v="36750"/>
    <n v="1753"/>
    <n v="10"/>
    <x v="0"/>
    <n v="5"/>
    <s v="False"/>
    <n v="36114.285714285717"/>
    <n v="35416.666666666664"/>
    <n v="36750"/>
    <n v="35000"/>
    <n v="34400"/>
    <n v="0"/>
    <n v="130.45930000000001"/>
    <n v="7.5482755999999998E-2"/>
    <n v="15493"/>
    <n v="27.72"/>
    <n v="1.77"/>
    <n v="76.88"/>
    <n v="19"/>
    <s v="Rp600"/>
    <n v="1.66"/>
  </r>
  <r>
    <x v="1536"/>
    <n v="36750"/>
    <n v="1754"/>
    <n v="10"/>
    <x v="0"/>
    <n v="6"/>
    <s v="False"/>
    <n v="36364.285714285717"/>
    <n v="35495"/>
    <n v="36750"/>
    <n v="35000"/>
    <n v="34400"/>
    <n v="0"/>
    <n v="130.45930000000001"/>
    <n v="7.5482755999999998E-2"/>
    <n v="15493"/>
    <n v="28.03"/>
    <n v="7.91"/>
    <n v="80.150000000000006"/>
    <n v="20"/>
    <s v="Rp600"/>
    <n v="1.66"/>
  </r>
  <r>
    <x v="1537"/>
    <n v="37250"/>
    <n v="1755"/>
    <n v="10"/>
    <x v="0"/>
    <n v="0"/>
    <s v="False"/>
    <n v="36557.142857142855"/>
    <n v="35590"/>
    <n v="36750"/>
    <n v="35900"/>
    <n v="34400"/>
    <n v="500"/>
    <n v="130.45930000000001"/>
    <n v="7.5482755999999998E-2"/>
    <n v="15467"/>
    <n v="27.87"/>
    <n v="8.18"/>
    <n v="81.39"/>
    <n v="21"/>
    <s v="Rp500"/>
    <n v="1.36"/>
  </r>
  <r>
    <x v="1538"/>
    <n v="36400"/>
    <n v="1756"/>
    <n v="10"/>
    <x v="0"/>
    <n v="1"/>
    <s v="False"/>
    <n v="36614.285714285717"/>
    <n v="35656.666666666664"/>
    <n v="37250"/>
    <n v="36000"/>
    <n v="34400"/>
    <n v="-850"/>
    <n v="130.45930000000001"/>
    <n v="7.5482755999999998E-2"/>
    <n v="15556"/>
    <n v="28.19"/>
    <n v="1.84"/>
    <n v="78.94"/>
    <n v="22"/>
    <s v="-Rp850"/>
    <n v="-2.2799999999999998"/>
  </r>
  <r>
    <x v="1539"/>
    <n v="37250"/>
    <n v="1757"/>
    <n v="10"/>
    <x v="0"/>
    <n v="2"/>
    <s v="False"/>
    <n v="36757.142857142855"/>
    <n v="35740"/>
    <n v="36400"/>
    <n v="36250"/>
    <n v="34750"/>
    <n v="850"/>
    <n v="130.45930000000001"/>
    <n v="7.5482755999999998E-2"/>
    <n v="15586"/>
    <n v="28.02"/>
    <n v="1"/>
    <n v="82.05"/>
    <n v="23"/>
    <s v="Rp850"/>
    <n v="2.34"/>
  </r>
  <r>
    <x v="1540"/>
    <n v="37250"/>
    <n v="1758"/>
    <n v="10"/>
    <x v="0"/>
    <n v="3"/>
    <s v="False"/>
    <n v="36914.285714285717"/>
    <n v="35810"/>
    <n v="37250"/>
    <n v="36150"/>
    <n v="35150"/>
    <n v="0"/>
    <n v="130.45930000000001"/>
    <n v="7.5482755999999998E-2"/>
    <n v="15663"/>
    <n v="28.45"/>
    <n v="0.04"/>
    <n v="76.87"/>
    <n v="24"/>
    <s v="Rp0"/>
    <n v="0"/>
  </r>
  <r>
    <x v="1541"/>
    <n v="37150"/>
    <n v="1759"/>
    <n v="10"/>
    <x v="0"/>
    <n v="4"/>
    <s v="False"/>
    <n v="36971.428571428572"/>
    <n v="35873.333333333336"/>
    <n v="37250"/>
    <n v="36750"/>
    <n v="35250"/>
    <n v="-100"/>
    <n v="130.45930000000001"/>
    <n v="7.5482755999999998E-2"/>
    <n v="15621.5"/>
    <n v="28.5"/>
    <n v="3.38"/>
    <n v="79.31"/>
    <n v="25"/>
    <s v="-Rp100"/>
    <n v="-0.27"/>
  </r>
  <r>
    <x v="1542"/>
    <n v="37150"/>
    <n v="1760"/>
    <n v="10"/>
    <x v="0"/>
    <n v="5"/>
    <s v="False"/>
    <n v="37028.571428571428"/>
    <n v="35936.666666666664"/>
    <n v="37150"/>
    <n v="36750"/>
    <n v="35250"/>
    <n v="0"/>
    <n v="130.45930000000001"/>
    <n v="7.5482755999999998E-2"/>
    <n v="15621.5"/>
    <n v="28.21"/>
    <n v="1.5"/>
    <n v="79.52"/>
    <n v="26"/>
    <s v="-Rp100"/>
    <n v="-0.27"/>
  </r>
  <r>
    <x v="1543"/>
    <n v="37150"/>
    <n v="1761"/>
    <n v="10"/>
    <x v="0"/>
    <n v="6"/>
    <s v="False"/>
    <n v="37085.714285714283"/>
    <n v="35991.666666666664"/>
    <n v="37150"/>
    <n v="36750"/>
    <n v="35500"/>
    <n v="0"/>
    <n v="130.45930000000001"/>
    <n v="7.5482755999999998E-2"/>
    <n v="15621.5"/>
    <n v="27.56"/>
    <n v="3.27"/>
    <n v="81.3"/>
    <n v="27"/>
    <s v="-Rp100"/>
    <n v="-0.27"/>
  </r>
  <r>
    <x v="1544"/>
    <n v="38000"/>
    <n v="1762"/>
    <n v="10"/>
    <x v="0"/>
    <n v="0"/>
    <s v="False"/>
    <n v="37192.857142857145"/>
    <n v="36075"/>
    <n v="37150"/>
    <n v="37250"/>
    <n v="35500"/>
    <n v="850"/>
    <n v="130.45930000000001"/>
    <n v="7.5482755999999998E-2"/>
    <n v="15688.099609999999"/>
    <n v="27.84"/>
    <n v="1.24"/>
    <n v="81.05"/>
    <n v="28"/>
    <s v="Rp850"/>
    <n v="2.29"/>
  </r>
  <r>
    <x v="1545"/>
    <n v="38650"/>
    <n v="1763"/>
    <n v="10"/>
    <x v="0"/>
    <n v="1"/>
    <s v="False"/>
    <n v="37514.285714285717"/>
    <n v="36180"/>
    <n v="38000"/>
    <n v="36400"/>
    <n v="35500"/>
    <n v="650"/>
    <n v="130.45930000000001"/>
    <n v="7.5482755999999998E-2"/>
    <n v="15747"/>
    <n v="27.95"/>
    <n v="0.49"/>
    <n v="79.010000000000005"/>
    <n v="29"/>
    <s v="Rp650"/>
    <n v="1.71"/>
  </r>
  <r>
    <x v="1546"/>
    <n v="38400"/>
    <n v="1764"/>
    <n v="10"/>
    <x v="0"/>
    <n v="2"/>
    <s v="False"/>
    <n v="37678.571428571428"/>
    <n v="36293.333333333336"/>
    <n v="38650"/>
    <n v="37250"/>
    <n v="35000"/>
    <n v="-250"/>
    <n v="130.45930000000001"/>
    <n v="7.5482755999999998E-2"/>
    <n v="15768"/>
    <n v="27.75"/>
    <n v="0.95"/>
    <n v="81.8"/>
    <n v="30"/>
    <s v="-Rp250"/>
    <n v="-0.65"/>
  </r>
  <r>
    <x v="1547"/>
    <n v="38900"/>
    <n v="1765"/>
    <n v="10"/>
    <x v="0"/>
    <n v="3"/>
    <s v="False"/>
    <n v="37914.285714285717"/>
    <n v="36406.666666666664"/>
    <n v="38400"/>
    <n v="37250"/>
    <n v="35500"/>
    <n v="500"/>
    <n v="130.45930000000001"/>
    <n v="7.5482755999999998E-2"/>
    <n v="15695.5"/>
    <n v="27.38"/>
    <n v="1.1299999999999999"/>
    <n v="82"/>
    <n v="31"/>
    <s v="Rp500"/>
    <n v="1.3"/>
  </r>
  <r>
    <x v="1548"/>
    <n v="38900"/>
    <n v="1766"/>
    <n v="11"/>
    <x v="0"/>
    <n v="4"/>
    <s v="False"/>
    <n v="38164.285714285717"/>
    <n v="36553.333333333336"/>
    <n v="38900"/>
    <n v="37150"/>
    <n v="34500"/>
    <n v="0"/>
    <n v="130.85310000000001"/>
    <n v="0.30185659399999998"/>
    <n v="15713"/>
    <n v="27.27"/>
    <n v="6.7"/>
    <n v="79.91"/>
    <n v="1"/>
    <s v="Rp0"/>
    <n v="0"/>
  </r>
  <r>
    <x v="1549"/>
    <n v="38900"/>
    <n v="1767"/>
    <n v="11"/>
    <x v="0"/>
    <n v="5"/>
    <s v="False"/>
    <n v="38414.285714285717"/>
    <n v="36678.333333333336"/>
    <n v="38900"/>
    <n v="37150"/>
    <n v="35150"/>
    <n v="0"/>
    <n v="130.85310000000001"/>
    <n v="0.30185659399999998"/>
    <n v="15713"/>
    <n v="27.59"/>
    <n v="2.54"/>
    <n v="77.510000000000005"/>
    <n v="2"/>
    <s v="Rp0"/>
    <n v="0"/>
  </r>
  <r>
    <x v="1550"/>
    <n v="38900"/>
    <n v="1768"/>
    <n v="11"/>
    <x v="0"/>
    <n v="6"/>
    <s v="False"/>
    <n v="38664.285714285717"/>
    <n v="36803.333333333336"/>
    <n v="38900"/>
    <n v="37150"/>
    <n v="35150"/>
    <n v="0"/>
    <n v="130.85310000000001"/>
    <n v="0.30185659399999998"/>
    <n v="15713"/>
    <n v="27.14"/>
    <n v="2.87"/>
    <n v="79.55"/>
    <n v="3"/>
    <s v="Rp0"/>
    <n v="0"/>
  </r>
  <r>
    <x v="1551"/>
    <n v="38650"/>
    <n v="1769"/>
    <n v="11"/>
    <x v="0"/>
    <n v="0"/>
    <s v="False"/>
    <n v="38757.142857142855"/>
    <n v="36920"/>
    <n v="38900"/>
    <n v="38000"/>
    <n v="35150"/>
    <n v="-250"/>
    <n v="130.85310000000001"/>
    <n v="0.30185659399999998"/>
    <n v="15842"/>
    <n v="27.34"/>
    <n v="4.42"/>
    <n v="81.61"/>
    <n v="4"/>
    <s v="-Rp250"/>
    <n v="-0.64"/>
  </r>
  <r>
    <x v="1552"/>
    <n v="38650"/>
    <n v="1770"/>
    <n v="11"/>
    <x v="0"/>
    <n v="1"/>
    <s v="False"/>
    <n v="38757.142857142855"/>
    <n v="37036.666666666664"/>
    <n v="38650"/>
    <n v="38650"/>
    <n v="35150"/>
    <n v="0"/>
    <n v="130.85310000000001"/>
    <n v="0.30185659399999998"/>
    <n v="15790"/>
    <n v="27.22"/>
    <n v="15.51"/>
    <n v="79.28"/>
    <n v="5"/>
    <s v="Rp0"/>
    <n v="0"/>
  </r>
  <r>
    <x v="1553"/>
    <n v="38900"/>
    <n v="1771"/>
    <n v="11"/>
    <x v="0"/>
    <n v="2"/>
    <s v="False"/>
    <n v="38828.571428571428"/>
    <n v="37133.333333333336"/>
    <n v="38650"/>
    <n v="38400"/>
    <n v="36000"/>
    <n v="250"/>
    <n v="130.85310000000001"/>
    <n v="0.30185659399999998"/>
    <n v="15665"/>
    <n v="27.53"/>
    <n v="1.01"/>
    <n v="79.56"/>
    <n v="6"/>
    <s v="Rp250"/>
    <n v="0.65"/>
  </r>
  <r>
    <x v="1554"/>
    <n v="38900"/>
    <n v="1772"/>
    <n v="11"/>
    <x v="0"/>
    <n v="3"/>
    <s v="False"/>
    <n v="38828.571428571428"/>
    <n v="37230"/>
    <n v="38900"/>
    <n v="38900"/>
    <n v="36000"/>
    <n v="0"/>
    <n v="130.85310000000001"/>
    <n v="0.30185659399999998"/>
    <n v="15818.200199999999"/>
    <n v="27.96"/>
    <n v="1.22"/>
    <n v="76.95"/>
    <n v="7"/>
    <s v="Rp0"/>
    <n v="0"/>
  </r>
  <r>
    <x v="1555"/>
    <n v="38900"/>
    <n v="1773"/>
    <n v="11"/>
    <x v="0"/>
    <n v="4"/>
    <s v="False"/>
    <n v="38828.571428571428"/>
    <n v="37326.666666666664"/>
    <n v="38900"/>
    <n v="38900"/>
    <n v="36000"/>
    <n v="0"/>
    <n v="130.85310000000001"/>
    <n v="0.30185659399999998"/>
    <n v="15558"/>
    <n v="28.04"/>
    <n v="4.22"/>
    <n v="78.430000000000007"/>
    <n v="8"/>
    <s v="Rp0"/>
    <n v="0"/>
  </r>
  <r>
    <x v="1556"/>
    <n v="38900"/>
    <n v="1774"/>
    <n v="11"/>
    <x v="0"/>
    <n v="5"/>
    <s v="False"/>
    <n v="38828.571428571428"/>
    <n v="37423.333333333336"/>
    <n v="38900"/>
    <n v="38900"/>
    <n v="36000"/>
    <n v="0"/>
    <n v="130.85310000000001"/>
    <n v="0.30185659399999998"/>
    <n v="15558"/>
    <n v="28.07"/>
    <n v="0.56999999999999995"/>
    <n v="77.290000000000006"/>
    <n v="9"/>
    <s v="Rp0"/>
    <n v="0"/>
  </r>
  <r>
    <x v="1557"/>
    <n v="38900"/>
    <n v="1775"/>
    <n v="11"/>
    <x v="0"/>
    <n v="6"/>
    <s v="False"/>
    <n v="38828.571428571428"/>
    <n v="37553.333333333336"/>
    <n v="38900"/>
    <n v="38900"/>
    <n v="35000"/>
    <n v="0"/>
    <n v="130.85310000000001"/>
    <n v="0.30185659399999998"/>
    <n v="15558"/>
    <n v="27.9"/>
    <n v="0.38"/>
    <n v="77.97"/>
    <n v="10"/>
    <s v="Rp0"/>
    <n v="0"/>
  </r>
  <r>
    <x v="1558"/>
    <n v="42750"/>
    <n v="1776"/>
    <n v="11"/>
    <x v="0"/>
    <n v="0"/>
    <s v="False"/>
    <n v="39414.285714285717"/>
    <n v="37811.666666666664"/>
    <n v="38900"/>
    <n v="38650"/>
    <n v="35000"/>
    <n v="3850"/>
    <n v="130.85310000000001"/>
    <n v="0.30185659399999998"/>
    <n v="15647.200199999999"/>
    <n v="28.18"/>
    <n v="0.53"/>
    <n v="74.819999999999993"/>
    <n v="11"/>
    <s v="Rp3850"/>
    <n v="9.9"/>
  </r>
  <r>
    <x v="1559"/>
    <n v="43750"/>
    <n v="1777"/>
    <n v="11"/>
    <x v="0"/>
    <n v="1"/>
    <s v="False"/>
    <n v="40142.857142857145"/>
    <n v="38103.333333333336"/>
    <n v="42750"/>
    <n v="38650"/>
    <n v="35000"/>
    <n v="1000"/>
    <n v="130.85310000000001"/>
    <n v="0.30185659399999998"/>
    <n v="15765"/>
    <n v="27.98"/>
    <n v="1.25"/>
    <n v="79.7"/>
    <n v="12"/>
    <s v="Rp1000"/>
    <n v="2.34"/>
  </r>
  <r>
    <x v="1560"/>
    <n v="45000"/>
    <n v="1778"/>
    <n v="11"/>
    <x v="0"/>
    <n v="2"/>
    <s v="False"/>
    <n v="41014.285714285717"/>
    <n v="38406.666666666664"/>
    <n v="43750"/>
    <n v="38900"/>
    <n v="35900"/>
    <n v="1250"/>
    <n v="130.85310000000001"/>
    <n v="0.30185659399999998"/>
    <n v="15788.900390000001"/>
    <n v="27.97"/>
    <n v="2.35"/>
    <n v="79.3"/>
    <n v="13"/>
    <s v="Rp1250"/>
    <n v="2.86"/>
  </r>
  <r>
    <x v="1561"/>
    <n v="45250"/>
    <n v="1779"/>
    <n v="11"/>
    <x v="0"/>
    <n v="3"/>
    <s v="False"/>
    <n v="41921.428571428572"/>
    <n v="38715"/>
    <n v="45000"/>
    <n v="38900"/>
    <n v="36000"/>
    <n v="250"/>
    <n v="130.85310000000001"/>
    <n v="0.30185659399999998"/>
    <n v="15847.200199999999"/>
    <n v="27.68"/>
    <n v="1.83"/>
    <n v="82.03"/>
    <n v="14"/>
    <s v="Rp250"/>
    <n v="0.56000000000000005"/>
  </r>
  <r>
    <x v="1562"/>
    <n v="45750"/>
    <n v="1780"/>
    <n v="11"/>
    <x v="0"/>
    <n v="4"/>
    <s v="False"/>
    <n v="42900"/>
    <n v="39031.666666666664"/>
    <n v="45250"/>
    <n v="38900"/>
    <n v="36250"/>
    <n v="500"/>
    <n v="130.85310000000001"/>
    <n v="0.30185659399999998"/>
    <n v="15933.299800000001"/>
    <n v="27.93"/>
    <n v="0.85"/>
    <n v="81.489999999999995"/>
    <n v="15"/>
    <s v="Rp500"/>
    <n v="1.1000000000000001"/>
  </r>
  <r>
    <x v="1563"/>
    <n v="45750"/>
    <n v="1781"/>
    <n v="11"/>
    <x v="0"/>
    <n v="5"/>
    <s v="False"/>
    <n v="43878.571428571428"/>
    <n v="39351.666666666664"/>
    <n v="45750"/>
    <n v="38900"/>
    <n v="36150"/>
    <n v="0"/>
    <n v="130.85310000000001"/>
    <n v="0.30185659399999998"/>
    <n v="15933.299800000001"/>
    <n v="27.86"/>
    <n v="2.87"/>
    <n v="81.88"/>
    <n v="16"/>
    <s v="Rp500"/>
    <n v="1.1000000000000001"/>
  </r>
  <r>
    <x v="1564"/>
    <n v="45750"/>
    <n v="1782"/>
    <n v="11"/>
    <x v="0"/>
    <n v="6"/>
    <s v="False"/>
    <n v="44857.142857142855"/>
    <n v="39651.666666666664"/>
    <n v="45750"/>
    <n v="38900"/>
    <n v="36750"/>
    <n v="0"/>
    <n v="130.85310000000001"/>
    <n v="0.30185659399999998"/>
    <n v="15933.299800000001"/>
    <n v="27.24"/>
    <n v="7.43"/>
    <n v="80.36"/>
    <n v="17"/>
    <s v="Rp500"/>
    <n v="1.1000000000000001"/>
  </r>
  <r>
    <x v="1565"/>
    <n v="48650"/>
    <n v="1783"/>
    <n v="11"/>
    <x v="0"/>
    <n v="0"/>
    <s v="False"/>
    <n v="45700"/>
    <n v="40048.333333333336"/>
    <n v="45750"/>
    <n v="42750"/>
    <n v="36750"/>
    <n v="2900"/>
    <n v="130.85310000000001"/>
    <n v="0.30185659399999998"/>
    <n v="15891.299800000001"/>
    <n v="27.34"/>
    <n v="8.64"/>
    <n v="84.65"/>
    <n v="18"/>
    <s v="Rp2900"/>
    <n v="6.34"/>
  </r>
  <r>
    <x v="1566"/>
    <n v="48650"/>
    <n v="1784"/>
    <n v="11"/>
    <x v="0"/>
    <n v="1"/>
    <s v="False"/>
    <n v="46400"/>
    <n v="40445"/>
    <n v="48650"/>
    <n v="43750"/>
    <n v="36750"/>
    <n v="0"/>
    <n v="130.85310000000001"/>
    <n v="0.30185659399999998"/>
    <n v="15806.099609999999"/>
    <n v="27.7"/>
    <n v="3.45"/>
    <n v="84.6"/>
    <n v="19"/>
    <s v="Rp0"/>
    <n v="0"/>
  </r>
  <r>
    <x v="1567"/>
    <n v="49000"/>
    <n v="1785"/>
    <n v="11"/>
    <x v="0"/>
    <n v="2"/>
    <s v="False"/>
    <n v="46971.428571428572"/>
    <n v="40836.666666666664"/>
    <n v="48650"/>
    <n v="45000"/>
    <n v="37250"/>
    <n v="350"/>
    <n v="130.85310000000001"/>
    <n v="0.30185659399999998"/>
    <n v="15817.099609999999"/>
    <n v="27.53"/>
    <n v="2.25"/>
    <n v="82.76"/>
    <n v="20"/>
    <s v="Rp350"/>
    <n v="0.72"/>
  </r>
  <r>
    <x v="1568"/>
    <n v="49250"/>
    <n v="1786"/>
    <n v="11"/>
    <x v="0"/>
    <n v="3"/>
    <s v="False"/>
    <n v="47542.857142857145"/>
    <n v="41265"/>
    <n v="49000"/>
    <n v="45250"/>
    <n v="36400"/>
    <n v="250"/>
    <n v="130.85310000000001"/>
    <n v="0.30185659399999998"/>
    <n v="15913"/>
    <n v="27.42"/>
    <n v="12.93"/>
    <n v="84.77"/>
    <n v="21"/>
    <s v="Rp250"/>
    <n v="0.51"/>
  </r>
  <r>
    <x v="1569"/>
    <n v="49250"/>
    <n v="1787"/>
    <n v="11"/>
    <x v="0"/>
    <n v="4"/>
    <s v="False"/>
    <n v="48042.857142857145"/>
    <n v="41665"/>
    <n v="49250"/>
    <n v="45750"/>
    <n v="37250"/>
    <n v="0"/>
    <n v="130.85310000000001"/>
    <n v="0.30185659399999998"/>
    <n v="15816.900390000001"/>
    <n v="27.67"/>
    <n v="2.78"/>
    <n v="82.22"/>
    <n v="22"/>
    <s v="Rp0"/>
    <n v="0"/>
  </r>
  <r>
    <x v="1570"/>
    <n v="49250"/>
    <n v="1788"/>
    <n v="11"/>
    <x v="0"/>
    <n v="5"/>
    <s v="False"/>
    <n v="48542.857142857145"/>
    <n v="42065"/>
    <n v="49250"/>
    <n v="45750"/>
    <n v="37250"/>
    <n v="0"/>
    <n v="130.85310000000001"/>
    <n v="0.30185659399999998"/>
    <n v="15816.900390000001"/>
    <n v="27.8"/>
    <n v="9.6300000000000008"/>
    <n v="84.51"/>
    <n v="23"/>
    <s v="Rp0"/>
    <n v="0"/>
  </r>
  <r>
    <x v="1571"/>
    <n v="49250"/>
    <n v="1789"/>
    <n v="11"/>
    <x v="0"/>
    <n v="6"/>
    <s v="False"/>
    <n v="49042.857142857145"/>
    <n v="42468.333333333336"/>
    <n v="49250"/>
    <n v="45750"/>
    <n v="37150"/>
    <n v="0"/>
    <n v="130.85310000000001"/>
    <n v="0.30185659399999998"/>
    <n v="15816.900390000001"/>
    <n v="27.87"/>
    <n v="8.52"/>
    <n v="82.41"/>
    <n v="24"/>
    <s v="Rp0"/>
    <n v="0"/>
  </r>
  <r>
    <x v="1572"/>
    <n v="47900"/>
    <n v="1790"/>
    <n v="11"/>
    <x v="0"/>
    <n v="0"/>
    <s v="False"/>
    <n v="48935.714285714283"/>
    <n v="42826.666666666664"/>
    <n v="49250"/>
    <n v="48650"/>
    <n v="37150"/>
    <n v="-1350"/>
    <n v="130.85310000000001"/>
    <n v="0.30185659399999998"/>
    <n v="15940"/>
    <n v="27.96"/>
    <n v="9.5"/>
    <n v="81.61"/>
    <n v="25"/>
    <s v="-Rp1350"/>
    <n v="-2.74"/>
  </r>
  <r>
    <x v="1573"/>
    <n v="47650"/>
    <n v="1791"/>
    <n v="11"/>
    <x v="0"/>
    <n v="1"/>
    <s v="False"/>
    <n v="48792.857142857145"/>
    <n v="43176.666666666664"/>
    <n v="47900"/>
    <n v="48650"/>
    <n v="37150"/>
    <n v="-250"/>
    <n v="130.85310000000001"/>
    <n v="0.30185659399999998"/>
    <n v="15901.200199999999"/>
    <n v="26.99"/>
    <n v="10.35"/>
    <n v="84.32"/>
    <n v="26"/>
    <s v="-Rp250"/>
    <n v="-0.52"/>
  </r>
  <r>
    <x v="1574"/>
    <n v="47650"/>
    <n v="1792"/>
    <n v="11"/>
    <x v="0"/>
    <n v="2"/>
    <s v="False"/>
    <n v="48600"/>
    <n v="43498.333333333336"/>
    <n v="47650"/>
    <n v="49000"/>
    <n v="38000"/>
    <n v="0"/>
    <n v="130.85310000000001"/>
    <n v="0.30185659399999998"/>
    <n v="15930"/>
    <n v="27.05"/>
    <n v="2.14"/>
    <n v="85.79"/>
    <n v="27"/>
    <s v="Rp0"/>
    <n v="0"/>
  </r>
  <r>
    <x v="1575"/>
    <n v="47400"/>
    <n v="1793"/>
    <n v="11"/>
    <x v="0"/>
    <n v="3"/>
    <s v="False"/>
    <n v="48335.714285714283"/>
    <n v="43790"/>
    <n v="47650"/>
    <n v="49250"/>
    <n v="38650"/>
    <n v="-250"/>
    <n v="130.85310000000001"/>
    <n v="0.30185659399999998"/>
    <n v="15863.5"/>
    <n v="27.69"/>
    <n v="2.11"/>
    <n v="82.96"/>
    <n v="28"/>
    <s v="-Rp250"/>
    <n v="-0.52"/>
  </r>
  <r>
    <x v="1576"/>
    <n v="47150"/>
    <n v="1794"/>
    <n v="11"/>
    <x v="0"/>
    <n v="4"/>
    <s v="False"/>
    <n v="48035.714285714283"/>
    <n v="44081.666666666664"/>
    <n v="47400"/>
    <n v="49250"/>
    <n v="38400"/>
    <n v="-250"/>
    <n v="130.85310000000001"/>
    <n v="0.30185659399999998"/>
    <n v="15878"/>
    <n v="27.16"/>
    <n v="7.26"/>
    <n v="86.64"/>
    <n v="29"/>
    <s v="-Rp250"/>
    <n v="-0.53"/>
  </r>
  <r>
    <x v="1577"/>
    <n v="47150"/>
    <n v="1795"/>
    <n v="11"/>
    <x v="0"/>
    <n v="5"/>
    <s v="False"/>
    <n v="47735.714285714283"/>
    <n v="44356.666666666664"/>
    <n v="47150"/>
    <n v="49250"/>
    <n v="38900"/>
    <n v="0"/>
    <n v="130.85310000000001"/>
    <n v="0.30185659399999998"/>
    <n v="15878"/>
    <n v="27.04"/>
    <n v="6.03"/>
    <n v="86.99"/>
    <n v="30"/>
    <s v="-Rp250"/>
    <n v="-0.53"/>
  </r>
  <r>
    <x v="1578"/>
    <n v="47150"/>
    <n v="1796"/>
    <n v="12"/>
    <x v="0"/>
    <n v="6"/>
    <s v="False"/>
    <n v="47435.714285714283"/>
    <n v="44631.666666666664"/>
    <n v="47150"/>
    <n v="49250"/>
    <n v="38900"/>
    <n v="0"/>
    <n v="131.4315"/>
    <n v="0.44202238999999999"/>
    <n v="15878"/>
    <n v="27.01"/>
    <n v="3.24"/>
    <n v="83.07"/>
    <n v="1"/>
    <s v="-Rp250"/>
    <n v="-0.53"/>
  </r>
  <r>
    <x v="1579"/>
    <n v="46500"/>
    <n v="1797"/>
    <n v="12"/>
    <x v="0"/>
    <n v="0"/>
    <s v="False"/>
    <n v="47235.714285714283"/>
    <n v="44885"/>
    <n v="47150"/>
    <n v="47900"/>
    <n v="38900"/>
    <n v="-650"/>
    <n v="131.4315"/>
    <n v="0.44202238999999999"/>
    <n v="15829"/>
    <n v="26.98"/>
    <n v="10.95"/>
    <n v="85.2"/>
    <n v="2"/>
    <s v="-Rp650"/>
    <n v="-1.38"/>
  </r>
  <r>
    <x v="1580"/>
    <n v="46500"/>
    <n v="1798"/>
    <n v="12"/>
    <x v="0"/>
    <n v="1"/>
    <s v="False"/>
    <n v="47071.428571428572"/>
    <n v="45138.333333333336"/>
    <n v="46500"/>
    <n v="47650"/>
    <n v="38900"/>
    <n v="0"/>
    <n v="131.4315"/>
    <n v="0.44202238999999999"/>
    <n v="15910"/>
    <n v="27.17"/>
    <n v="2.78"/>
    <n v="83.47"/>
    <n v="3"/>
    <s v="Rp0"/>
    <n v="0"/>
  </r>
  <r>
    <x v="1581"/>
    <n v="47250"/>
    <n v="1799"/>
    <n v="12"/>
    <x v="0"/>
    <n v="2"/>
    <s v="False"/>
    <n v="47014.285714285717"/>
    <n v="45425"/>
    <n v="46500"/>
    <n v="47650"/>
    <n v="38650"/>
    <n v="750"/>
    <n v="131.4315"/>
    <n v="0.44202238999999999"/>
    <n v="15940"/>
    <n v="27.34"/>
    <n v="3.27"/>
    <n v="84.34"/>
    <n v="4"/>
    <s v="Rp750"/>
    <n v="1.61"/>
  </r>
  <r>
    <x v="1582"/>
    <n v="48750"/>
    <n v="1800"/>
    <n v="12"/>
    <x v="0"/>
    <n v="3"/>
    <s v="False"/>
    <n v="47207.142857142855"/>
    <n v="45761.666666666664"/>
    <n v="47250"/>
    <n v="47400"/>
    <n v="38650"/>
    <n v="1500"/>
    <n v="131.4315"/>
    <n v="0.44202238999999999"/>
    <n v="15906.599609999999"/>
    <n v="27.12"/>
    <n v="3.68"/>
    <n v="85.84"/>
    <n v="5"/>
    <s v="Rp1500"/>
    <n v="3.17"/>
  </r>
  <r>
    <x v="1583"/>
    <n v="48750"/>
    <n v="1801"/>
    <n v="12"/>
    <x v="0"/>
    <n v="4"/>
    <s v="False"/>
    <n v="47435.714285714283"/>
    <n v="46090"/>
    <n v="48750"/>
    <n v="47150"/>
    <n v="38900"/>
    <n v="0"/>
    <n v="131.4315"/>
    <n v="0.44202238999999999"/>
    <n v="15839.799800000001"/>
    <n v="27.02"/>
    <n v="7.27"/>
    <n v="85.94"/>
    <n v="6"/>
    <s v="Rp0"/>
    <n v="0"/>
  </r>
  <r>
    <x v="1584"/>
    <n v="48750"/>
    <n v="1802"/>
    <n v="12"/>
    <x v="0"/>
    <n v="5"/>
    <s v="False"/>
    <n v="47664.285714285717"/>
    <n v="46418.333333333336"/>
    <n v="48750"/>
    <n v="47150"/>
    <n v="38900"/>
    <n v="0"/>
    <n v="131.4315"/>
    <n v="0.44202238999999999"/>
    <n v="15839.799800000001"/>
    <n v="26.51"/>
    <n v="7.09"/>
    <n v="84.26"/>
    <n v="7"/>
    <s v="Rp0"/>
    <n v="0"/>
  </r>
  <r>
    <x v="1585"/>
    <n v="48750"/>
    <n v="1803"/>
    <n v="12"/>
    <x v="0"/>
    <n v="6"/>
    <s v="False"/>
    <n v="47892.857142857145"/>
    <n v="46746.666666666664"/>
    <n v="48750"/>
    <n v="47150"/>
    <n v="38900"/>
    <n v="0"/>
    <n v="131.4315"/>
    <n v="0.44202238999999999"/>
    <n v="15839.799800000001"/>
    <n v="26.66"/>
    <n v="2.54"/>
    <n v="83.76"/>
    <n v="8"/>
    <s v="Rp0"/>
    <n v="0"/>
  </r>
  <r>
    <x v="1586"/>
    <n v="48500"/>
    <n v="1804"/>
    <n v="12"/>
    <x v="0"/>
    <n v="0"/>
    <s v="False"/>
    <n v="48178.571428571428"/>
    <n v="47066.666666666664"/>
    <n v="48750"/>
    <n v="46500"/>
    <n v="38900"/>
    <n v="-250"/>
    <n v="131.4315"/>
    <n v="0.44202238999999999"/>
    <n v="15825.799800000001"/>
    <n v="27.14"/>
    <n v="5.36"/>
    <n v="84.06"/>
    <n v="9"/>
    <s v="-Rp250"/>
    <n v="-0.51"/>
  </r>
  <r>
    <x v="1587"/>
    <n v="48750"/>
    <n v="1805"/>
    <n v="12"/>
    <x v="0"/>
    <n v="1"/>
    <s v="False"/>
    <n v="48500"/>
    <n v="47395"/>
    <n v="48500"/>
    <n v="46500"/>
    <n v="38900"/>
    <n v="250"/>
    <n v="131.4315"/>
    <n v="0.44202238999999999"/>
    <n v="15864"/>
    <n v="27.28"/>
    <n v="7.13"/>
    <n v="85.09"/>
    <n v="10"/>
    <s v="Rp250"/>
    <n v="0.52"/>
  </r>
  <r>
    <x v="1588"/>
    <n v="48750"/>
    <n v="1806"/>
    <n v="12"/>
    <x v="0"/>
    <n v="2"/>
    <s v="False"/>
    <n v="48714.285714285717"/>
    <n v="47595"/>
    <n v="48750"/>
    <n v="47250"/>
    <n v="42750"/>
    <n v="0"/>
    <n v="131.4315"/>
    <n v="0.44202238999999999"/>
    <n v="15908"/>
    <n v="27.04"/>
    <n v="6.61"/>
    <n v="85.42"/>
    <n v="11"/>
    <s v="Rp0"/>
    <n v="0"/>
  </r>
  <r>
    <x v="1589"/>
    <n v="47750"/>
    <n v="1807"/>
    <n v="12"/>
    <x v="0"/>
    <n v="3"/>
    <s v="False"/>
    <n v="48571.428571428572"/>
    <n v="47728.333333333336"/>
    <n v="48750"/>
    <n v="48750"/>
    <n v="43750"/>
    <n v="-1000"/>
    <n v="131.4315"/>
    <n v="0.44202238999999999"/>
    <n v="15963"/>
    <n v="26.83"/>
    <n v="24.51"/>
    <n v="86.21"/>
    <n v="12"/>
    <s v="-Rp1000"/>
    <n v="-2.0499999999999998"/>
  </r>
  <r>
    <x v="1590"/>
    <n v="48000"/>
    <n v="1808"/>
    <n v="12"/>
    <x v="0"/>
    <n v="4"/>
    <s v="False"/>
    <n v="48464.285714285717"/>
    <n v="47828.333333333336"/>
    <n v="47750"/>
    <n v="48750"/>
    <n v="45000"/>
    <n v="250"/>
    <n v="131.4315"/>
    <n v="0.44202238999999999"/>
    <n v="15967.400390000001"/>
    <n v="26.72"/>
    <n v="19.05"/>
    <n v="85.36"/>
    <n v="13"/>
    <s v="Rp250"/>
    <n v="0.52"/>
  </r>
  <r>
    <x v="1591"/>
    <n v="48000"/>
    <n v="1809"/>
    <n v="12"/>
    <x v="0"/>
    <n v="5"/>
    <s v="False"/>
    <n v="48357.142857142855"/>
    <n v="47920"/>
    <n v="48000"/>
    <n v="48750"/>
    <n v="45250"/>
    <n v="0"/>
    <n v="131.4315"/>
    <n v="0.44202238999999999"/>
    <n v="15967.400390000001"/>
    <n v="26.86"/>
    <n v="10.16"/>
    <n v="86.79"/>
    <n v="14"/>
    <s v="Rp250"/>
    <n v="0.52"/>
  </r>
  <r>
    <x v="1592"/>
    <n v="48000"/>
    <n v="1810"/>
    <n v="12"/>
    <x v="0"/>
    <n v="6"/>
    <s v="False"/>
    <n v="48250"/>
    <n v="47995"/>
    <n v="48000"/>
    <n v="48750"/>
    <n v="45750"/>
    <n v="0"/>
    <n v="131.4315"/>
    <n v="0.44202238999999999"/>
    <n v="15967.400390000001"/>
    <n v="26.94"/>
    <n v="13.82"/>
    <n v="88.02"/>
    <n v="15"/>
    <s v="Rp250"/>
    <n v="0.52"/>
  </r>
  <r>
    <x v="1593"/>
    <n v="48250"/>
    <n v="1811"/>
    <n v="12"/>
    <x v="0"/>
    <n v="0"/>
    <s v="False"/>
    <n v="48214.285714285717"/>
    <n v="48078.333333333336"/>
    <n v="48000"/>
    <n v="48500"/>
    <n v="45750"/>
    <n v="250"/>
    <n v="131.4315"/>
    <n v="0.44202238999999999"/>
    <n v="16025.799800000001"/>
    <n v="26.77"/>
    <n v="5.24"/>
    <n v="85.47"/>
    <n v="16"/>
    <s v="Rp250"/>
    <n v="0.52"/>
  </r>
  <r>
    <x v="1594"/>
    <n v="48250"/>
    <n v="1812"/>
    <n v="12"/>
    <x v="0"/>
    <n v="1"/>
    <s v="False"/>
    <n v="48142.857142857145"/>
    <n v="48161.666666666664"/>
    <n v="48250"/>
    <n v="48750"/>
    <n v="45750"/>
    <n v="0"/>
    <n v="131.4315"/>
    <n v="0.44202238999999999"/>
    <n v="15955"/>
    <n v="27.54"/>
    <n v="2.29"/>
    <n v="82.76"/>
    <n v="17"/>
    <s v="Rp0"/>
    <n v="0"/>
  </r>
  <r>
    <x v="1595"/>
    <n v="48250"/>
    <n v="1813"/>
    <n v="12"/>
    <x v="0"/>
    <n v="2"/>
    <s v="False"/>
    <n v="48071.428571428572"/>
    <n v="48148.333333333336"/>
    <n v="48250"/>
    <n v="48750"/>
    <n v="48650"/>
    <n v="0"/>
    <n v="131.4315"/>
    <n v="0.44202238999999999"/>
    <n v="15926.200199999999"/>
    <n v="27.68"/>
    <n v="4.5599999999999996"/>
    <n v="84.63"/>
    <n v="18"/>
    <s v="Rp0"/>
    <n v="0"/>
  </r>
  <r>
    <x v="1596"/>
    <n v="47750"/>
    <n v="1814"/>
    <n v="12"/>
    <x v="0"/>
    <n v="3"/>
    <s v="False"/>
    <n v="48071.428571428572"/>
    <n v="48118.333333333336"/>
    <n v="48250"/>
    <n v="47750"/>
    <n v="48650"/>
    <n v="-500"/>
    <n v="131.4315"/>
    <n v="0.44202238999999999"/>
    <n v="16145.299800000001"/>
    <n v="27.62"/>
    <n v="3.83"/>
    <n v="86.28"/>
    <n v="19"/>
    <s v="-Rp500"/>
    <n v="-1.04"/>
  </r>
  <r>
    <x v="1597"/>
    <n v="47750"/>
    <n v="1815"/>
    <n v="12"/>
    <x v="0"/>
    <n v="4"/>
    <s v="False"/>
    <n v="48035.714285714283"/>
    <n v="48076.666666666664"/>
    <n v="47750"/>
    <n v="48000"/>
    <n v="49000"/>
    <n v="0"/>
    <n v="131.4315"/>
    <n v="0.44202238999999999"/>
    <n v="15981.299800000001"/>
    <n v="27.86"/>
    <n v="4.91"/>
    <n v="85.19"/>
    <n v="20"/>
    <s v="Rp0"/>
    <n v="0"/>
  </r>
  <r>
    <x v="1598"/>
    <n v="47750"/>
    <n v="1816"/>
    <n v="12"/>
    <x v="0"/>
    <n v="5"/>
    <s v="False"/>
    <n v="48000"/>
    <n v="48026.666666666664"/>
    <n v="47750"/>
    <n v="48000"/>
    <n v="49250"/>
    <n v="0"/>
    <n v="131.4315"/>
    <n v="0.44202238999999999"/>
    <n v="15981.299800000001"/>
    <n v="27.91"/>
    <n v="3.13"/>
    <n v="82.04"/>
    <n v="21"/>
    <s v="Rp0"/>
    <n v="0"/>
  </r>
  <r>
    <x v="1599"/>
    <n v="47750"/>
    <n v="1817"/>
    <n v="12"/>
    <x v="0"/>
    <n v="6"/>
    <s v="False"/>
    <n v="47964.285714285717"/>
    <n v="47976.666666666664"/>
    <n v="47750"/>
    <n v="48000"/>
    <n v="49250"/>
    <n v="0"/>
    <n v="131.4315"/>
    <n v="0.44202238999999999"/>
    <n v="15981.299800000001"/>
    <n v="27.75"/>
    <n v="13.02"/>
    <n v="80.02"/>
    <n v="22"/>
    <s v="Rp0"/>
    <n v="0"/>
  </r>
  <r>
    <x v="1600"/>
    <n v="47000"/>
    <n v="1818"/>
    <n v="12"/>
    <x v="0"/>
    <n v="0"/>
    <s v="False"/>
    <n v="47785.714285714283"/>
    <n v="47901.666666666664"/>
    <n v="47750"/>
    <n v="48250"/>
    <n v="49250"/>
    <n v="-750"/>
    <n v="131.4315"/>
    <n v="0.44202238999999999"/>
    <n v="16159.299800000001"/>
    <n v="27.32"/>
    <n v="6.07"/>
    <n v="84.23"/>
    <n v="23"/>
    <s v="-Rp750"/>
    <n v="-1.57"/>
  </r>
  <r>
    <x v="1601"/>
    <n v="46650"/>
    <n v="1819"/>
    <n v="12"/>
    <x v="0"/>
    <n v="1"/>
    <s v="False"/>
    <n v="47557.142857142855"/>
    <n v="47815"/>
    <n v="47000"/>
    <n v="48250"/>
    <n v="49250"/>
    <n v="-350"/>
    <n v="131.4315"/>
    <n v="0.44202238999999999"/>
    <n v="16217.599609999999"/>
    <n v="27.12"/>
    <n v="2.46"/>
    <n v="86.63"/>
    <n v="24"/>
    <s v="-Rp350"/>
    <n v="-0.74"/>
  </r>
  <r>
    <x v="1602"/>
    <n v="46650"/>
    <n v="1820"/>
    <n v="12"/>
    <x v="0"/>
    <n v="2"/>
    <s v="True"/>
    <n v="47328.571428571428"/>
    <n v="47773.333333333336"/>
    <n v="46650"/>
    <n v="48250"/>
    <n v="47900"/>
    <n v="0"/>
    <n v="131.4315"/>
    <n v="0.44202238999999999"/>
    <n v="15970.799800000001"/>
    <n v="26.76"/>
    <n v="10.23"/>
    <n v="87.48"/>
    <n v="25"/>
    <s v="Rp0"/>
    <n v="0"/>
  </r>
  <r>
    <x v="1603"/>
    <n v="46650"/>
    <n v="1821"/>
    <n v="12"/>
    <x v="0"/>
    <n v="3"/>
    <s v="False"/>
    <n v="47171.428571428572"/>
    <n v="47740"/>
    <n v="46650"/>
    <n v="47750"/>
    <n v="47650"/>
    <n v="0"/>
    <n v="131.4315"/>
    <n v="0.44202238999999999"/>
    <n v="15069.400390000001"/>
    <n v="26.48"/>
    <n v="26.86"/>
    <n v="87.04"/>
    <n v="26"/>
    <s v="Rp0"/>
    <n v="0"/>
  </r>
  <r>
    <x v="1604"/>
    <n v="46250"/>
    <n v="1822"/>
    <n v="12"/>
    <x v="0"/>
    <n v="4"/>
    <s v="False"/>
    <n v="46957.142857142855"/>
    <n v="47693.333333333336"/>
    <n v="46650"/>
    <n v="47750"/>
    <n v="47650"/>
    <n v="-400"/>
    <n v="131.4315"/>
    <n v="0.44202238999999999"/>
    <n v="16189"/>
    <n v="26.86"/>
    <n v="5.83"/>
    <n v="85.58"/>
    <n v="27"/>
    <s v="-Rp400"/>
    <n v="-0.86"/>
  </r>
  <r>
    <x v="1605"/>
    <n v="46250"/>
    <n v="1823"/>
    <n v="12"/>
    <x v="0"/>
    <n v="5"/>
    <s v="False"/>
    <n v="46742.857142857145"/>
    <n v="47655"/>
    <n v="46250"/>
    <n v="47750"/>
    <n v="47400"/>
    <n v="0"/>
    <n v="131.4315"/>
    <n v="0.44202238999999999"/>
    <n v="16189"/>
    <n v="26.72"/>
    <n v="13.18"/>
    <n v="87.08"/>
    <n v="28"/>
    <s v="-Rp400"/>
    <n v="-0.86"/>
  </r>
  <r>
    <x v="1606"/>
    <n v="46250"/>
    <n v="1824"/>
    <n v="12"/>
    <x v="0"/>
    <n v="6"/>
    <s v="False"/>
    <n v="46528.571428571428"/>
    <n v="47625"/>
    <n v="46250"/>
    <n v="47750"/>
    <n v="47150"/>
    <n v="0"/>
    <n v="131.4315"/>
    <n v="0.44202238999999999"/>
    <n v="16189"/>
    <n v="26.85"/>
    <n v="7"/>
    <n v="83.1"/>
    <n v="29"/>
    <s v="-Rp400"/>
    <n v="-0.86"/>
  </r>
  <r>
    <x v="1607"/>
    <n v="47000"/>
    <n v="1825"/>
    <n v="12"/>
    <x v="0"/>
    <n v="0"/>
    <s v="False"/>
    <n v="46528.571428571428"/>
    <n v="47620"/>
    <n v="46250"/>
    <n v="47000"/>
    <n v="47150"/>
    <n v="750"/>
    <n v="131.4315"/>
    <n v="0.44202238999999999"/>
    <n v="16178"/>
    <n v="27.44"/>
    <n v="5.91"/>
    <n v="79.790000000000006"/>
    <n v="30"/>
    <s v="Rp750"/>
    <n v="1.62"/>
  </r>
  <r>
    <x v="1608"/>
    <n v="46900"/>
    <n v="1826"/>
    <n v="12"/>
    <x v="0"/>
    <n v="1"/>
    <s v="False"/>
    <n v="46564.285714285717"/>
    <n v="47611.666666666664"/>
    <n v="47000"/>
    <n v="46650"/>
    <n v="47150"/>
    <n v="-100"/>
    <n v="131.4315"/>
    <n v="0.44202238999999999"/>
    <n v="16085.599609999999"/>
    <n v="26.7"/>
    <n v="6.64"/>
    <n v="85.32"/>
    <n v="31"/>
    <s v="-Rp100"/>
    <n v="-0.21"/>
  </r>
  <r>
    <x v="1609"/>
    <n v="46900"/>
    <n v="1827"/>
    <n v="1"/>
    <x v="0"/>
    <n v="2"/>
    <s v="True"/>
    <n v="46600"/>
    <n v="47625"/>
    <n v="46900"/>
    <n v="46650"/>
    <n v="46500"/>
    <n v="0"/>
    <n v="130.43469999999999"/>
    <n v="-0.75841788300000001"/>
    <n v="16085.599609999999"/>
    <n v="26.61"/>
    <n v="4.59"/>
    <n v="83.84"/>
    <n v="1"/>
    <s v="Rp0"/>
    <n v="0"/>
  </r>
  <r>
    <x v="1610"/>
    <n v="46400"/>
    <n v="1828"/>
    <n v="1"/>
    <x v="0"/>
    <n v="3"/>
    <s v="False"/>
    <n v="46564.285714285717"/>
    <n v="47621.666666666664"/>
    <n v="46900"/>
    <n v="46650"/>
    <n v="46500"/>
    <n v="-500"/>
    <n v="130.43469999999999"/>
    <n v="-0.75841788300000001"/>
    <n v="16230.5"/>
    <n v="26.78"/>
    <n v="10.4"/>
    <n v="82.92"/>
    <n v="2"/>
    <s v="-Rp500"/>
    <n v="-1.07"/>
  </r>
  <r>
    <x v="1611"/>
    <n v="46400"/>
    <n v="1829"/>
    <n v="1"/>
    <x v="0"/>
    <n v="4"/>
    <s v="False"/>
    <n v="46585.714285714283"/>
    <n v="47593.333333333336"/>
    <n v="46400"/>
    <n v="46250"/>
    <n v="47250"/>
    <n v="0"/>
    <n v="130.43469999999999"/>
    <n v="-0.75841788300000001"/>
    <n v="16201.099609999999"/>
    <n v="26.38"/>
    <n v="7.04"/>
    <n v="86.28"/>
    <n v="3"/>
    <s v="Rp0"/>
    <n v="0"/>
  </r>
  <r>
    <x v="1612"/>
    <n v="46400"/>
    <n v="1830"/>
    <n v="1"/>
    <x v="0"/>
    <n v="5"/>
    <s v="False"/>
    <n v="46607.142857142855"/>
    <n v="47515"/>
    <n v="46400"/>
    <n v="46250"/>
    <n v="48750"/>
    <n v="0"/>
    <n v="130.43469999999999"/>
    <n v="-0.75841788300000001"/>
    <n v="16201.099609999999"/>
    <n v="26.53"/>
    <n v="4.6399999999999997"/>
    <n v="85.41"/>
    <n v="4"/>
    <s v="Rp0"/>
    <n v="0"/>
  </r>
  <r>
    <x v="1613"/>
    <n v="46400"/>
    <n v="1831"/>
    <n v="1"/>
    <x v="0"/>
    <n v="6"/>
    <s v="False"/>
    <n v="46628.571428571428"/>
    <n v="47436.666666666664"/>
    <n v="46400"/>
    <n v="46250"/>
    <n v="48750"/>
    <n v="0"/>
    <n v="130.43469999999999"/>
    <n v="-0.75841788300000001"/>
    <n v="16201.099609999999"/>
    <n v="26.23"/>
    <n v="9.17"/>
    <n v="85.22"/>
    <n v="5"/>
    <s v="Rp0"/>
    <n v="0"/>
  </r>
  <r>
    <x v="1614"/>
    <n v="46250"/>
    <n v="1832"/>
    <n v="1"/>
    <x v="0"/>
    <n v="0"/>
    <s v="False"/>
    <n v="46521.428571428572"/>
    <n v="47353.333333333336"/>
    <n v="46400"/>
    <n v="47000"/>
    <n v="48750"/>
    <n v="-150"/>
    <n v="130.43469999999999"/>
    <n v="-0.75841788300000001"/>
    <n v="16178.799800000001"/>
    <n v="26.86"/>
    <n v="2.8"/>
    <n v="82.19"/>
    <n v="6"/>
    <s v="-Rp150"/>
    <n v="-0.32"/>
  </r>
  <r>
    <x v="1615"/>
    <n v="46000"/>
    <n v="1833"/>
    <n v="1"/>
    <x v="0"/>
    <n v="1"/>
    <s v="False"/>
    <n v="46392.857142857145"/>
    <n v="47261.666666666664"/>
    <n v="46250"/>
    <n v="46900"/>
    <n v="48750"/>
    <n v="-250"/>
    <n v="130.43469999999999"/>
    <n v="-0.75841788300000001"/>
    <n v="16179.099609999999"/>
    <n v="27.96"/>
    <n v="1.83"/>
    <n v="76.91"/>
    <n v="7"/>
    <s v="-Rp250"/>
    <n v="-0.54"/>
  </r>
  <r>
    <x v="1616"/>
    <n v="46000"/>
    <n v="1834"/>
    <n v="1"/>
    <x v="0"/>
    <n v="2"/>
    <s v="False"/>
    <n v="46264.285714285717"/>
    <n v="47178.333333333336"/>
    <n v="46000"/>
    <n v="46900"/>
    <n v="48500"/>
    <n v="0"/>
    <n v="130.43469999999999"/>
    <n v="-0.75841788300000001"/>
    <n v="16157.700199999999"/>
    <n v="27.63"/>
    <n v="2.98"/>
    <n v="83.18"/>
    <n v="8"/>
    <s v="Rp0"/>
    <n v="0"/>
  </r>
  <r>
    <x v="1617"/>
    <n v="46000"/>
    <n v="1835"/>
    <n v="1"/>
    <x v="0"/>
    <n v="3"/>
    <s v="False"/>
    <n v="46207.142857142855"/>
    <n v="47086.666666666664"/>
    <n v="46000"/>
    <n v="46400"/>
    <n v="48750"/>
    <n v="0"/>
    <n v="130.43469999999999"/>
    <n v="-0.75841788300000001"/>
    <n v="16187.599609999999"/>
    <n v="27.11"/>
    <n v="3.92"/>
    <n v="83.55"/>
    <n v="9"/>
    <s v="Rp0"/>
    <n v="0"/>
  </r>
  <r>
    <x v="1618"/>
    <n v="46000"/>
    <n v="1836"/>
    <n v="1"/>
    <x v="0"/>
    <n v="4"/>
    <s v="False"/>
    <n v="46150"/>
    <n v="46995"/>
    <n v="46000"/>
    <n v="46400"/>
    <n v="48750"/>
    <n v="0"/>
    <n v="130.43469999999999"/>
    <n v="-0.75841788300000001"/>
    <n v="16237"/>
    <n v="27.05"/>
    <n v="4.8"/>
    <n v="83.97"/>
    <n v="10"/>
    <s v="Rp0"/>
    <n v="0"/>
  </r>
  <r>
    <x v="1619"/>
    <n v="46000"/>
    <n v="1837"/>
    <n v="1"/>
    <x v="0"/>
    <n v="5"/>
    <s v="False"/>
    <n v="46092.857142857145"/>
    <n v="46936.666666666664"/>
    <n v="46000"/>
    <n v="46400"/>
    <n v="47750"/>
    <n v="0"/>
    <n v="130.43469999999999"/>
    <n v="-0.75841788300000001"/>
    <n v="16237"/>
    <n v="26.31"/>
    <n v="16.32"/>
    <n v="86.03"/>
    <n v="11"/>
    <s v="Rp0"/>
    <n v="0"/>
  </r>
  <r>
    <x v="1620"/>
    <n v="46000"/>
    <n v="1838"/>
    <n v="1"/>
    <x v="0"/>
    <n v="6"/>
    <s v="False"/>
    <n v="46035.714285714283"/>
    <n v="46870"/>
    <n v="46000"/>
    <n v="46400"/>
    <n v="48000"/>
    <n v="0"/>
    <n v="130.43469999999999"/>
    <n v="-0.75841788300000001"/>
    <n v="16237"/>
    <n v="26.74"/>
    <n v="3.45"/>
    <n v="84.49"/>
    <n v="12"/>
    <s v="Rp0"/>
    <n v="0"/>
  </r>
  <r>
    <x v="1621"/>
    <n v="45500"/>
    <n v="1839"/>
    <n v="1"/>
    <x v="0"/>
    <n v="0"/>
    <s v="False"/>
    <n v="45928.571428571428"/>
    <n v="46786.666666666664"/>
    <n v="46000"/>
    <n v="46250"/>
    <n v="48000"/>
    <n v="-500"/>
    <n v="130.43469999999999"/>
    <n v="-0.75841788300000001"/>
    <n v="16268"/>
    <n v="26.46"/>
    <n v="7.59"/>
    <n v="85.62"/>
    <n v="13"/>
    <s v="-Rp500"/>
    <n v="-1.0900000000000001"/>
  </r>
  <r>
    <x v="1622"/>
    <n v="45900"/>
    <n v="1840"/>
    <n v="1"/>
    <x v="0"/>
    <n v="1"/>
    <s v="False"/>
    <n v="45914.285714285717"/>
    <n v="46716.666666666664"/>
    <n v="45500"/>
    <n v="46000"/>
    <n v="48000"/>
    <n v="400"/>
    <n v="130.43469999999999"/>
    <n v="-0.75841788300000001"/>
    <n v="16295.200199999999"/>
    <n v="26.21"/>
    <n v="8.26"/>
    <n v="87.75"/>
    <n v="14"/>
    <s v="Rp400"/>
    <n v="0.88"/>
  </r>
  <r>
    <x v="1623"/>
    <n v="45250"/>
    <n v="1841"/>
    <n v="1"/>
    <x v="0"/>
    <n v="2"/>
    <s v="False"/>
    <n v="45807.142857142855"/>
    <n v="46616.666666666664"/>
    <n v="45900"/>
    <n v="46000"/>
    <n v="48250"/>
    <n v="-650"/>
    <n v="130.43469999999999"/>
    <n v="-0.75841788300000001"/>
    <n v="16320"/>
    <n v="26.77"/>
    <n v="12.17"/>
    <n v="85.27"/>
    <n v="15"/>
    <s v="-Rp650"/>
    <n v="-1.42"/>
  </r>
  <r>
    <x v="1624"/>
    <n v="45250"/>
    <n v="1842"/>
    <n v="1"/>
    <x v="0"/>
    <n v="3"/>
    <s v="False"/>
    <n v="45700"/>
    <n v="46516.666666666664"/>
    <n v="45250"/>
    <n v="46000"/>
    <n v="48250"/>
    <n v="0"/>
    <n v="130.43469999999999"/>
    <n v="-0.75841788300000001"/>
    <n v="16360.799800000001"/>
    <n v="26.65"/>
    <n v="12.48"/>
    <n v="85.21"/>
    <n v="16"/>
    <s v="Rp0"/>
    <n v="0"/>
  </r>
  <r>
    <x v="1625"/>
    <n v="45250"/>
    <n v="1843"/>
    <n v="1"/>
    <x v="0"/>
    <n v="4"/>
    <s v="False"/>
    <n v="45592.857142857145"/>
    <n v="46416.666666666664"/>
    <n v="45250"/>
    <n v="46000"/>
    <n v="48250"/>
    <n v="0"/>
    <n v="130.43469999999999"/>
    <n v="-0.75841788300000001"/>
    <n v="16368.799800000001"/>
    <n v="27.02"/>
    <n v="15.28"/>
    <n v="86.15"/>
    <n v="17"/>
    <s v="Rp0"/>
    <n v="0"/>
  </r>
  <r>
    <x v="1626"/>
    <n v="44250"/>
    <n v="1846"/>
    <n v="1"/>
    <x v="0"/>
    <n v="0"/>
    <s v="False"/>
    <m/>
    <m/>
    <m/>
    <n v="45500"/>
    <n v="47750"/>
    <m/>
    <n v="130.43469999999999"/>
    <n v="-0.75841788300000001"/>
    <n v="16367.099609999999"/>
    <n v="27.31"/>
    <n v="7.66"/>
    <n v="83.26"/>
    <n v="20"/>
    <s v="-Rp1000"/>
    <n v="-2.21"/>
  </r>
  <r>
    <x v="1627"/>
    <n v="44150"/>
    <n v="1847"/>
    <n v="1"/>
    <x v="0"/>
    <n v="1"/>
    <s v="False"/>
    <m/>
    <m/>
    <n v="44250"/>
    <n v="45900"/>
    <n v="47750"/>
    <n v="-100"/>
    <n v="130.43469999999999"/>
    <n v="-0.75841788300000001"/>
    <n v="16245"/>
    <n v="27.32"/>
    <n v="5.53"/>
    <n v="82.06"/>
    <n v="21"/>
    <s v="-Rp100"/>
    <n v="-0.23"/>
  </r>
  <r>
    <x v="1628"/>
    <n v="43650"/>
    <n v="1848"/>
    <n v="1"/>
    <x v="0"/>
    <n v="2"/>
    <s v="False"/>
    <m/>
    <m/>
    <n v="44150"/>
    <n v="45250"/>
    <n v="47000"/>
    <n v="-500"/>
    <n v="130.43469999999999"/>
    <n v="-0.75841788300000001"/>
    <n v="16330.799800000001"/>
    <n v="26.55"/>
    <n v="8.73"/>
    <n v="86.19"/>
    <n v="22"/>
    <s v="-Rp500"/>
    <n v="-1.1299999999999999"/>
  </r>
  <r>
    <x v="1629"/>
    <n v="43650"/>
    <n v="1849"/>
    <n v="1"/>
    <x v="0"/>
    <n v="3"/>
    <s v="False"/>
    <m/>
    <m/>
    <n v="43650"/>
    <n v="45250"/>
    <n v="46650"/>
    <n v="0"/>
    <n v="130.43469999999999"/>
    <n v="-0.75841788300000001"/>
    <n v="16232.799800000001"/>
    <n v="26.2"/>
    <n v="12.23"/>
    <n v="84.88"/>
    <n v="23"/>
    <s v="Rp0"/>
    <n v="0"/>
  </r>
  <r>
    <x v="1630"/>
    <n v="43400"/>
    <n v="1850"/>
    <n v="1"/>
    <x v="0"/>
    <n v="4"/>
    <s v="False"/>
    <m/>
    <m/>
    <n v="43650"/>
    <n v="45250"/>
    <n v="46650"/>
    <n v="-250"/>
    <n v="130.43469999999999"/>
    <n v="-0.75841788300000001"/>
    <n v="16230.900390000001"/>
    <n v="26.32"/>
    <n v="6.48"/>
    <n v="86.96"/>
    <n v="24"/>
    <s v="-Rp250"/>
    <n v="-0.56999999999999995"/>
  </r>
  <r>
    <x v="1631"/>
    <n v="43400"/>
    <n v="1853"/>
    <n v="1"/>
    <x v="0"/>
    <n v="0"/>
    <s v="False"/>
    <m/>
    <m/>
    <m/>
    <n v="44250"/>
    <n v="46250"/>
    <m/>
    <n v="130.43469999999999"/>
    <n v="-0.75841788300000001"/>
    <n v="16164.900390000001"/>
    <n v="26.62"/>
    <n v="13.54"/>
    <n v="84.26"/>
    <n v="27"/>
    <m/>
    <n v="0"/>
  </r>
  <r>
    <x v="1632"/>
    <n v="43400"/>
    <n v="1854"/>
    <n v="1"/>
    <x v="0"/>
    <n v="1"/>
    <s v="False"/>
    <m/>
    <m/>
    <n v="43400"/>
    <n v="44150"/>
    <n v="46250"/>
    <n v="0"/>
    <n v="130.43469999999999"/>
    <n v="-0.75841788300000001"/>
    <n v="16155.599609999999"/>
    <n v="26.45"/>
    <n v="5.83"/>
    <n v="82.79"/>
    <n v="28"/>
    <s v="Rp0"/>
    <n v="0"/>
  </r>
  <r>
    <x v="1633"/>
    <n v="43400"/>
    <n v="1855"/>
    <n v="1"/>
    <x v="0"/>
    <n v="2"/>
    <s v="True"/>
    <m/>
    <m/>
    <n v="43400"/>
    <n v="43650"/>
    <n v="47000"/>
    <n v="0"/>
    <n v="130.43469999999999"/>
    <n v="-0.75841788300000001"/>
    <n v="15881.200199999999"/>
    <n v="26.77"/>
    <n v="26.41"/>
    <n v="82.74"/>
    <n v="29"/>
    <s v="Rp0"/>
    <n v="0"/>
  </r>
  <r>
    <x v="1634"/>
    <n v="42150"/>
    <n v="1856"/>
    <n v="1"/>
    <x v="0"/>
    <n v="3"/>
    <s v="False"/>
    <m/>
    <m/>
    <n v="43400"/>
    <n v="43650"/>
    <n v="46900"/>
    <n v="-1250"/>
    <n v="130.43469999999999"/>
    <n v="-0.75841788300000001"/>
    <n v="16238"/>
    <n v="27.09"/>
    <n v="2.21"/>
    <n v="83.5"/>
    <n v="30"/>
    <s v="-Rp1250"/>
    <n v="-2.88"/>
  </r>
  <r>
    <x v="1635"/>
    <n v="42150"/>
    <n v="1857"/>
    <n v="1"/>
    <x v="0"/>
    <n v="4"/>
    <s v="False"/>
    <m/>
    <m/>
    <n v="42150"/>
    <n v="43400"/>
    <n v="46900"/>
    <n v="0"/>
    <n v="130.43469999999999"/>
    <n v="-0.75841788300000001"/>
    <n v="16274.5"/>
    <n v="26.67"/>
    <n v="9.93"/>
    <n v="87.43"/>
    <n v="31"/>
    <s v="Rp0"/>
    <n v="0"/>
  </r>
  <r>
    <x v="1636"/>
    <n v="42150"/>
    <n v="1858"/>
    <n v="2"/>
    <x v="0"/>
    <n v="5"/>
    <s v="False"/>
    <m/>
    <m/>
    <n v="42150"/>
    <m/>
    <n v="46400"/>
    <n v="0"/>
    <n v="129.80709999999999"/>
    <n v="-0.48116030500000001"/>
    <n v="16274.5"/>
    <n v="25.92"/>
    <n v="9.92"/>
    <n v="85.37"/>
    <n v="1"/>
    <s v="Rp0"/>
    <n v="0"/>
  </r>
  <r>
    <x v="1637"/>
    <n v="42150"/>
    <n v="1859"/>
    <n v="2"/>
    <x v="0"/>
    <n v="6"/>
    <s v="False"/>
    <n v="42685.714285714283"/>
    <m/>
    <n v="42150"/>
    <m/>
    <n v="46400"/>
    <n v="0"/>
    <n v="129.80709999999999"/>
    <n v="-0.48116030500000001"/>
    <n v="16274.5"/>
    <n v="25.71"/>
    <n v="3.9"/>
    <n v="76.819999999999993"/>
    <n v="2"/>
    <s v="Rp0"/>
    <n v="0"/>
  </r>
  <r>
    <x v="1638"/>
    <n v="40150"/>
    <n v="1860"/>
    <n v="2"/>
    <x v="0"/>
    <n v="0"/>
    <s v="False"/>
    <n v="42221.428571428572"/>
    <m/>
    <n v="42150"/>
    <n v="43400"/>
    <n v="46400"/>
    <n v="-2000"/>
    <n v="129.80709999999999"/>
    <n v="-0.48116030500000001"/>
    <n v="16341.299800000001"/>
    <n v="26.63"/>
    <n v="2.94"/>
    <n v="81.39"/>
    <n v="3"/>
    <s v="-Rp2000"/>
    <n v="-4.74"/>
  </r>
  <r>
    <x v="1639"/>
    <n v="39900"/>
    <n v="1861"/>
    <n v="2"/>
    <x v="0"/>
    <n v="1"/>
    <s v="False"/>
    <n v="41721.428571428572"/>
    <m/>
    <n v="40150"/>
    <n v="43400"/>
    <n v="46400"/>
    <n v="-250"/>
    <n v="129.80709999999999"/>
    <n v="-0.48116030500000001"/>
    <n v="16320"/>
    <n v="25.87"/>
    <n v="7.18"/>
    <n v="83.71"/>
    <n v="4"/>
    <s v="-Rp250"/>
    <n v="-0.62"/>
  </r>
  <r>
    <x v="1640"/>
    <n v="39900"/>
    <n v="1862"/>
    <n v="2"/>
    <x v="0"/>
    <n v="2"/>
    <s v="False"/>
    <n v="41221.428571428572"/>
    <m/>
    <n v="39900"/>
    <n v="43400"/>
    <n v="46250"/>
    <n v="0"/>
    <n v="129.80709999999999"/>
    <n v="-0.48116030500000001"/>
    <n v="16299.099609999999"/>
    <n v="26.26"/>
    <n v="9.86"/>
    <n v="84.46"/>
    <n v="5"/>
    <s v="Rp0"/>
    <n v="0"/>
  </r>
  <r>
    <x v="1641"/>
    <n v="40750"/>
    <n v="1863"/>
    <n v="2"/>
    <x v="0"/>
    <n v="3"/>
    <s v="False"/>
    <n v="41021.428571428572"/>
    <m/>
    <n v="39900"/>
    <n v="42150"/>
    <n v="46000"/>
    <n v="850"/>
    <n v="129.80709999999999"/>
    <n v="-0.48116030500000001"/>
    <n v="16298.099609999999"/>
    <n v="26.23"/>
    <n v="17.64"/>
    <n v="87.29"/>
    <n v="6"/>
    <s v="Rp850"/>
    <n v="2.13"/>
  </r>
  <r>
    <x v="1642"/>
    <n v="40750"/>
    <n v="1864"/>
    <n v="2"/>
    <x v="0"/>
    <n v="4"/>
    <s v="False"/>
    <n v="40821.428571428572"/>
    <m/>
    <n v="40750"/>
    <n v="42150"/>
    <n v="46000"/>
    <n v="0"/>
    <n v="129.80709999999999"/>
    <n v="-0.48116030500000001"/>
    <n v="16327"/>
    <n v="26.44"/>
    <n v="4.5199999999999996"/>
    <n v="83.96"/>
    <n v="7"/>
    <s v="Rp0"/>
    <n v="0"/>
  </r>
  <r>
    <x v="1643"/>
    <n v="40750"/>
    <n v="1865"/>
    <n v="2"/>
    <x v="0"/>
    <n v="5"/>
    <s v="False"/>
    <n v="40621.428571428572"/>
    <m/>
    <n v="40750"/>
    <n v="42150"/>
    <n v="46000"/>
    <n v="0"/>
    <n v="129.80709999999999"/>
    <n v="-0.48116030500000001"/>
    <n v="16327"/>
    <n v="26.78"/>
    <n v="2.92"/>
    <n v="85.35"/>
    <n v="8"/>
    <s v="Rp0"/>
    <n v="0"/>
  </r>
  <r>
    <x v="1644"/>
    <n v="40750"/>
    <n v="1866"/>
    <n v="2"/>
    <x v="0"/>
    <n v="6"/>
    <s v="False"/>
    <n v="40421.428571428572"/>
    <m/>
    <n v="40750"/>
    <n v="42150"/>
    <n v="46000"/>
    <n v="0"/>
    <n v="129.80709999999999"/>
    <n v="-0.48116030500000001"/>
    <n v="16327"/>
    <n v="27.1"/>
    <n v="4.96"/>
    <n v="85.05"/>
    <n v="9"/>
    <s v="Rp0"/>
    <n v="0"/>
  </r>
  <r>
    <x v="1645"/>
    <n v="41250"/>
    <n v="1867"/>
    <n v="2"/>
    <x v="0"/>
    <n v="0"/>
    <s v="False"/>
    <n v="40578.571428571428"/>
    <m/>
    <n v="40750"/>
    <n v="40150"/>
    <n v="46000"/>
    <n v="500"/>
    <n v="129.80709999999999"/>
    <n v="-0.48116030500000001"/>
    <n v="16314.700199999999"/>
    <n v="26.75"/>
    <n v="8.5500000000000007"/>
    <n v="86.95"/>
    <n v="10"/>
    <s v="Rp500"/>
    <n v="1.23"/>
  </r>
  <r>
    <x v="1646"/>
    <n v="41250"/>
    <n v="1868"/>
    <n v="2"/>
    <x v="0"/>
    <n v="1"/>
    <s v="False"/>
    <n v="40771.428571428572"/>
    <m/>
    <n v="41250"/>
    <n v="39900"/>
    <n v="46000"/>
    <n v="0"/>
    <n v="129.80709999999999"/>
    <n v="-0.48116030500000001"/>
    <n v="16330.099609999999"/>
    <n v="26.51"/>
    <n v="13.86"/>
    <n v="86.12"/>
    <n v="11"/>
    <s v="Rp0"/>
    <n v="0"/>
  </r>
  <r>
    <x v="1647"/>
    <n v="41250"/>
    <n v="1869"/>
    <n v="2"/>
    <x v="0"/>
    <n v="2"/>
    <s v="False"/>
    <n v="40964.285714285717"/>
    <m/>
    <n v="41250"/>
    <n v="39900"/>
    <n v="45500"/>
    <n v="0"/>
    <n v="129.80709999999999"/>
    <n v="-0.48116030500000001"/>
    <n v="16343.299800000001"/>
    <n v="26.2"/>
    <n v="3.5"/>
    <n v="82.76"/>
    <n v="12"/>
    <s v="Rp0"/>
    <n v="0"/>
  </r>
  <r>
    <x v="1648"/>
    <n v="41250"/>
    <n v="1870"/>
    <n v="2"/>
    <x v="0"/>
    <n v="3"/>
    <s v="False"/>
    <n v="41035.714285714283"/>
    <m/>
    <n v="41250"/>
    <n v="40750"/>
    <n v="45900"/>
    <n v="0"/>
    <n v="129.80709999999999"/>
    <n v="-0.48116030500000001"/>
    <n v="16375"/>
    <n v="26.73"/>
    <n v="2.63"/>
    <n v="84.78"/>
    <n v="13"/>
    <s v="Rp0"/>
    <n v="0"/>
  </r>
  <r>
    <x v="1649"/>
    <n v="41250"/>
    <n v="1871"/>
    <n v="2"/>
    <x v="0"/>
    <n v="4"/>
    <s v="False"/>
    <n v="41107.142857142855"/>
    <m/>
    <n v="41250"/>
    <n v="40750"/>
    <n v="45250"/>
    <n v="0"/>
    <n v="129.80709999999999"/>
    <n v="-0.48116030500000001"/>
    <n v="16219"/>
    <n v="26.77"/>
    <n v="4.62"/>
    <n v="84.07"/>
    <n v="14"/>
    <s v="Rp0"/>
    <n v="0"/>
  </r>
  <r>
    <x v="1650"/>
    <n v="41250"/>
    <n v="1872"/>
    <n v="2"/>
    <x v="0"/>
    <n v="5"/>
    <s v="False"/>
    <n v="41178.571428571428"/>
    <m/>
    <n v="41250"/>
    <n v="40750"/>
    <n v="45250"/>
    <n v="0"/>
    <n v="129.80709999999999"/>
    <n v="-0.48116030500000001"/>
    <n v="16219"/>
    <n v="26.64"/>
    <n v="5.81"/>
    <n v="84.56"/>
    <n v="15"/>
    <s v="Rp0"/>
    <n v="0"/>
  </r>
  <r>
    <x v="1651"/>
    <n v="41250"/>
    <n v="1873"/>
    <n v="2"/>
    <x v="0"/>
    <n v="6"/>
    <s v="False"/>
    <n v="41250"/>
    <m/>
    <n v="41250"/>
    <n v="40750"/>
    <n v="45250"/>
    <n v="0"/>
    <n v="129.80709999999999"/>
    <n v="-0.48116030500000001"/>
    <n v="16219"/>
    <n v="26.97"/>
    <n v="6.3"/>
    <n v="84.53"/>
    <n v="16"/>
    <s v="Rp0"/>
    <n v="0"/>
  </r>
  <r>
    <x v="1652"/>
    <n v="41750"/>
    <n v="1874"/>
    <n v="2"/>
    <x v="0"/>
    <n v="0"/>
    <s v="False"/>
    <n v="41321.428571428572"/>
    <m/>
    <n v="41250"/>
    <n v="41250"/>
    <m/>
    <n v="500"/>
    <n v="129.80709999999999"/>
    <n v="-0.48116030500000001"/>
    <n v="16173"/>
    <n v="26.57"/>
    <n v="11.72"/>
    <n v="87.05"/>
    <n v="17"/>
    <s v="Rp500"/>
    <n v="1.21"/>
  </r>
  <r>
    <x v="1653"/>
    <n v="41750"/>
    <n v="1875"/>
    <n v="2"/>
    <x v="0"/>
    <n v="1"/>
    <s v="False"/>
    <n v="41392.857142857145"/>
    <m/>
    <n v="41750"/>
    <n v="41250"/>
    <m/>
    <n v="0"/>
    <n v="129.80709999999999"/>
    <n v="-0.48116030500000001"/>
    <n v="16220"/>
    <n v="26.24"/>
    <n v="5.76"/>
    <n v="82.62"/>
    <n v="18"/>
    <s v="Rp0"/>
    <n v="0"/>
  </r>
  <r>
    <x v="1654"/>
    <n v="41750"/>
    <n v="1876"/>
    <n v="2"/>
    <x v="0"/>
    <n v="2"/>
    <s v="False"/>
    <n v="41464.285714285717"/>
    <m/>
    <n v="41750"/>
    <n v="41250"/>
    <n v="44250"/>
    <n v="0"/>
    <n v="129.80709999999999"/>
    <n v="-0.48116030500000001"/>
    <n v="16317"/>
    <n v="26.14"/>
    <n v="0.8"/>
    <n v="80.89"/>
    <n v="19"/>
    <s v="Rp0"/>
    <n v="0"/>
  </r>
  <r>
    <x v="1655"/>
    <n v="41750"/>
    <n v="1877"/>
    <n v="2"/>
    <x v="0"/>
    <n v="3"/>
    <s v="False"/>
    <n v="41535.714285714283"/>
    <m/>
    <n v="41750"/>
    <n v="41250"/>
    <n v="44150"/>
    <n v="0"/>
    <n v="129.80709999999999"/>
    <n v="-0.48116030500000001"/>
    <n v="16346.400390000001"/>
    <n v="26.59"/>
    <n v="3.55"/>
    <n v="86.79"/>
    <n v="20"/>
    <s v="Rp0"/>
    <n v="0"/>
  </r>
  <r>
    <x v="1656"/>
    <n v="41250"/>
    <n v="1878"/>
    <n v="2"/>
    <x v="0"/>
    <n v="4"/>
    <s v="False"/>
    <n v="41535.714285714283"/>
    <m/>
    <n v="41750"/>
    <n v="41250"/>
    <n v="43650"/>
    <n v="-500"/>
    <n v="129.80709999999999"/>
    <n v="-0.48116030500000001"/>
    <n v="16245.099609999999"/>
    <n v="26.56"/>
    <n v="8.6"/>
    <n v="86.5"/>
    <n v="21"/>
    <s v="-Rp500"/>
    <n v="-1.2"/>
  </r>
  <r>
    <x v="1657"/>
    <n v="41250"/>
    <n v="1879"/>
    <n v="2"/>
    <x v="0"/>
    <n v="5"/>
    <s v="False"/>
    <n v="41535.714285714283"/>
    <m/>
    <n v="41250"/>
    <n v="41250"/>
    <n v="43650"/>
    <n v="0"/>
    <n v="129.80709999999999"/>
    <n v="-0.48116030500000001"/>
    <n v="16245.099609999999"/>
    <n v="26.72"/>
    <n v="12.35"/>
    <n v="82.69"/>
    <n v="22"/>
    <s v="-Rp500"/>
    <n v="-1.2"/>
  </r>
  <r>
    <x v="1658"/>
    <n v="41250"/>
    <n v="1880"/>
    <n v="2"/>
    <x v="0"/>
    <n v="6"/>
    <s v="False"/>
    <n v="41535.714285714283"/>
    <m/>
    <n v="41250"/>
    <n v="41250"/>
    <n v="43400"/>
    <n v="0"/>
    <n v="129.80709999999999"/>
    <n v="-0.48116030500000001"/>
    <n v="16245.099609999999"/>
    <n v="26.71"/>
    <n v="9.3699999999999992"/>
    <n v="84.58"/>
    <n v="23"/>
    <s v="-Rp500"/>
    <n v="-1.2"/>
  </r>
  <r>
    <x v="1659"/>
    <n v="42750"/>
    <n v="1881"/>
    <n v="2"/>
    <x v="0"/>
    <n v="0"/>
    <s v="False"/>
    <n v="41678.571428571428"/>
    <m/>
    <n v="41250"/>
    <n v="41750"/>
    <m/>
    <n v="1500"/>
    <n v="129.80709999999999"/>
    <n v="-0.48116030500000001"/>
    <n v="16278"/>
    <n v="26.72"/>
    <n v="4.9400000000000004"/>
    <n v="84.88"/>
    <n v="24"/>
    <s v="Rp1500"/>
    <n v="3.64"/>
  </r>
  <r>
    <x v="1660"/>
    <n v="44000"/>
    <n v="1882"/>
    <n v="2"/>
    <x v="0"/>
    <n v="1"/>
    <s v="False"/>
    <n v="42000"/>
    <n v="41600"/>
    <n v="42750"/>
    <n v="41750"/>
    <m/>
    <n v="1250"/>
    <n v="129.80709999999999"/>
    <n v="-0.48116030500000001"/>
    <n v="16279.299800000001"/>
    <n v="26.29"/>
    <n v="4.43"/>
    <n v="85.44"/>
    <n v="25"/>
    <s v="Rp1250"/>
    <n v="2.92"/>
  </r>
  <r>
    <x v="1661"/>
    <n v="44650"/>
    <n v="1883"/>
    <n v="2"/>
    <x v="0"/>
    <n v="2"/>
    <s v="False"/>
    <n v="42414.285714285717"/>
    <n v="41641.666666666664"/>
    <n v="44000"/>
    <n v="41750"/>
    <n v="43400"/>
    <n v="650"/>
    <n v="129.80709999999999"/>
    <n v="-0.48116030500000001"/>
    <n v="16314"/>
    <n v="26.99"/>
    <n v="2.58"/>
    <n v="82.15"/>
    <n v="26"/>
    <s v="Rp650"/>
    <n v="1.48"/>
  </r>
  <r>
    <x v="1662"/>
    <n v="44650"/>
    <n v="1884"/>
    <n v="2"/>
    <x v="0"/>
    <n v="3"/>
    <s v="False"/>
    <n v="42828.571428571428"/>
    <n v="41683.333333333336"/>
    <n v="44650"/>
    <n v="41750"/>
    <n v="43400"/>
    <n v="0"/>
    <n v="129.80709999999999"/>
    <n v="-0.48116030500000001"/>
    <n v="16367.400390000001"/>
    <n v="27.18"/>
    <n v="34.520000000000003"/>
    <n v="81.48"/>
    <n v="27"/>
    <s v="Rp0"/>
    <n v="0"/>
  </r>
  <r>
    <x v="1663"/>
    <n v="45150"/>
    <n v="1885"/>
    <n v="2"/>
    <x v="0"/>
    <n v="4"/>
    <s v="False"/>
    <n v="43385.714285714283"/>
    <n v="41741.666666666664"/>
    <n v="44650"/>
    <n v="41250"/>
    <n v="43400"/>
    <n v="500"/>
    <n v="129.80709999999999"/>
    <n v="-0.48116030500000001"/>
    <n v="16553.699219999999"/>
    <n v="26.52"/>
    <n v="12.58"/>
    <n v="83.96"/>
    <n v="28"/>
    <s v="Rp500"/>
    <n v="1.1200000000000001"/>
  </r>
  <r>
    <x v="1664"/>
    <n v="45150"/>
    <n v="1886"/>
    <n v="3"/>
    <x v="0"/>
    <n v="5"/>
    <s v="False"/>
    <n v="43942.857142857145"/>
    <n v="41841.666666666664"/>
    <n v="45150"/>
    <n v="41250"/>
    <n v="42150"/>
    <n v="0"/>
    <n v="131.94839999999999"/>
    <n v="1.6496016010000001"/>
    <n v="16553.699219999999"/>
    <n v="26.88"/>
    <n v="5.28"/>
    <n v="81.28"/>
    <n v="1"/>
    <s v="Rp500"/>
    <n v="1.1200000000000001"/>
  </r>
  <r>
    <x v="1665"/>
    <n v="45150"/>
    <n v="1887"/>
    <n v="3"/>
    <x v="0"/>
    <n v="6"/>
    <s v="False"/>
    <n v="44500"/>
    <n v="41941.666666666664"/>
    <n v="45150"/>
    <n v="41250"/>
    <n v="42150"/>
    <n v="0"/>
    <n v="131.94839999999999"/>
    <n v="1.6496016010000001"/>
    <n v="16553.699219999999"/>
    <n v="27.75"/>
    <n v="2.84"/>
    <n v="79.34"/>
    <n v="2"/>
    <s v="Rp500"/>
    <n v="1.1200000000000001"/>
  </r>
  <r>
    <x v="1666"/>
    <n v="45650"/>
    <n v="1888"/>
    <n v="3"/>
    <x v="0"/>
    <n v="0"/>
    <s v="False"/>
    <n v="44914.285714285717"/>
    <n v="42058.333333333336"/>
    <n v="45150"/>
    <n v="42750"/>
    <n v="42150"/>
    <n v="500"/>
    <n v="131.94839999999999"/>
    <n v="1.6496016010000001"/>
    <n v="16522"/>
    <n v="27.42"/>
    <n v="0.95"/>
    <n v="81.709999999999994"/>
    <n v="3"/>
    <m/>
    <n v="0"/>
  </r>
  <r>
    <x v="1667"/>
    <n v="46250"/>
    <n v="1889"/>
    <n v="3"/>
    <x v="0"/>
    <n v="1"/>
    <s v="False"/>
    <n v="45235.714285714283"/>
    <n v="42195"/>
    <n v="45650"/>
    <n v="44000"/>
    <n v="42150"/>
    <n v="600"/>
    <n v="131.94839999999999"/>
    <n v="1.6496016010000001"/>
    <n v="16451.199219999999"/>
    <n v="27.39"/>
    <n v="4.72"/>
    <n v="83.9"/>
    <n v="4"/>
    <s v="Rp600"/>
    <n v="1.31"/>
  </r>
  <r>
    <x v="1668"/>
    <n v="46500"/>
    <n v="1890"/>
    <n v="3"/>
    <x v="0"/>
    <n v="2"/>
    <s v="False"/>
    <n v="45500"/>
    <n v="42406.666666666664"/>
    <n v="46250"/>
    <n v="44650"/>
    <n v="40150"/>
    <n v="250"/>
    <n v="131.94839999999999"/>
    <n v="1.6496016010000001"/>
    <n v="16379"/>
    <n v="27.29"/>
    <n v="7.97"/>
    <n v="86.01"/>
    <n v="5"/>
    <s v="Rp250"/>
    <n v="0.54"/>
  </r>
  <r>
    <x v="1669"/>
    <n v="45900"/>
    <n v="1891"/>
    <n v="3"/>
    <x v="0"/>
    <n v="3"/>
    <s v="False"/>
    <n v="45678.571428571428"/>
    <n v="42606.666666666664"/>
    <n v="46500"/>
    <n v="44650"/>
    <n v="39900"/>
    <n v="-600"/>
    <n v="131.94839999999999"/>
    <n v="1.6496016010000001"/>
    <n v="16268.900390000001"/>
    <n v="26.41"/>
    <n v="23.1"/>
    <n v="87.38"/>
    <n v="6"/>
    <s v="-Rp600"/>
    <n v="-1.29"/>
  </r>
  <r>
    <x v="1670"/>
    <n v="45900"/>
    <n v="1892"/>
    <n v="3"/>
    <x v="0"/>
    <n v="4"/>
    <s v="False"/>
    <n v="45785.714285714283"/>
    <n v="42806.666666666664"/>
    <n v="45900"/>
    <n v="45150"/>
    <n v="39900"/>
    <n v="0"/>
    <n v="131.94839999999999"/>
    <n v="1.6496016010000001"/>
    <n v="16322.099609999999"/>
    <n v="26.77"/>
    <n v="4.38"/>
    <n v="84.85"/>
    <n v="7"/>
    <s v="Rp0"/>
    <n v="0"/>
  </r>
  <r>
    <x v="1671"/>
    <n v="45900"/>
    <n v="1893"/>
    <n v="3"/>
    <x v="0"/>
    <n v="5"/>
    <s v="False"/>
    <n v="45892.857142857145"/>
    <n v="42978.333333333336"/>
    <n v="45900"/>
    <n v="45150"/>
    <n v="40750"/>
    <n v="0"/>
    <n v="131.94839999999999"/>
    <n v="1.6496016010000001"/>
    <n v="16322.099609999999"/>
    <n v="26.12"/>
    <n v="29.05"/>
    <n v="87.18"/>
    <n v="8"/>
    <s v="Rp0"/>
    <n v="0"/>
  </r>
  <r>
    <x v="1672"/>
    <n v="45900"/>
    <n v="1894"/>
    <n v="3"/>
    <x v="0"/>
    <n v="6"/>
    <s v="False"/>
    <n v="46000"/>
    <n v="43150"/>
    <n v="45900"/>
    <n v="45150"/>
    <n v="40750"/>
    <n v="0"/>
    <n v="131.94839999999999"/>
    <n v="1.6496016010000001"/>
    <n v="16322.099609999999"/>
    <n v="26.17"/>
    <n v="17.649999999999999"/>
    <n v="85.45"/>
    <n v="9"/>
    <s v="Rp0"/>
    <n v="0"/>
  </r>
  <r>
    <x v="1673"/>
    <n v="46400"/>
    <n v="1895"/>
    <n v="3"/>
    <x v="0"/>
    <n v="0"/>
    <s v="False"/>
    <n v="46107.142857142855"/>
    <n v="43338.333333333336"/>
    <n v="45900"/>
    <n v="45650"/>
    <n v="40750"/>
    <n v="500"/>
    <n v="131.94839999999999"/>
    <n v="1.6496016010000001"/>
    <n v="16292.599609999999"/>
    <n v="26.73"/>
    <n v="2.2799999999999998"/>
    <n v="84.07"/>
    <n v="10"/>
    <s v="Rp500"/>
    <n v="1.0900000000000001"/>
  </r>
  <r>
    <x v="1674"/>
    <n v="46250"/>
    <n v="1896"/>
    <n v="3"/>
    <x v="0"/>
    <n v="1"/>
    <s v="False"/>
    <n v="46107.142857142855"/>
    <n v="43521.666666666664"/>
    <n v="46400"/>
    <n v="46250"/>
    <n v="40750"/>
    <n v="-150"/>
    <n v="131.94839999999999"/>
    <n v="1.6496016010000001"/>
    <n v="16324"/>
    <n v="27.2"/>
    <n v="3.98"/>
    <n v="83.87"/>
    <n v="11"/>
    <s v="-Rp150"/>
    <n v="-0.32"/>
  </r>
  <r>
    <x v="1675"/>
    <n v="46250"/>
    <n v="1897"/>
    <n v="3"/>
    <x v="0"/>
    <n v="2"/>
    <s v="False"/>
    <n v="46071.428571428572"/>
    <n v="43688.333333333336"/>
    <n v="46250"/>
    <n v="46500"/>
    <n v="41250"/>
    <n v="0"/>
    <n v="131.94839999999999"/>
    <n v="1.6496016010000001"/>
    <n v="16433.900389999999"/>
    <n v="27.1"/>
    <n v="4.7300000000000004"/>
    <n v="83.43"/>
    <n v="12"/>
    <s v="Rp0"/>
    <n v="0"/>
  </r>
  <r>
    <x v="1676"/>
    <n v="46500"/>
    <n v="1898"/>
    <n v="3"/>
    <x v="0"/>
    <n v="3"/>
    <s v="False"/>
    <n v="46157.142857142855"/>
    <n v="43863.333333333336"/>
    <n v="46250"/>
    <n v="45900"/>
    <n v="41250"/>
    <n v="250"/>
    <n v="131.94839999999999"/>
    <n v="1.6496016010000001"/>
    <n v="16305.599609999999"/>
    <n v="27.06"/>
    <n v="5.15"/>
    <n v="86.47"/>
    <n v="13"/>
    <s v="Rp250"/>
    <n v="0.54"/>
  </r>
  <r>
    <x v="1677"/>
    <n v="46250"/>
    <n v="1899"/>
    <n v="3"/>
    <x v="0"/>
    <n v="4"/>
    <s v="False"/>
    <n v="46207.142857142855"/>
    <n v="44030"/>
    <n v="46500"/>
    <n v="45900"/>
    <n v="41250"/>
    <n v="-250"/>
    <n v="131.94839999999999"/>
    <n v="1.6496016010000001"/>
    <n v="16259.299800000001"/>
    <n v="27.71"/>
    <n v="17.16"/>
    <n v="81.34"/>
    <n v="14"/>
    <s v="-Rp250"/>
    <n v="-0.54"/>
  </r>
  <r>
    <x v="1678"/>
    <n v="46250"/>
    <n v="1900"/>
    <n v="3"/>
    <x v="0"/>
    <n v="5"/>
    <s v="False"/>
    <n v="46257.142857142855"/>
    <n v="44196.666666666664"/>
    <n v="46250"/>
    <n v="45900"/>
    <n v="41250"/>
    <n v="0"/>
    <n v="131.94839999999999"/>
    <n v="1.6496016010000001"/>
    <n v="16259.299800000001"/>
    <n v="27.26"/>
    <n v="3.65"/>
    <n v="82.33"/>
    <n v="15"/>
    <s v="-Rp250"/>
    <n v="-0.54"/>
  </r>
  <r>
    <x v="1679"/>
    <n v="46250"/>
    <n v="1901"/>
    <n v="3"/>
    <x v="0"/>
    <n v="6"/>
    <s v="False"/>
    <n v="46307.142857142855"/>
    <n v="44363.333333333336"/>
    <n v="46250"/>
    <n v="45900"/>
    <n v="41250"/>
    <n v="0"/>
    <n v="131.94839999999999"/>
    <n v="1.6496016010000001"/>
    <n v="16259.299800000001"/>
    <n v="26.72"/>
    <n v="13.73"/>
    <n v="84.02"/>
    <n v="16"/>
    <s v="-Rp250"/>
    <n v="-0.54"/>
  </r>
  <r>
    <x v="1680"/>
    <n v="46000"/>
    <n v="1902"/>
    <n v="3"/>
    <x v="0"/>
    <n v="0"/>
    <s v="False"/>
    <n v="46250"/>
    <n v="44521.666666666664"/>
    <n v="46250"/>
    <n v="46400"/>
    <n v="41250"/>
    <n v="-250"/>
    <n v="131.94839999999999"/>
    <n v="1.6496016010000001"/>
    <n v="16321"/>
    <n v="26.61"/>
    <n v="11"/>
    <n v="84.49"/>
    <n v="17"/>
    <s v="-Rp250"/>
    <n v="-0.54"/>
  </r>
  <r>
    <x v="1681"/>
    <n v="46400"/>
    <n v="1903"/>
    <n v="3"/>
    <x v="0"/>
    <n v="1"/>
    <s v="False"/>
    <n v="46271.428571428572"/>
    <n v="44693.333333333336"/>
    <n v="46000"/>
    <n v="46250"/>
    <n v="41250"/>
    <n v="400"/>
    <n v="131.94839999999999"/>
    <n v="1.6496016010000001"/>
    <n v="16370"/>
    <n v="26.45"/>
    <n v="23.35"/>
    <n v="82.86"/>
    <n v="18"/>
    <s v="Rp400"/>
    <n v="0.87"/>
  </r>
  <r>
    <x v="1682"/>
    <n v="46400"/>
    <n v="1904"/>
    <n v="3"/>
    <x v="0"/>
    <n v="2"/>
    <s v="False"/>
    <n v="46292.857142857145"/>
    <n v="44848.333333333336"/>
    <n v="46400"/>
    <n v="46250"/>
    <n v="41750"/>
    <n v="0"/>
    <n v="131.94839999999999"/>
    <n v="1.6496016010000001"/>
    <n v="16514.5"/>
    <n v="26.61"/>
    <n v="6.31"/>
    <n v="84.1"/>
    <n v="19"/>
    <s v="Rp0"/>
    <n v="0"/>
  </r>
  <r>
    <x v="1683"/>
    <n v="46400"/>
    <n v="1905"/>
    <n v="3"/>
    <x v="0"/>
    <n v="3"/>
    <s v="False"/>
    <n v="46278.571428571428"/>
    <n v="45003.333333333336"/>
    <n v="46400"/>
    <n v="46500"/>
    <n v="41750"/>
    <n v="0"/>
    <n v="131.94839999999999"/>
    <n v="1.6496016010000001"/>
    <n v="16330.299800000001"/>
    <n v="26.6"/>
    <n v="12.22"/>
    <n v="87.03"/>
    <n v="20"/>
    <s v="Rp0"/>
    <n v="0"/>
  </r>
  <r>
    <x v="1684"/>
    <n v="46400"/>
    <n v="1906"/>
    <n v="3"/>
    <x v="0"/>
    <n v="4"/>
    <s v="False"/>
    <n v="46300"/>
    <n v="45158.333333333336"/>
    <n v="46400"/>
    <n v="46250"/>
    <n v="41750"/>
    <n v="0"/>
    <n v="131.94839999999999"/>
    <n v="1.6496016010000001"/>
    <n v="16428.5"/>
    <n v="26.71"/>
    <n v="50.68"/>
    <n v="89.57"/>
    <n v="21"/>
    <s v="Rp0"/>
    <n v="0"/>
  </r>
  <r>
    <x v="1685"/>
    <n v="46400"/>
    <n v="1907"/>
    <n v="3"/>
    <x v="0"/>
    <n v="5"/>
    <s v="False"/>
    <n v="46321.428571428572"/>
    <n v="45313.333333333336"/>
    <n v="46400"/>
    <n v="46250"/>
    <n v="41750"/>
    <n v="0"/>
    <n v="131.94839999999999"/>
    <n v="1.6496016010000001"/>
    <n v="16428.5"/>
    <n v="26.18"/>
    <n v="75.510000000000005"/>
    <n v="88.65"/>
    <n v="22"/>
    <s v="Rp0"/>
    <n v="0"/>
  </r>
  <r>
    <x v="1686"/>
    <n v="46400"/>
    <n v="1908"/>
    <n v="3"/>
    <x v="0"/>
    <n v="6"/>
    <s v="False"/>
    <n v="46342.857142857145"/>
    <n v="45485"/>
    <n v="46400"/>
    <n v="46250"/>
    <n v="41250"/>
    <n v="0"/>
    <n v="131.94839999999999"/>
    <n v="1.6496016010000001"/>
    <n v="16428.5"/>
    <n v="26.03"/>
    <n v="8.31"/>
    <n v="88.31"/>
    <n v="23"/>
    <s v="Rp0"/>
    <n v="0"/>
  </r>
  <r>
    <x v="1687"/>
    <n v="48650"/>
    <n v="1909"/>
    <n v="3"/>
    <x v="0"/>
    <n v="0"/>
    <s v="False"/>
    <n v="46721.428571428572"/>
    <n v="45731.666666666664"/>
    <n v="46400"/>
    <n v="46000"/>
    <n v="41250"/>
    <n v="2250"/>
    <n v="131.94839999999999"/>
    <n v="1.6496016010000001"/>
    <n v="16519"/>
    <n v="26.39"/>
    <n v="7.04"/>
    <n v="85.32"/>
    <n v="24"/>
    <s v="Rp2250"/>
    <n v="4.8499999999999996"/>
  </r>
  <r>
    <x v="1688"/>
    <n v="48650"/>
    <n v="1910"/>
    <n v="3"/>
    <x v="0"/>
    <n v="1"/>
    <s v="False"/>
    <n v="47042.857142857145"/>
    <n v="45978.333333333336"/>
    <n v="48650"/>
    <n v="46400"/>
    <n v="41250"/>
    <n v="0"/>
    <n v="131.94839999999999"/>
    <n v="1.6496016010000001"/>
    <n v="16575.800780000001"/>
    <n v="27.08"/>
    <n v="3.2"/>
    <n v="81.19"/>
    <n v="25"/>
    <s v="Rp0"/>
    <n v="0"/>
  </r>
  <r>
    <x v="1689"/>
    <n v="48650"/>
    <n v="1911"/>
    <n v="3"/>
    <x v="0"/>
    <n v="2"/>
    <s v="False"/>
    <n v="47364.285714285717"/>
    <n v="46175"/>
    <n v="48650"/>
    <n v="46400"/>
    <n v="42750"/>
    <n v="0"/>
    <n v="131.94839999999999"/>
    <n v="1.6496016010000001"/>
    <n v="16621"/>
    <n v="27.49"/>
    <n v="1.77"/>
    <n v="78.84"/>
    <n v="26"/>
    <s v="Rp0"/>
    <n v="0"/>
  </r>
  <r>
    <x v="1690"/>
    <n v="49500"/>
    <n v="1912"/>
    <n v="3"/>
    <x v="0"/>
    <n v="3"/>
    <s v="False"/>
    <n v="47807.142857142855"/>
    <n v="46358.333333333336"/>
    <n v="48650"/>
    <n v="46400"/>
    <n v="44000"/>
    <n v="850"/>
    <n v="131.94839999999999"/>
    <n v="1.6496016010000001"/>
    <n v="16629"/>
    <n v="27.07"/>
    <n v="2.69"/>
    <n v="85.3"/>
    <n v="27"/>
    <s v="Rp850"/>
    <n v="1.75"/>
  </r>
  <r>
    <x v="1691"/>
    <n v="49500"/>
    <n v="1913"/>
    <n v="3"/>
    <x v="0"/>
    <n v="4"/>
    <s v="False"/>
    <n v="48250"/>
    <n v="46520"/>
    <n v="49500"/>
    <n v="46400"/>
    <n v="44650"/>
    <n v="0"/>
    <n v="131.94839999999999"/>
    <n v="1.6496016010000001"/>
    <n v="16560.900389999999"/>
    <n v="27.61"/>
    <n v="2.46"/>
    <n v="84.8"/>
    <n v="28"/>
    <s v="Rp0"/>
    <n v="0"/>
  </r>
  <r>
    <x v="1692"/>
    <n v="49500"/>
    <n v="1914"/>
    <n v="3"/>
    <x v="0"/>
    <n v="5"/>
    <s v="False"/>
    <n v="48692.857142857145"/>
    <n v="46681.666666666664"/>
    <n v="49500"/>
    <n v="46400"/>
    <n v="44650"/>
    <n v="0"/>
    <n v="131.94839999999999"/>
    <n v="1.6496016010000001"/>
    <n v="16560.900389999999"/>
    <n v="27.88"/>
    <n v="4.46"/>
    <n v="84.28"/>
    <n v="29"/>
    <s v="Rp0"/>
    <n v="0"/>
  </r>
  <r>
    <x v="1693"/>
    <n v="49500"/>
    <n v="1915"/>
    <n v="3"/>
    <x v="0"/>
    <n v="6"/>
    <s v="True"/>
    <n v="49135.714285714283"/>
    <n v="46826.666666666664"/>
    <n v="49500"/>
    <n v="46400"/>
    <n v="45150"/>
    <n v="0"/>
    <n v="131.94839999999999"/>
    <n v="1.6496016010000001"/>
    <n v="16560.900389999999"/>
    <n v="27.09"/>
    <n v="20.76"/>
    <n v="82.94"/>
    <n v="30"/>
    <s v="Rp0"/>
    <n v="0"/>
  </r>
  <r>
    <x v="1694"/>
    <n v="49500"/>
    <n v="1916"/>
    <n v="3"/>
    <x v="0"/>
    <n v="0"/>
    <s v="True"/>
    <n v="49257.142857142855"/>
    <n v="46971.666666666664"/>
    <n v="49500"/>
    <n v="48650"/>
    <n v="45150"/>
    <n v="0"/>
    <n v="131.94839999999999"/>
    <n v="1.6496016010000001"/>
    <n v="16575"/>
    <n v="26.4"/>
    <n v="5.21"/>
    <n v="82.57"/>
    <n v="31"/>
    <m/>
    <n v="0"/>
  </r>
  <r>
    <x v="1695"/>
    <n v="49500"/>
    <n v="1917"/>
    <n v="4"/>
    <x v="1"/>
    <n v="1"/>
    <s v="False"/>
    <n v="49378.571428571428"/>
    <n v="47116.666666666664"/>
    <n v="49500"/>
    <n v="48650"/>
    <n v="45150"/>
    <n v="0"/>
    <n v="133.48670000000001"/>
    <n v="1.165834523"/>
    <n v="16652"/>
    <n v="26.07"/>
    <n v="6.54"/>
    <n v="85.1"/>
    <n v="1"/>
    <s v="Rp0"/>
    <n v="0"/>
  </r>
  <r>
    <x v="1696"/>
    <n v="49500"/>
    <n v="1918"/>
    <n v="4"/>
    <x v="1"/>
    <n v="2"/>
    <s v="False"/>
    <n v="49500"/>
    <n v="47245"/>
    <n v="49500"/>
    <n v="48650"/>
    <n v="45650"/>
    <n v="0"/>
    <n v="133.48670000000001"/>
    <n v="1.165834523"/>
    <n v="16731.400389999999"/>
    <n v="26.8"/>
    <n v="11.45"/>
    <n v="83.99"/>
    <n v="2"/>
    <s v="Rp0"/>
    <n v="0"/>
  </r>
  <r>
    <x v="1697"/>
    <n v="49500"/>
    <n v="1919"/>
    <n v="4"/>
    <x v="1"/>
    <n v="3"/>
    <s v="False"/>
    <n v="49500"/>
    <n v="47353.333333333336"/>
    <n v="49500"/>
    <n v="49500"/>
    <n v="46250"/>
    <n v="0"/>
    <n v="133.48670000000001"/>
    <n v="1.165834523"/>
    <n v="16739"/>
    <n v="26.81"/>
    <n v="7.48"/>
    <n v="83.61"/>
    <n v="3"/>
    <s v="Rp0"/>
    <n v="0"/>
  </r>
  <r>
    <x v="1698"/>
    <n v="49500"/>
    <n v="1920"/>
    <n v="4"/>
    <x v="1"/>
    <n v="4"/>
    <s v="False"/>
    <n v="49500"/>
    <n v="47453.333333333336"/>
    <n v="49500"/>
    <n v="49500"/>
    <n v="46500"/>
    <n v="0"/>
    <n v="133.48670000000001"/>
    <n v="1.165834523"/>
    <n v="16739.800780000001"/>
    <n v="26.35"/>
    <n v="14.78"/>
    <n v="82.91"/>
    <n v="4"/>
    <s v="Rp0"/>
    <n v="0"/>
  </r>
  <r>
    <x v="1699"/>
    <n v="49500"/>
    <n v="1921"/>
    <n v="4"/>
    <x v="1"/>
    <n v="5"/>
    <s v="False"/>
    <n v="49500"/>
    <n v="47573.333333333336"/>
    <n v="49500"/>
    <n v="49500"/>
    <n v="45900"/>
    <n v="0"/>
    <n v="133.48670000000001"/>
    <n v="1.165834523"/>
    <n v="16739.800780000001"/>
    <n v="26.18"/>
    <n v="4.68"/>
    <n v="86.35"/>
    <n v="5"/>
    <s v="Rp0"/>
    <n v="0"/>
  </r>
  <r>
    <x v="1700"/>
    <n v="49500"/>
    <n v="1922"/>
    <n v="4"/>
    <x v="1"/>
    <n v="6"/>
    <s v="False"/>
    <n v="49500"/>
    <n v="47693.333333333336"/>
    <n v="49500"/>
    <n v="49500"/>
    <n v="45900"/>
    <n v="0"/>
    <n v="133.48670000000001"/>
    <n v="1.165834523"/>
    <n v="16739.800780000001"/>
    <n v="26.91"/>
    <n v="4.21"/>
    <n v="82.27"/>
    <n v="6"/>
    <s v="Rp0"/>
    <n v="0"/>
  </r>
  <r>
    <x v="1701"/>
    <n v="49500"/>
    <n v="1923"/>
    <n v="4"/>
    <x v="1"/>
    <n v="0"/>
    <s v="False"/>
    <n v="49500"/>
    <n v="47813.333333333336"/>
    <n v="49500"/>
    <n v="49500"/>
    <n v="45900"/>
    <n v="0"/>
    <n v="133.48670000000001"/>
    <n v="1.165834523"/>
    <n v="16738"/>
    <n v="26.98"/>
    <n v="6.75"/>
    <n v="83.56"/>
    <n v="7"/>
    <m/>
    <n v="0"/>
  </r>
  <r>
    <x v="1702"/>
    <n v="52650"/>
    <n v="1924"/>
    <n v="4"/>
    <x v="1"/>
    <n v="1"/>
    <s v="False"/>
    <n v="49950"/>
    <n v="48038.333333333336"/>
    <n v="49500"/>
    <n v="49500"/>
    <n v="45900"/>
    <n v="3150"/>
    <n v="133.48670000000001"/>
    <n v="1.165834523"/>
    <n v="16855.699219999999"/>
    <n v="26.54"/>
    <n v="11.38"/>
    <n v="84.27"/>
    <n v="8"/>
    <s v="Rp3150"/>
    <n v="6.36"/>
  </r>
  <r>
    <x v="1703"/>
    <n v="51900"/>
    <n v="1925"/>
    <n v="4"/>
    <x v="1"/>
    <n v="2"/>
    <s v="False"/>
    <n v="50292.857142857145"/>
    <n v="48221.666666666664"/>
    <n v="52650"/>
    <n v="49500"/>
    <n v="46400"/>
    <n v="-750"/>
    <n v="133.48670000000001"/>
    <n v="1.165834523"/>
    <n v="17051.900389999999"/>
    <n v="27.2"/>
    <n v="2.31"/>
    <n v="80.040000000000006"/>
    <n v="9"/>
    <s v="-Rp750"/>
    <n v="-1.42"/>
  </r>
  <r>
    <x v="1704"/>
    <n v="51150"/>
    <n v="1926"/>
    <n v="4"/>
    <x v="1"/>
    <n v="3"/>
    <s v="False"/>
    <n v="50528.571428571428"/>
    <n v="48385"/>
    <n v="51900"/>
    <n v="49500"/>
    <n v="46250"/>
    <n v="-750"/>
    <n v="133.48670000000001"/>
    <n v="1.165834523"/>
    <n v="16805.5"/>
    <n v="27"/>
    <n v="4.58"/>
    <n v="81.03"/>
    <n v="10"/>
    <s v="-Rp750"/>
    <n v="-1.45"/>
  </r>
  <r>
    <x v="1705"/>
    <n v="49650"/>
    <n v="1927"/>
    <n v="4"/>
    <x v="1"/>
    <n v="4"/>
    <s v="False"/>
    <n v="50550"/>
    <n v="48498.333333333336"/>
    <n v="51150"/>
    <n v="49500"/>
    <n v="46250"/>
    <n v="-1500"/>
    <n v="133.48670000000001"/>
    <n v="1.165834523"/>
    <n v="16833.800780000001"/>
    <n v="27.22"/>
    <n v="1.19"/>
    <n v="80.16"/>
    <n v="11"/>
    <s v="-Rp1500"/>
    <n v="-2.93"/>
  </r>
  <r>
    <x v="1706"/>
    <n v="49650"/>
    <n v="1928"/>
    <n v="4"/>
    <x v="1"/>
    <n v="5"/>
    <s v="False"/>
    <n v="50571.428571428572"/>
    <n v="48603.333333333336"/>
    <n v="49650"/>
    <n v="49500"/>
    <n v="46500"/>
    <n v="0"/>
    <n v="133.48670000000001"/>
    <n v="1.165834523"/>
    <n v="16833.800780000001"/>
    <n v="27.6"/>
    <n v="4.95"/>
    <n v="78.099999999999994"/>
    <n v="12"/>
    <s v="-Rp1500"/>
    <n v="-2.93"/>
  </r>
  <r>
    <x v="1707"/>
    <n v="49650"/>
    <n v="1929"/>
    <n v="4"/>
    <x v="1"/>
    <n v="6"/>
    <s v="False"/>
    <n v="50592.857142857145"/>
    <n v="48716.666666666664"/>
    <n v="49650"/>
    <n v="49500"/>
    <n v="46250"/>
    <n v="0"/>
    <n v="133.48670000000001"/>
    <n v="1.165834523"/>
    <n v="16833.800780000001"/>
    <n v="27.22"/>
    <n v="9.31"/>
    <n v="83.94"/>
    <n v="13"/>
    <s v="-Rp1500"/>
    <n v="-2.93"/>
  </r>
  <r>
    <x v="1708"/>
    <n v="49250"/>
    <n v="1930"/>
    <n v="4"/>
    <x v="1"/>
    <n v="0"/>
    <s v="False"/>
    <n v="50557.142857142855"/>
    <n v="48816.666666666664"/>
    <n v="49650"/>
    <n v="49500"/>
    <n v="46250"/>
    <n v="-400"/>
    <n v="133.48670000000001"/>
    <n v="1.165834523"/>
    <n v="16788"/>
    <n v="27.51"/>
    <n v="24.29"/>
    <n v="82.56"/>
    <n v="14"/>
    <s v="-Rp400"/>
    <n v="-0.81"/>
  </r>
  <r>
    <x v="1709"/>
    <n v="49250"/>
    <n v="1931"/>
    <n v="4"/>
    <x v="1"/>
    <n v="1"/>
    <s v="False"/>
    <n v="50071.428571428572"/>
    <n v="48916.666666666664"/>
    <n v="49250"/>
    <n v="52650"/>
    <n v="46250"/>
    <n v="0"/>
    <n v="133.48670000000001"/>
    <n v="1.165834523"/>
    <n v="16780"/>
    <n v="27.46"/>
    <n v="6.22"/>
    <n v="81.87"/>
    <n v="15"/>
    <s v="Rp0"/>
    <n v="0"/>
  </r>
  <r>
    <x v="1710"/>
    <n v="49250"/>
    <n v="1932"/>
    <n v="4"/>
    <x v="1"/>
    <n v="2"/>
    <s v="False"/>
    <n v="49692.857142857145"/>
    <n v="49025"/>
    <n v="49250"/>
    <n v="51900"/>
    <n v="46000"/>
    <n v="0"/>
    <n v="133.48670000000001"/>
    <n v="1.165834523"/>
    <n v="16813.5"/>
    <n v="27.32"/>
    <n v="8.43"/>
    <n v="80.11"/>
    <n v="16"/>
    <s v="Rp0"/>
    <n v="0"/>
  </r>
  <r>
    <x v="1711"/>
    <n v="49000"/>
    <n v="1933"/>
    <n v="4"/>
    <x v="1"/>
    <n v="3"/>
    <s v="False"/>
    <n v="49385.714285714283"/>
    <n v="49111.666666666664"/>
    <n v="49250"/>
    <n v="51150"/>
    <n v="46400"/>
    <n v="-250"/>
    <n v="133.48670000000001"/>
    <n v="1.165834523"/>
    <n v="16794.599610000001"/>
    <n v="27.71"/>
    <n v="0.86"/>
    <n v="80.31"/>
    <n v="17"/>
    <s v="-Rp250"/>
    <n v="-0.51"/>
  </r>
  <r>
    <x v="1712"/>
    <n v="49000"/>
    <n v="1934"/>
    <n v="4"/>
    <x v="1"/>
    <n v="4"/>
    <s v="True"/>
    <n v="49292.857142857145"/>
    <n v="49198.333333333336"/>
    <n v="49000"/>
    <n v="49650"/>
    <n v="46400"/>
    <n v="0"/>
    <n v="133.48670000000001"/>
    <n v="1.165834523"/>
    <n v="16794.599610000001"/>
    <n v="27.65"/>
    <n v="1.42"/>
    <n v="81.72"/>
    <n v="18"/>
    <s v="Rp0"/>
    <n v="0"/>
  </r>
  <r>
    <x v="1713"/>
    <n v="49000"/>
    <n v="1935"/>
    <n v="4"/>
    <x v="1"/>
    <n v="5"/>
    <s v="False"/>
    <n v="49200"/>
    <n v="49285"/>
    <n v="49000"/>
    <n v="49650"/>
    <n v="46400"/>
    <n v="0"/>
    <n v="133.48670000000001"/>
    <n v="1.165834523"/>
    <n v="16794.599610000001"/>
    <n v="27.23"/>
    <n v="19.34"/>
    <n v="82.54"/>
    <n v="19"/>
    <s v="Rp0"/>
    <n v="0"/>
  </r>
  <r>
    <x v="1714"/>
    <n v="48750"/>
    <n v="1937"/>
    <n v="4"/>
    <x v="1"/>
    <n v="0"/>
    <s v="True"/>
    <m/>
    <m/>
    <m/>
    <n v="49250"/>
    <n v="46400"/>
    <m/>
    <n v="133.48670000000001"/>
    <n v="1.165834523"/>
    <n v="16794.599610000001"/>
    <n v="27.28"/>
    <n v="6.22"/>
    <n v="81.37"/>
    <n v="21"/>
    <s v="-Rp250"/>
    <n v="-0.51"/>
  </r>
  <r>
    <x v="1715"/>
    <n v="48750"/>
    <n v="1938"/>
    <n v="4"/>
    <x v="1"/>
    <n v="1"/>
    <s v="False"/>
    <m/>
    <m/>
    <n v="48750"/>
    <n v="49250"/>
    <n v="46400"/>
    <n v="0"/>
    <n v="133.48670000000001"/>
    <n v="1.165834523"/>
    <n v="16814.900389999999"/>
    <n v="26.76"/>
    <n v="5.24"/>
    <n v="83.38"/>
    <n v="22"/>
    <s v="Rp0"/>
    <n v="0"/>
  </r>
  <r>
    <x v="1716"/>
    <n v="48750"/>
    <n v="1939"/>
    <n v="4"/>
    <x v="1"/>
    <n v="2"/>
    <s v="False"/>
    <m/>
    <m/>
    <n v="48750"/>
    <n v="49250"/>
    <n v="48650"/>
    <n v="0"/>
    <n v="133.48670000000001"/>
    <n v="1.165834523"/>
    <n v="16858.099610000001"/>
    <n v="27.26"/>
    <n v="19.47"/>
    <n v="80.48"/>
    <n v="23"/>
    <s v="Rp0"/>
    <n v="0"/>
  </r>
  <r>
    <x v="1717"/>
    <n v="48150"/>
    <n v="1940"/>
    <n v="4"/>
    <x v="1"/>
    <n v="3"/>
    <s v="False"/>
    <m/>
    <m/>
    <n v="48750"/>
    <n v="49000"/>
    <n v="48650"/>
    <n v="-600"/>
    <n v="133.48670000000001"/>
    <n v="1.165834523"/>
    <n v="16846"/>
    <n v="26.91"/>
    <n v="8.14"/>
    <n v="83.04"/>
    <n v="24"/>
    <s v="-Rp600"/>
    <n v="-1.23"/>
  </r>
  <r>
    <x v="1718"/>
    <n v="48150"/>
    <n v="1941"/>
    <n v="4"/>
    <x v="1"/>
    <n v="4"/>
    <s v="False"/>
    <m/>
    <m/>
    <n v="48150"/>
    <n v="49000"/>
    <n v="48650"/>
    <n v="0"/>
    <n v="133.48670000000001"/>
    <n v="1.165834523"/>
    <n v="16778.5"/>
    <n v="26.58"/>
    <n v="16.04"/>
    <n v="83.54"/>
    <n v="25"/>
    <s v="Rp0"/>
    <n v="0"/>
  </r>
  <r>
    <x v="1719"/>
    <n v="48150"/>
    <n v="1942"/>
    <n v="4"/>
    <x v="1"/>
    <n v="5"/>
    <s v="False"/>
    <m/>
    <m/>
    <n v="48150"/>
    <n v="49000"/>
    <n v="49500"/>
    <n v="0"/>
    <n v="133.48670000000001"/>
    <n v="1.165834523"/>
    <n v="16778.5"/>
    <n v="26.3"/>
    <n v="33.909999999999997"/>
    <n v="82.51"/>
    <n v="26"/>
    <s v="Rp0"/>
    <n v="0"/>
  </r>
  <r>
    <x v="1720"/>
    <n v="48150"/>
    <n v="1943"/>
    <n v="4"/>
    <x v="1"/>
    <n v="6"/>
    <s v="False"/>
    <n v="48407.142857142855"/>
    <m/>
    <n v="48150"/>
    <m/>
    <n v="49500"/>
    <n v="0"/>
    <n v="133.48670000000001"/>
    <n v="1.165834523"/>
    <n v="16778.5"/>
    <n v="26.27"/>
    <n v="2.35"/>
    <n v="81.569999999999993"/>
    <n v="27"/>
    <s v="Rp0"/>
    <n v="0"/>
  </r>
  <r>
    <x v="1721"/>
    <n v="46250"/>
    <n v="1944"/>
    <n v="4"/>
    <x v="1"/>
    <n v="0"/>
    <s v="False"/>
    <n v="48050"/>
    <m/>
    <n v="48150"/>
    <n v="48750"/>
    <n v="49500"/>
    <n v="-1900"/>
    <n v="133.48670000000001"/>
    <n v="1.165834523"/>
    <n v="16823"/>
    <n v="27.27"/>
    <n v="1.91"/>
    <n v="79.349999999999994"/>
    <n v="28"/>
    <s v="-Rp1900"/>
    <n v="-3.95"/>
  </r>
  <r>
    <x v="1722"/>
    <n v="46000"/>
    <n v="1945"/>
    <n v="4"/>
    <x v="1"/>
    <n v="1"/>
    <s v="False"/>
    <n v="47657.142857142855"/>
    <m/>
    <n v="46250"/>
    <n v="48750"/>
    <n v="49500"/>
    <n v="-250"/>
    <n v="133.48670000000001"/>
    <n v="1.165834523"/>
    <n v="16795"/>
    <n v="27.36"/>
    <n v="2.4900000000000002"/>
    <n v="79.73"/>
    <n v="29"/>
    <s v="-Rp250"/>
    <n v="-0.54"/>
  </r>
  <r>
    <x v="1723"/>
    <n v="46650"/>
    <n v="1946"/>
    <n v="4"/>
    <x v="1"/>
    <n v="2"/>
    <s v="False"/>
    <n v="47357.142857142855"/>
    <m/>
    <n v="46000"/>
    <n v="48750"/>
    <n v="49500"/>
    <n v="650"/>
    <n v="133.48670000000001"/>
    <n v="1.165834523"/>
    <n v="16711.900389999999"/>
    <n v="27.48"/>
    <n v="5.66"/>
    <n v="80.849999999999994"/>
    <n v="30"/>
    <s v="Rp650"/>
    <n v="1.41"/>
  </r>
  <r>
    <x v="1724"/>
    <n v="46650"/>
    <n v="1947"/>
    <n v="5"/>
    <x v="1"/>
    <n v="3"/>
    <s v="True"/>
    <n v="47142.857142857145"/>
    <m/>
    <n v="46650"/>
    <n v="48150"/>
    <n v="49500"/>
    <n v="0"/>
    <n v="133.48670000000001"/>
    <n v="1.165834523"/>
    <n v="16545.900389999999"/>
    <n v="27.18"/>
    <n v="17.02"/>
    <n v="80.3"/>
    <n v="1"/>
    <s v="Rp0"/>
    <n v="0"/>
  </r>
  <r>
    <x v="1725"/>
    <n v="45500"/>
    <n v="1948"/>
    <n v="5"/>
    <x v="1"/>
    <n v="4"/>
    <s v="False"/>
    <n v="46764.285714285717"/>
    <m/>
    <n v="46650"/>
    <n v="48150"/>
    <n v="49500"/>
    <n v="-1150"/>
    <n v="133.48670000000001"/>
    <n v="1.165834523"/>
    <n v="16606"/>
    <n v="27.46"/>
    <n v="5.82"/>
    <n v="82.45"/>
    <n v="2"/>
    <s v="-Rp1150"/>
    <n v="-2.4700000000000002"/>
  </r>
  <r>
    <x v="1726"/>
    <n v="45500"/>
    <n v="1949"/>
    <n v="5"/>
    <x v="1"/>
    <n v="5"/>
    <s v="False"/>
    <n v="46385.714285714283"/>
    <m/>
    <n v="45500"/>
    <n v="48150"/>
    <n v="49500"/>
    <n v="0"/>
    <n v="133.48670000000001"/>
    <n v="1.165834523"/>
    <n v="16606"/>
    <n v="27.84"/>
    <n v="6.2"/>
    <n v="80.319999999999993"/>
    <n v="3"/>
    <s v="-Rp1150"/>
    <n v="-2.4700000000000002"/>
  </r>
  <r>
    <x v="1727"/>
    <n v="45500"/>
    <n v="1950"/>
    <n v="5"/>
    <x v="1"/>
    <n v="6"/>
    <s v="False"/>
    <n v="46007.142857142855"/>
    <m/>
    <n v="45500"/>
    <n v="48150"/>
    <n v="49500"/>
    <n v="0"/>
    <n v="133.48670000000001"/>
    <n v="1.165834523"/>
    <n v="16606"/>
    <n v="27.49"/>
    <n v="11.38"/>
    <n v="81.37"/>
    <n v="4"/>
    <s v="-Rp1150"/>
    <n v="-2.4700000000000002"/>
  </r>
  <r>
    <x v="1728"/>
    <n v="43650"/>
    <n v="1951"/>
    <n v="5"/>
    <x v="1"/>
    <n v="0"/>
    <s v="False"/>
    <n v="45635.714285714283"/>
    <m/>
    <n v="45500"/>
    <n v="46250"/>
    <n v="49500"/>
    <n v="-1850"/>
    <n v="133.48670000000001"/>
    <n v="1.165834523"/>
    <n v="16460"/>
    <n v="27.49"/>
    <n v="5.39"/>
    <n v="82.79"/>
    <n v="5"/>
    <s v="-Rp1850"/>
    <n v="-4.07"/>
  </r>
  <r>
    <x v="1729"/>
    <n v="43650"/>
    <n v="1952"/>
    <n v="5"/>
    <x v="1"/>
    <n v="1"/>
    <s v="False"/>
    <n v="45300"/>
    <m/>
    <n v="43650"/>
    <n v="46000"/>
    <n v="49500"/>
    <n v="0"/>
    <n v="133.48670000000001"/>
    <n v="1.165834523"/>
    <n v="16421.5"/>
    <n v="27.53"/>
    <n v="4.68"/>
    <n v="80.209999999999994"/>
    <n v="6"/>
    <s v="Rp0"/>
    <n v="0"/>
  </r>
  <r>
    <x v="1730"/>
    <n v="43650"/>
    <n v="1953"/>
    <n v="5"/>
    <x v="1"/>
    <n v="2"/>
    <s v="False"/>
    <n v="44871.428571428572"/>
    <m/>
    <n v="43650"/>
    <n v="46650"/>
    <n v="49500"/>
    <n v="0"/>
    <n v="133.48670000000001"/>
    <n v="1.165834523"/>
    <n v="16432"/>
    <n v="27.82"/>
    <n v="1.72"/>
    <n v="76.92"/>
    <n v="7"/>
    <s v="Rp0"/>
    <n v="0"/>
  </r>
  <r>
    <x v="1731"/>
    <n v="43650"/>
    <n v="1954"/>
    <n v="5"/>
    <x v="1"/>
    <n v="3"/>
    <s v="False"/>
    <n v="44442.857142857145"/>
    <m/>
    <n v="43650"/>
    <n v="46650"/>
    <n v="52650"/>
    <n v="0"/>
    <n v="133.48670000000001"/>
    <n v="1.165834523"/>
    <n v="16492.599610000001"/>
    <n v="27.97"/>
    <n v="2.88"/>
    <n v="79.209999999999994"/>
    <n v="8"/>
    <s v="Rp0"/>
    <n v="0"/>
  </r>
  <r>
    <x v="1732"/>
    <n v="43750"/>
    <n v="1955"/>
    <n v="5"/>
    <x v="1"/>
    <n v="4"/>
    <s v="False"/>
    <n v="44192.857142857145"/>
    <m/>
    <n v="43650"/>
    <n v="45500"/>
    <n v="51900"/>
    <n v="100"/>
    <n v="133.48670000000001"/>
    <n v="1.165834523"/>
    <n v="16538.300780000001"/>
    <n v="27.82"/>
    <n v="9.99"/>
    <n v="81.64"/>
    <n v="9"/>
    <s v="Rp100"/>
    <n v="0.23"/>
  </r>
  <r>
    <x v="1733"/>
    <n v="43750"/>
    <n v="1956"/>
    <n v="5"/>
    <x v="1"/>
    <n v="5"/>
    <s v="False"/>
    <n v="43942.857142857145"/>
    <m/>
    <n v="43750"/>
    <n v="45500"/>
    <n v="51150"/>
    <n v="0"/>
    <n v="133.48670000000001"/>
    <n v="1.165834523"/>
    <n v="16538.300780000001"/>
    <n v="27.76"/>
    <n v="5.15"/>
    <n v="79.31"/>
    <n v="10"/>
    <s v="Rp100"/>
    <n v="0.23"/>
  </r>
  <r>
    <x v="1734"/>
    <n v="43750"/>
    <n v="1957"/>
    <n v="5"/>
    <x v="1"/>
    <n v="6"/>
    <s v="False"/>
    <n v="43692.857142857145"/>
    <m/>
    <n v="43750"/>
    <n v="45500"/>
    <n v="49650"/>
    <n v="0"/>
    <n v="133.48670000000001"/>
    <n v="1.165834523"/>
    <n v="16538.300780000001"/>
    <n v="27.8"/>
    <n v="5.4"/>
    <n v="80.02"/>
    <n v="11"/>
    <s v="Rp100"/>
    <n v="0.23"/>
  </r>
  <r>
    <x v="1735"/>
    <n v="43750"/>
    <n v="1958"/>
    <n v="5"/>
    <x v="1"/>
    <n v="0"/>
    <s v="False"/>
    <n v="43707.142857142855"/>
    <m/>
    <n v="43750"/>
    <n v="43650"/>
    <n v="49650"/>
    <n v="0"/>
    <n v="133.48670000000001"/>
    <n v="1.165834523"/>
    <n v="16543"/>
    <n v="27.96"/>
    <n v="1.91"/>
    <n v="79.209999999999994"/>
    <n v="12"/>
    <s v="Rp0"/>
    <n v="0"/>
  </r>
  <r>
    <x v="1736"/>
    <n v="41900"/>
    <n v="1959"/>
    <n v="5"/>
    <x v="1"/>
    <n v="1"/>
    <s v="False"/>
    <n v="43457.142857142855"/>
    <m/>
    <n v="43750"/>
    <n v="43650"/>
    <n v="49650"/>
    <n v="-1850"/>
    <n v="133.48670000000001"/>
    <n v="1.165834523"/>
    <n v="16688.800780000001"/>
    <n v="28.04"/>
    <n v="1.78"/>
    <n v="79.05"/>
    <n v="13"/>
    <s v="-Rp1850"/>
    <n v="-4.2300000000000004"/>
  </r>
  <r>
    <x v="1737"/>
    <n v="43150"/>
    <n v="1960"/>
    <n v="5"/>
    <x v="1"/>
    <n v="2"/>
    <s v="False"/>
    <n v="43385.714285714283"/>
    <m/>
    <n v="41900"/>
    <n v="43650"/>
    <n v="49250"/>
    <n v="1250"/>
    <n v="133.48670000000001"/>
    <n v="1.165834523"/>
    <n v="16599.400389999999"/>
    <n v="28.22"/>
    <n v="2.0699999999999998"/>
    <n v="78.17"/>
    <n v="14"/>
    <s v="Rp1250"/>
    <n v="2.98"/>
  </r>
  <r>
    <x v="1738"/>
    <n v="43650"/>
    <n v="1961"/>
    <n v="5"/>
    <x v="1"/>
    <n v="3"/>
    <s v="False"/>
    <n v="43385.714285714283"/>
    <m/>
    <n v="43150"/>
    <n v="43650"/>
    <n v="49250"/>
    <n v="500"/>
    <n v="133.48670000000001"/>
    <n v="1.165834523"/>
    <n v="16558.199219999999"/>
    <n v="27.47"/>
    <n v="6.06"/>
    <n v="82.89"/>
    <n v="15"/>
    <s v="Rp500"/>
    <n v="1.1599999999999999"/>
  </r>
  <r>
    <x v="1739"/>
    <n v="43400"/>
    <n v="1962"/>
    <n v="5"/>
    <x v="1"/>
    <n v="4"/>
    <s v="False"/>
    <n v="43335.714285714283"/>
    <m/>
    <n v="43650"/>
    <n v="43750"/>
    <n v="49250"/>
    <n v="-250"/>
    <n v="133.48670000000001"/>
    <n v="1.165834523"/>
    <n v="16511.800780000001"/>
    <n v="27.2"/>
    <n v="9.6"/>
    <n v="81.78"/>
    <n v="16"/>
    <s v="-Rp250"/>
    <n v="-0.56999999999999995"/>
  </r>
  <r>
    <x v="1740"/>
    <n v="44500"/>
    <n v="1965"/>
    <n v="5"/>
    <x v="1"/>
    <n v="0"/>
    <s v="False"/>
    <m/>
    <m/>
    <m/>
    <n v="43750"/>
    <n v="49000"/>
    <m/>
    <n v="133.48670000000001"/>
    <n v="1.165834523"/>
    <n v="16487"/>
    <n v="27.64"/>
    <n v="8.4700000000000006"/>
    <n v="79.94"/>
    <n v="19"/>
    <s v="Rp1100"/>
    <n v="2.5299999999999998"/>
  </r>
  <r>
    <x v="1741"/>
    <n v="44250"/>
    <n v="1966"/>
    <n v="5"/>
    <x v="1"/>
    <n v="1"/>
    <s v="False"/>
    <m/>
    <m/>
    <n v="44500"/>
    <n v="41900"/>
    <m/>
    <n v="-250"/>
    <n v="133.48670000000001"/>
    <n v="1.165834523"/>
    <n v="16428"/>
    <n v="27.56"/>
    <n v="8.18"/>
    <n v="79.430000000000007"/>
    <n v="20"/>
    <s v="-Rp250"/>
    <n v="-0.56000000000000005"/>
  </r>
  <r>
    <x v="1742"/>
    <n v="44250"/>
    <n v="1967"/>
    <n v="5"/>
    <x v="1"/>
    <n v="2"/>
    <s v="False"/>
    <m/>
    <m/>
    <n v="44250"/>
    <n v="43150"/>
    <n v="48750"/>
    <n v="0"/>
    <n v="133.48670000000001"/>
    <n v="1.165834523"/>
    <n v="16403"/>
    <n v="26.68"/>
    <n v="4.46"/>
    <n v="84.38"/>
    <n v="21"/>
    <s v="Rp0"/>
    <n v="0"/>
  </r>
  <r>
    <x v="1743"/>
    <n v="44000"/>
    <n v="1968"/>
    <n v="5"/>
    <x v="1"/>
    <n v="3"/>
    <s v="False"/>
    <m/>
    <m/>
    <n v="44250"/>
    <n v="43650"/>
    <n v="48750"/>
    <n v="-250"/>
    <n v="133.48670000000001"/>
    <n v="1.165834523"/>
    <n v="16347.599609999999"/>
    <n v="27.44"/>
    <n v="2.5099999999999998"/>
    <n v="78.34"/>
    <n v="22"/>
    <s v="-Rp250"/>
    <n v="-0.56000000000000005"/>
  </r>
  <r>
    <x v="1744"/>
    <n v="43750"/>
    <n v="1969"/>
    <n v="5"/>
    <x v="1"/>
    <n v="4"/>
    <s v="False"/>
    <m/>
    <m/>
    <n v="44000"/>
    <n v="43400"/>
    <n v="48750"/>
    <n v="-250"/>
    <n v="133.48670000000001"/>
    <n v="1.165834523"/>
    <n v="16356.900390000001"/>
    <n v="27.22"/>
    <n v="6.59"/>
    <n v="84.21"/>
    <n v="23"/>
    <s v="-Rp250"/>
    <n v="-0.56999999999999995"/>
  </r>
  <r>
    <x v="1745"/>
    <n v="43750"/>
    <n v="1970"/>
    <n v="5"/>
    <x v="1"/>
    <n v="5"/>
    <s v="False"/>
    <m/>
    <m/>
    <n v="43750"/>
    <m/>
    <n v="48150"/>
    <n v="0"/>
    <n v="133.48670000000001"/>
    <n v="1.165834523"/>
    <n v="16356.900390000001"/>
    <n v="26.96"/>
    <n v="9.18"/>
    <n v="83.27"/>
    <n v="24"/>
    <s v="-Rp250"/>
    <n v="-0.56999999999999995"/>
  </r>
  <r>
    <x v="1746"/>
    <n v="43650"/>
    <n v="1972"/>
    <n v="5"/>
    <x v="1"/>
    <n v="0"/>
    <s v="False"/>
    <m/>
    <m/>
    <m/>
    <n v="44500"/>
    <n v="48150"/>
    <m/>
    <n v="133.48670000000001"/>
    <n v="1.165834523"/>
    <n v="16211"/>
    <n v="27.23"/>
    <n v="2.89"/>
    <n v="85.78"/>
    <n v="26"/>
    <s v="-Rp100"/>
    <n v="-0.23"/>
  </r>
  <r>
    <x v="1747"/>
    <n v="43650"/>
    <n v="1973"/>
    <n v="5"/>
    <x v="1"/>
    <n v="1"/>
    <s v="False"/>
    <m/>
    <m/>
    <n v="43650"/>
    <n v="44250"/>
    <n v="48150"/>
    <n v="0"/>
    <n v="133.48670000000001"/>
    <n v="1.165834523"/>
    <n v="16243.5"/>
    <n v="27.79"/>
    <n v="2.2000000000000002"/>
    <n v="83.55"/>
    <n v="27"/>
    <s v="Rp0"/>
    <n v="0"/>
  </r>
  <r>
    <x v="1748"/>
    <n v="45500"/>
    <n v="1974"/>
    <n v="5"/>
    <x v="1"/>
    <n v="2"/>
    <s v="False"/>
    <m/>
    <m/>
    <n v="43650"/>
    <n v="44250"/>
    <n v="46250"/>
    <n v="1850"/>
    <n v="133.48670000000001"/>
    <n v="1.165834523"/>
    <n v="16279"/>
    <n v="27.59"/>
    <n v="3.31"/>
    <n v="82.2"/>
    <n v="28"/>
    <s v="Rp1850"/>
    <n v="4.24"/>
  </r>
  <r>
    <x v="1749"/>
    <n v="45500"/>
    <n v="1975"/>
    <n v="5"/>
    <x v="1"/>
    <n v="3"/>
    <s v="False"/>
    <m/>
    <m/>
    <n v="45500"/>
    <n v="44000"/>
    <n v="46000"/>
    <n v="0"/>
    <n v="133.48670000000001"/>
    <n v="1.165834523"/>
    <n v="16286"/>
    <n v="27.5"/>
    <n v="22.57"/>
    <n v="78.849999999999994"/>
    <n v="29"/>
    <s v="Rp0"/>
    <n v="0"/>
  </r>
  <r>
    <x v="1750"/>
    <n v="45500"/>
    <n v="1976"/>
    <n v="5"/>
    <x v="1"/>
    <n v="4"/>
    <s v="False"/>
    <m/>
    <m/>
    <n v="45500"/>
    <n v="43750"/>
    <n v="46650"/>
    <n v="0"/>
    <n v="133.48670000000001"/>
    <n v="1.165834523"/>
    <n v="16293"/>
    <n v="27.48"/>
    <n v="2.84"/>
    <n v="79.94"/>
    <n v="30"/>
    <s v="Rp0"/>
    <n v="0"/>
  </r>
  <r>
    <x v="1751"/>
    <n v="45500"/>
    <n v="1977"/>
    <n v="5"/>
    <x v="1"/>
    <n v="5"/>
    <s v="False"/>
    <m/>
    <m/>
    <n v="45500"/>
    <n v="43750"/>
    <n v="46650"/>
    <n v="0"/>
    <n v="133.48670000000001"/>
    <n v="1.165834523"/>
    <n v="16293"/>
    <n v="26.98"/>
    <n v="5.25"/>
    <n v="82"/>
    <n v="31"/>
    <s v="Rp0"/>
    <n v="0"/>
  </r>
  <r>
    <x v="1752"/>
    <n v="45500"/>
    <n v="1978"/>
    <n v="6"/>
    <x v="1"/>
    <n v="6"/>
    <s v="True"/>
    <n v="44971.428571428572"/>
    <m/>
    <n v="45500"/>
    <m/>
    <n v="45500"/>
    <n v="0"/>
    <n v="133.48670000000001"/>
    <n v="1.165834523"/>
    <n v="16293"/>
    <n v="26.71"/>
    <n v="4.54"/>
    <n v="82.3"/>
    <n v="1"/>
    <s v="Rp0"/>
    <n v="0"/>
  </r>
  <r>
    <x v="1753"/>
    <n v="49150"/>
    <n v="1979"/>
    <n v="6"/>
    <x v="1"/>
    <n v="0"/>
    <s v="False"/>
    <n v="45757.142857142855"/>
    <m/>
    <n v="45500"/>
    <n v="43650"/>
    <n v="45500"/>
    <n v="3650"/>
    <n v="133.48670000000001"/>
    <n v="1.165834523"/>
    <n v="16322"/>
    <n v="26.48"/>
    <n v="10.99"/>
    <n v="85.31"/>
    <n v="2"/>
    <m/>
    <n v="0"/>
  </r>
  <r>
    <x v="1754"/>
    <n v="48900"/>
    <n v="1980"/>
    <n v="6"/>
    <x v="1"/>
    <n v="1"/>
    <s v="False"/>
    <n v="46507.142857142855"/>
    <m/>
    <n v="49150"/>
    <n v="43650"/>
    <n v="45500"/>
    <n v="-250"/>
    <n v="133.48670000000001"/>
    <n v="1.165834523"/>
    <n v="16288.5"/>
    <n v="26.38"/>
    <n v="68.13"/>
    <n v="86.3"/>
    <n v="3"/>
    <s v="-Rp250"/>
    <n v="-0.51"/>
  </r>
  <r>
    <x v="1755"/>
    <n v="49650"/>
    <n v="1981"/>
    <n v="6"/>
    <x v="1"/>
    <n v="2"/>
    <s v="False"/>
    <n v="47100"/>
    <m/>
    <n v="48900"/>
    <n v="45500"/>
    <n v="43650"/>
    <n v="750"/>
    <n v="133.48670000000001"/>
    <n v="1.165834523"/>
    <n v="16332.400390000001"/>
    <n v="26.46"/>
    <n v="4.12"/>
    <n v="84"/>
    <n v="4"/>
    <s v="Rp750"/>
    <n v="1.53"/>
  </r>
  <r>
    <x v="1756"/>
    <n v="49000"/>
    <n v="1982"/>
    <n v="6"/>
    <x v="1"/>
    <n v="3"/>
    <s v="False"/>
    <n v="47600"/>
    <m/>
    <n v="49650"/>
    <n v="45500"/>
    <n v="43650"/>
    <n v="-650"/>
    <n v="133.48670000000001"/>
    <n v="1.165834523"/>
    <n v="16291.5"/>
    <n v="27.16"/>
    <n v="0.98"/>
    <n v="80.06"/>
    <n v="5"/>
    <s v="-Rp650"/>
    <n v="-1.31"/>
  </r>
  <r>
    <x v="1757"/>
    <n v="49000"/>
    <n v="1983"/>
    <n v="6"/>
    <x v="1"/>
    <n v="4"/>
    <s v="True"/>
    <n v="48100"/>
    <m/>
    <n v="49000"/>
    <n v="45500"/>
    <n v="43650"/>
    <n v="0"/>
    <n v="133.48670000000001"/>
    <n v="1.165834523"/>
    <n v="16246.400390000001"/>
    <n v="27.53"/>
    <n v="1.28"/>
    <n v="81.040000000000006"/>
    <n v="6"/>
    <s v="Rp0"/>
    <n v="0"/>
  </r>
  <r>
    <x v="1758"/>
    <n v="49000"/>
    <n v="1984"/>
    <n v="6"/>
    <x v="1"/>
    <n v="5"/>
    <s v="False"/>
    <n v="48600"/>
    <m/>
    <n v="49000"/>
    <n v="45500"/>
    <n v="43650"/>
    <n v="0"/>
    <n v="133.48670000000001"/>
    <n v="1.165834523"/>
    <n v="16246.400390000001"/>
    <n v="27.5"/>
    <n v="3.34"/>
    <n v="82.45"/>
    <n v="7"/>
    <s v="Rp0"/>
    <n v="0"/>
  </r>
  <r>
    <x v="1759"/>
    <n v="49000"/>
    <n v="1985"/>
    <n v="6"/>
    <x v="1"/>
    <n v="6"/>
    <s v="False"/>
    <n v="49100"/>
    <m/>
    <n v="49000"/>
    <n v="45500"/>
    <n v="43750"/>
    <n v="0"/>
    <n v="133.48670000000001"/>
    <n v="1.165834523"/>
    <n v="16246.400390000001"/>
    <n v="27.52"/>
    <n v="1.98"/>
    <n v="81.709999999999994"/>
    <n v="8"/>
    <s v="Rp0"/>
    <n v="0"/>
  </r>
  <r>
    <x v="1760"/>
    <n v="49000"/>
    <n v="1986"/>
    <n v="6"/>
    <x v="1"/>
    <n v="0"/>
    <s v="False"/>
    <n v="49078.571428571428"/>
    <m/>
    <n v="49000"/>
    <n v="49150"/>
    <n v="43750"/>
    <n v="0"/>
    <n v="133.48670000000001"/>
    <n v="1.165834523"/>
    <n v="16309"/>
    <n v="27.4"/>
    <n v="1.02"/>
    <n v="79.930000000000007"/>
    <n v="9"/>
    <s v="Rp0"/>
    <n v="0"/>
  </r>
  <r>
    <x v="1761"/>
    <n v="49000"/>
    <n v="1987"/>
    <n v="6"/>
    <x v="1"/>
    <n v="1"/>
    <s v="False"/>
    <n v="49092.857142857145"/>
    <m/>
    <n v="49000"/>
    <n v="48900"/>
    <n v="43750"/>
    <n v="0"/>
    <n v="133.48670000000001"/>
    <n v="1.165834523"/>
    <n v="16278.799800000001"/>
    <n v="27.93"/>
    <n v="1.58"/>
    <n v="79.760000000000005"/>
    <n v="10"/>
    <s v="Rp0"/>
    <n v="0"/>
  </r>
  <r>
    <x v="1762"/>
    <n v="48250"/>
    <n v="1988"/>
    <n v="6"/>
    <x v="1"/>
    <n v="2"/>
    <s v="True"/>
    <n v="48892.857142857145"/>
    <m/>
    <n v="49000"/>
    <n v="49650"/>
    <n v="43750"/>
    <n v="-750"/>
    <n v="133.48670000000001"/>
    <n v="1.165834523"/>
    <n v="16247.799800000001"/>
    <n v="27.58"/>
    <n v="1.99"/>
    <n v="84.91"/>
    <n v="11"/>
    <s v="-Rp750"/>
    <n v="-1.53"/>
  </r>
  <r>
    <x v="1763"/>
    <n v="49150"/>
    <n v="1989"/>
    <n v="6"/>
    <x v="1"/>
    <n v="3"/>
    <s v="False"/>
    <n v="48914.285714285717"/>
    <m/>
    <n v="48250"/>
    <n v="49000"/>
    <n v="41900"/>
    <n v="900"/>
    <n v="133.48670000000001"/>
    <n v="1.165834523"/>
    <n v="15778"/>
    <n v="27.17"/>
    <n v="4.18"/>
    <n v="85.1"/>
    <n v="12"/>
    <s v="Rp900"/>
    <n v="1.87"/>
  </r>
  <r>
    <x v="1764"/>
    <n v="48250"/>
    <n v="1990"/>
    <n v="6"/>
    <x v="1"/>
    <n v="4"/>
    <s v="False"/>
    <n v="48807.142857142855"/>
    <m/>
    <n v="49150"/>
    <n v="49000"/>
    <n v="43150"/>
    <n v="-900"/>
    <n v="133.48670000000001"/>
    <n v="1.165834523"/>
    <n v="16164.5"/>
    <n v="27.23"/>
    <n v="7"/>
    <n v="82.7"/>
    <n v="13"/>
    <s v="-Rp900"/>
    <n v="-1.83"/>
  </r>
  <r>
    <x v="1765"/>
    <n v="48250"/>
    <n v="1991"/>
    <n v="6"/>
    <x v="1"/>
    <n v="5"/>
    <s v="False"/>
    <n v="48700"/>
    <m/>
    <n v="48250"/>
    <n v="49000"/>
    <n v="43650"/>
    <n v="0"/>
    <n v="133.48670000000001"/>
    <n v="1.165834523"/>
    <n v="16164.5"/>
    <n v="26.78"/>
    <n v="6.88"/>
    <n v="85.47"/>
    <n v="14"/>
    <s v="-Rp900"/>
    <n v="-1.83"/>
  </r>
  <r>
    <x v="1766"/>
    <n v="48250"/>
    <n v="1992"/>
    <n v="6"/>
    <x v="1"/>
    <n v="6"/>
    <s v="False"/>
    <n v="48592.857142857145"/>
    <m/>
    <n v="48250"/>
    <n v="49000"/>
    <n v="43400"/>
    <n v="0"/>
    <n v="133.48670000000001"/>
    <n v="1.165834523"/>
    <n v="16164.5"/>
    <n v="26.99"/>
    <n v="3.43"/>
    <n v="82.9"/>
    <n v="15"/>
    <s v="-Rp900"/>
    <n v="-1.83"/>
  </r>
  <r>
    <x v="1767"/>
    <n v="54150"/>
    <n v="1993"/>
    <n v="6"/>
    <x v="1"/>
    <n v="0"/>
    <s v="False"/>
    <n v="49328.571428571428"/>
    <m/>
    <n v="48250"/>
    <n v="49000"/>
    <m/>
    <n v="5900"/>
    <n v="133.48670000000001"/>
    <n v="1.165834523"/>
    <n v="16282.599609999999"/>
    <n v="26.68"/>
    <n v="1.43"/>
    <n v="84.85"/>
    <n v="16"/>
    <s v="Rp5900"/>
    <n v="12.23"/>
  </r>
  <r>
    <x v="1768"/>
    <n v="54650"/>
    <n v="1994"/>
    <n v="6"/>
    <x v="1"/>
    <n v="1"/>
    <s v="False"/>
    <n v="50135.714285714283"/>
    <m/>
    <n v="54150"/>
    <n v="49000"/>
    <m/>
    <n v="500"/>
    <n v="133.48670000000001"/>
    <n v="1.165834523"/>
    <n v="15801"/>
    <n v="26.5"/>
    <n v="6.48"/>
    <n v="86.06"/>
    <n v="17"/>
    <s v="Rp500"/>
    <n v="0.92"/>
  </r>
  <r>
    <x v="1769"/>
    <n v="55250"/>
    <n v="1995"/>
    <n v="6"/>
    <x v="1"/>
    <n v="2"/>
    <s v="False"/>
    <n v="51135.714285714283"/>
    <m/>
    <n v="54650"/>
    <n v="48250"/>
    <n v="44500"/>
    <n v="600"/>
    <n v="133.48670000000001"/>
    <n v="1.165834523"/>
    <n v="16275"/>
    <n v="26.31"/>
    <n v="13.18"/>
    <n v="85.99"/>
    <n v="18"/>
    <s v="Rp600"/>
    <n v="1.1000000000000001"/>
  </r>
  <r>
    <x v="1770"/>
    <n v="55250"/>
    <n v="1996"/>
    <n v="6"/>
    <x v="1"/>
    <n v="3"/>
    <s v="False"/>
    <n v="52007.142857142855"/>
    <m/>
    <n v="55250"/>
    <n v="49150"/>
    <n v="44250"/>
    <n v="0"/>
    <n v="133.48670000000001"/>
    <n v="1.165834523"/>
    <n v="15598.5"/>
    <n v="26.36"/>
    <n v="8.9499999999999993"/>
    <n v="83.59"/>
    <n v="19"/>
    <s v="Rp0"/>
    <n v="0"/>
  </r>
  <r>
    <x v="1771"/>
    <n v="57500"/>
    <n v="1997"/>
    <n v="6"/>
    <x v="1"/>
    <n v="4"/>
    <s v="False"/>
    <n v="53328.571428571428"/>
    <m/>
    <n v="55250"/>
    <n v="48250"/>
    <n v="44250"/>
    <n v="2250"/>
    <n v="133.48670000000001"/>
    <n v="1.165834523"/>
    <n v="16390"/>
    <n v="26.71"/>
    <n v="5.85"/>
    <n v="82.6"/>
    <n v="20"/>
    <s v="Rp2250"/>
    <n v="4.07"/>
  </r>
  <r>
    <x v="1772"/>
    <n v="57500"/>
    <n v="1998"/>
    <n v="6"/>
    <x v="1"/>
    <n v="5"/>
    <s v="False"/>
    <n v="54650"/>
    <m/>
    <n v="57500"/>
    <n v="48250"/>
    <n v="44000"/>
    <n v="0"/>
    <n v="133.48670000000001"/>
    <n v="1.165834523"/>
    <n v="16390"/>
    <n v="26.23"/>
    <n v="29.39"/>
    <n v="85.66"/>
    <n v="21"/>
    <s v="Rp2250"/>
    <n v="4.07"/>
  </r>
  <r>
    <x v="1773"/>
    <n v="57500"/>
    <n v="1999"/>
    <n v="6"/>
    <x v="1"/>
    <n v="6"/>
    <s v="False"/>
    <n v="55971.428571428572"/>
    <m/>
    <n v="57500"/>
    <n v="48250"/>
    <n v="43750"/>
    <n v="0"/>
    <n v="133.48670000000001"/>
    <n v="1.165834523"/>
    <n v="16390"/>
    <n v="26.02"/>
    <n v="8.9"/>
    <n v="83.82"/>
    <n v="22"/>
    <s v="Rp2250"/>
    <n v="4.07"/>
  </r>
  <r>
    <x v="1774"/>
    <n v="58150"/>
    <n v="2000"/>
    <n v="6"/>
    <x v="1"/>
    <n v="0"/>
    <s v="False"/>
    <n v="56542.857142857145"/>
    <m/>
    <n v="57500"/>
    <n v="54150"/>
    <n v="43750"/>
    <n v="650"/>
    <n v="133.48670000000001"/>
    <n v="1.165834523"/>
    <n v="16431"/>
    <n v="26.43"/>
    <n v="3.98"/>
    <n v="78.400000000000006"/>
    <n v="23"/>
    <m/>
    <n v="0"/>
  </r>
  <r>
    <x v="1775"/>
    <n v="57650"/>
    <n v="2001"/>
    <n v="6"/>
    <x v="1"/>
    <n v="1"/>
    <s v="False"/>
    <n v="56971.428571428572"/>
    <n v="50208.333333333336"/>
    <n v="58150"/>
    <n v="54650"/>
    <m/>
    <n v="-500"/>
    <n v="133.48670000000001"/>
    <n v="1.165834523"/>
    <n v="16370"/>
    <n v="27.2"/>
    <n v="2.56"/>
    <n v="77.760000000000005"/>
    <n v="24"/>
    <s v="-Rp500"/>
    <n v="-0.86"/>
  </r>
  <r>
    <x v="1776"/>
    <n v="57650"/>
    <n v="2002"/>
    <n v="6"/>
    <x v="1"/>
    <n v="2"/>
    <s v="False"/>
    <n v="57314.285714285717"/>
    <n v="50675"/>
    <n v="57650"/>
    <n v="55250"/>
    <n v="43650"/>
    <n v="0"/>
    <n v="133.48670000000001"/>
    <n v="1.165834523"/>
    <n v="16290"/>
    <n v="27.03"/>
    <n v="10.99"/>
    <n v="83.31"/>
    <n v="25"/>
    <s v="Rp0"/>
    <n v="0"/>
  </r>
  <r>
    <x v="1777"/>
    <n v="57650"/>
    <n v="2003"/>
    <n v="6"/>
    <x v="1"/>
    <n v="3"/>
    <s v="False"/>
    <n v="57657.142857142855"/>
    <n v="51141.666666666664"/>
    <n v="57650"/>
    <n v="55250"/>
    <n v="43650"/>
    <n v="0"/>
    <n v="133.48670000000001"/>
    <n v="1.165834523"/>
    <n v="16290"/>
    <n v="27.47"/>
    <n v="11.47"/>
    <n v="76.930000000000007"/>
    <n v="26"/>
    <s v="Rp0"/>
    <n v="0"/>
  </r>
  <r>
    <x v="1778"/>
    <n v="57650"/>
    <n v="2004"/>
    <n v="6"/>
    <x v="1"/>
    <n v="4"/>
    <s v="True"/>
    <n v="57678.571428571428"/>
    <n v="51546.666666666664"/>
    <n v="57650"/>
    <n v="57500"/>
    <n v="45500"/>
    <n v="0"/>
    <n v="133.48670000000001"/>
    <n v="1.165834523"/>
    <n v="16222.799800000001"/>
    <n v="27.23"/>
    <n v="2.02"/>
    <n v="79.760000000000005"/>
    <n v="27"/>
    <s v="Rp0"/>
    <n v="0"/>
  </r>
  <r>
    <x v="1779"/>
    <n v="57650"/>
    <n v="2005"/>
    <n v="6"/>
    <x v="1"/>
    <n v="5"/>
    <s v="False"/>
    <n v="57700"/>
    <n v="51951.666666666664"/>
    <n v="57650"/>
    <n v="57500"/>
    <n v="45500"/>
    <n v="0"/>
    <n v="133.48670000000001"/>
    <n v="1.165834523"/>
    <n v="16222.799800000001"/>
    <n v="27.79"/>
    <n v="1.1599999999999999"/>
    <n v="76.209999999999994"/>
    <n v="28"/>
    <s v="Rp0"/>
    <n v="0"/>
  </r>
  <r>
    <x v="1780"/>
    <n v="57650"/>
    <n v="2006"/>
    <n v="6"/>
    <x v="1"/>
    <n v="6"/>
    <s v="False"/>
    <n v="57721.428571428572"/>
    <n v="52356.666666666664"/>
    <n v="57650"/>
    <n v="57500"/>
    <n v="45500"/>
    <n v="0"/>
    <n v="133.48670000000001"/>
    <n v="1.165834523"/>
    <n v="16222.799800000001"/>
    <n v="27.65"/>
    <n v="1.85"/>
    <n v="77.540000000000006"/>
    <n v="29"/>
    <s v="Rp0"/>
    <n v="0"/>
  </r>
  <r>
    <x v="1781"/>
    <n v="55650"/>
    <n v="2007"/>
    <n v="6"/>
    <x v="1"/>
    <n v="0"/>
    <s v="False"/>
    <n v="57364.285714285717"/>
    <n v="52695"/>
    <n v="57650"/>
    <n v="58150"/>
    <n v="45500"/>
    <n v="-2000"/>
    <n v="133.48670000000001"/>
    <n v="1.165834523"/>
    <n v="16229"/>
    <n v="27.46"/>
    <n v="7.02"/>
    <n v="76.38"/>
    <n v="30"/>
    <m/>
    <n v="0"/>
  </r>
  <r>
    <x v="1782"/>
    <n v="54500"/>
    <n v="2008"/>
    <n v="7"/>
    <x v="1"/>
    <n v="1"/>
    <s v="False"/>
    <n v="56914.285714285717"/>
    <n v="52995"/>
    <n v="55650"/>
    <n v="57650"/>
    <n v="45500"/>
    <n v="-1150"/>
    <n v="133.48670000000001"/>
    <n v="1.165834523"/>
    <n v="16230"/>
    <n v="27.46"/>
    <n v="3.92"/>
    <n v="79.05"/>
    <n v="1"/>
    <s v="-Rp1150"/>
    <n v="-2.0699999999999998"/>
  </r>
  <r>
    <x v="1783"/>
    <n v="54500"/>
    <n v="2009"/>
    <n v="7"/>
    <x v="1"/>
    <n v="2"/>
    <s v="False"/>
    <n v="56464.285714285717"/>
    <n v="53173.333333333336"/>
    <n v="54500"/>
    <n v="57650"/>
    <n v="49150"/>
    <n v="0"/>
    <n v="133.48670000000001"/>
    <n v="1.165834523"/>
    <n v="16236.400390000001"/>
    <n v="26.64"/>
    <n v="8.14"/>
    <n v="83.74"/>
    <n v="2"/>
    <s v="Rp0"/>
    <n v="0"/>
  </r>
  <r>
    <x v="1784"/>
    <n v="54500"/>
    <n v="2010"/>
    <n v="7"/>
    <x v="1"/>
    <n v="3"/>
    <s v="False"/>
    <n v="56014.285714285717"/>
    <n v="53360"/>
    <n v="54500"/>
    <n v="57650"/>
    <n v="48900"/>
    <n v="0"/>
    <n v="133.48670000000001"/>
    <n v="1.165834523"/>
    <n v="16235"/>
    <n v="26.79"/>
    <n v="2.74"/>
    <n v="82.93"/>
    <n v="3"/>
    <s v="Rp0"/>
    <n v="0"/>
  </r>
  <r>
    <x v="1785"/>
    <n v="55150"/>
    <n v="2011"/>
    <n v="7"/>
    <x v="1"/>
    <n v="4"/>
    <s v="False"/>
    <n v="55657.142857142855"/>
    <n v="53543.333333333336"/>
    <n v="54500"/>
    <n v="57650"/>
    <n v="49650"/>
    <n v="650"/>
    <n v="133.48670000000001"/>
    <n v="1.165834523"/>
    <n v="16203.700199999999"/>
    <n v="27.25"/>
    <n v="12.11"/>
    <n v="77.87"/>
    <n v="4"/>
    <s v="Rp650"/>
    <n v="1.19"/>
  </r>
  <r>
    <x v="1786"/>
    <n v="55150"/>
    <n v="2012"/>
    <n v="7"/>
    <x v="1"/>
    <n v="5"/>
    <s v="False"/>
    <n v="55300"/>
    <n v="53748.333333333336"/>
    <n v="55150"/>
    <n v="57650"/>
    <n v="49000"/>
    <n v="0"/>
    <n v="133.48670000000001"/>
    <n v="1.165834523"/>
    <n v="16203.700199999999"/>
    <n v="26.98"/>
    <n v="3.18"/>
    <n v="81.97"/>
    <n v="5"/>
    <s v="Rp650"/>
    <n v="1.19"/>
  </r>
  <r>
    <x v="1787"/>
    <n v="55150"/>
    <n v="2013"/>
    <n v="7"/>
    <x v="1"/>
    <n v="6"/>
    <s v="False"/>
    <n v="54942.857142857145"/>
    <n v="53953.333333333336"/>
    <n v="55150"/>
    <n v="57650"/>
    <n v="49000"/>
    <n v="0"/>
    <n v="133.48670000000001"/>
    <n v="1.165834523"/>
    <n v="16203.700199999999"/>
    <n v="26.76"/>
    <n v="10.8"/>
    <n v="83.79"/>
    <n v="6"/>
    <s v="Rp650"/>
    <n v="1.19"/>
  </r>
  <r>
    <x v="1788"/>
    <n v="53900"/>
    <n v="2014"/>
    <n v="7"/>
    <x v="1"/>
    <n v="0"/>
    <s v="False"/>
    <n v="54692.857142857145"/>
    <n v="54116.666666666664"/>
    <n v="55150"/>
    <n v="55650"/>
    <n v="49000"/>
    <n v="-1250"/>
    <n v="133.48670000000001"/>
    <n v="1.165834523"/>
    <n v="16178"/>
    <n v="25.96"/>
    <n v="12.24"/>
    <n v="84.76"/>
    <n v="7"/>
    <s v="-Rp1250"/>
    <n v="-2.27"/>
  </r>
  <r>
    <x v="1789"/>
    <n v="53900"/>
    <n v="2015"/>
    <n v="7"/>
    <x v="1"/>
    <n v="1"/>
    <s v="False"/>
    <n v="54607.142857142855"/>
    <n v="54280"/>
    <n v="53900"/>
    <n v="54500"/>
    <n v="49000"/>
    <n v="0"/>
    <n v="133.48670000000001"/>
    <n v="1.165834523"/>
    <n v="16318.900390000001"/>
    <n v="26.75"/>
    <n v="5.0999999999999996"/>
    <n v="78.040000000000006"/>
    <n v="8"/>
    <s v="Rp0"/>
    <n v="0"/>
  </r>
  <r>
    <x v="1790"/>
    <n v="53900"/>
    <n v="2016"/>
    <n v="7"/>
    <x v="1"/>
    <n v="2"/>
    <s v="False"/>
    <n v="54521.428571428572"/>
    <n v="54443.333333333336"/>
    <n v="53900"/>
    <n v="54500"/>
    <n v="49000"/>
    <n v="0"/>
    <n v="133.48670000000001"/>
    <n v="1.165834523"/>
    <n v="16261"/>
    <n v="26.89"/>
    <n v="5.99"/>
    <n v="79.739999999999995"/>
    <n v="9"/>
    <s v="Rp0"/>
    <n v="0"/>
  </r>
  <r>
    <x v="1791"/>
    <n v="55150"/>
    <n v="2017"/>
    <n v="7"/>
    <x v="1"/>
    <n v="3"/>
    <s v="False"/>
    <n v="54614.285714285717"/>
    <n v="54648.333333333336"/>
    <n v="53900"/>
    <n v="54500"/>
    <n v="49000"/>
    <n v="1250"/>
    <n v="133.48670000000001"/>
    <n v="1.165834523"/>
    <n v="16235"/>
    <n v="26.79"/>
    <n v="8.3800000000000008"/>
    <n v="80.78"/>
    <n v="10"/>
    <s v="Rp1250"/>
    <n v="2.3199999999999998"/>
  </r>
  <r>
    <x v="1792"/>
    <n v="55150"/>
    <n v="2018"/>
    <n v="7"/>
    <x v="1"/>
    <n v="4"/>
    <s v="False"/>
    <n v="54614.285714285717"/>
    <n v="54878.333333333336"/>
    <n v="55150"/>
    <n v="55150"/>
    <n v="48250"/>
    <n v="0"/>
    <n v="133.48670000000001"/>
    <n v="1.165834523"/>
    <n v="16209.099609999999"/>
    <n v="26.19"/>
    <n v="15.43"/>
    <n v="83.1"/>
    <n v="11"/>
    <s v="Rp0"/>
    <n v="0"/>
  </r>
  <r>
    <x v="1793"/>
    <n v="55150"/>
    <n v="2019"/>
    <n v="7"/>
    <x v="1"/>
    <n v="5"/>
    <s v="False"/>
    <n v="54614.285714285717"/>
    <n v="55078.333333333336"/>
    <n v="55150"/>
    <n v="55150"/>
    <n v="49150"/>
    <n v="0"/>
    <n v="133.48670000000001"/>
    <n v="1.165834523"/>
    <n v="16209.099609999999"/>
    <n v="26.48"/>
    <n v="6.96"/>
    <n v="86.55"/>
    <n v="12"/>
    <s v="Rp0"/>
    <n v="0"/>
  </r>
  <r>
    <x v="1794"/>
    <n v="55150"/>
    <n v="2020"/>
    <n v="7"/>
    <x v="1"/>
    <n v="6"/>
    <s v="False"/>
    <n v="54614.285714285717"/>
    <n v="55308.333333333336"/>
    <n v="55150"/>
    <n v="55150"/>
    <n v="48250"/>
    <n v="0"/>
    <n v="133.48670000000001"/>
    <n v="1.165834523"/>
    <n v="16209.099609999999"/>
    <n v="26.88"/>
    <n v="3.99"/>
    <n v="84.2"/>
    <n v="13"/>
    <s v="Rp0"/>
    <n v="0"/>
  </r>
  <r>
    <x v="1795"/>
    <n v="55900"/>
    <n v="2021"/>
    <n v="7"/>
    <x v="1"/>
    <n v="0"/>
    <s v="False"/>
    <n v="54900"/>
    <n v="55563.333333333336"/>
    <n v="55150"/>
    <n v="53900"/>
    <n v="48250"/>
    <n v="750"/>
    <n v="133.48670000000001"/>
    <n v="1.165834523"/>
    <n v="16222"/>
    <n v="26.78"/>
    <n v="14.65"/>
    <n v="84.73"/>
    <n v="14"/>
    <s v="Rp750"/>
    <n v="1.36"/>
  </r>
  <r>
    <x v="1796"/>
    <n v="54650"/>
    <n v="2022"/>
    <n v="7"/>
    <x v="1"/>
    <n v="1"/>
    <s v="False"/>
    <n v="55007.142857142855"/>
    <n v="55776.666666666664"/>
    <n v="55900"/>
    <n v="53900"/>
    <n v="48250"/>
    <n v="-1250"/>
    <n v="133.48670000000001"/>
    <n v="1.165834523"/>
    <n v="16256.200199999999"/>
    <n v="25.85"/>
    <n v="18.05"/>
    <n v="86.64"/>
    <n v="15"/>
    <s v="-Rp1250"/>
    <n v="-2.2400000000000002"/>
  </r>
  <r>
    <x v="1797"/>
    <n v="55250"/>
    <n v="2023"/>
    <n v="7"/>
    <x v="1"/>
    <n v="2"/>
    <s v="False"/>
    <n v="55200"/>
    <n v="55813.333333333336"/>
    <n v="54650"/>
    <n v="53900"/>
    <n v="54150"/>
    <n v="600"/>
    <n v="133.48670000000001"/>
    <n v="1.165834523"/>
    <n v="16252.099609999999"/>
    <n v="26.33"/>
    <n v="36.479999999999997"/>
    <n v="83"/>
    <n v="16"/>
    <s v="Rp600"/>
    <n v="1.1000000000000001"/>
  </r>
  <r>
    <x v="1798"/>
    <n v="55250"/>
    <n v="2024"/>
    <n v="7"/>
    <x v="1"/>
    <n v="3"/>
    <s v="False"/>
    <n v="55214.285714285717"/>
    <n v="55833.333333333336"/>
    <n v="55250"/>
    <n v="55150"/>
    <n v="54650"/>
    <n v="0"/>
    <n v="133.48670000000001"/>
    <n v="1.165834523"/>
    <n v="16271.200199999999"/>
    <n v="26.46"/>
    <n v="6.91"/>
    <n v="79.05"/>
    <n v="17"/>
    <s v="Rp0"/>
    <n v="0"/>
  </r>
  <r>
    <x v="1799"/>
    <n v="55250"/>
    <n v="2025"/>
    <n v="7"/>
    <x v="1"/>
    <n v="4"/>
    <s v="False"/>
    <n v="55228.571428571428"/>
    <n v="55833.333333333336"/>
    <n v="55250"/>
    <n v="55150"/>
    <n v="55250"/>
    <n v="0"/>
    <n v="133.48670000000001"/>
    <n v="1.165834523"/>
    <n v="16329.700199999999"/>
    <n v="26.27"/>
    <n v="0"/>
    <n v="77.62"/>
    <n v="18"/>
    <s v="Rp0"/>
    <n v="0"/>
  </r>
  <r>
    <x v="1800"/>
    <n v="55250"/>
    <n v="2026"/>
    <n v="7"/>
    <x v="1"/>
    <n v="5"/>
    <s v="False"/>
    <n v="55242.857142857145"/>
    <n v="55833.333333333336"/>
    <n v="55250"/>
    <n v="55150"/>
    <n v="55250"/>
    <n v="0"/>
    <n v="133.48670000000001"/>
    <n v="1.165834523"/>
    <n v="16329.700199999999"/>
    <n v="26.55"/>
    <n v="0.25"/>
    <n v="80.31"/>
    <n v="19"/>
    <s v="Rp0"/>
    <n v="0"/>
  </r>
  <r>
    <x v="1801"/>
    <n v="55250"/>
    <n v="2027"/>
    <n v="7"/>
    <x v="1"/>
    <n v="6"/>
    <s v="False"/>
    <n v="55257.142857142855"/>
    <n v="55758.333333333336"/>
    <n v="55250"/>
    <n v="55150"/>
    <n v="57500"/>
    <n v="0"/>
    <n v="133.48670000000001"/>
    <n v="1.165834523"/>
    <n v="16329.700199999999"/>
    <n v="26.62"/>
    <n v="0.14000000000000001"/>
    <n v="85.21"/>
    <n v="20"/>
    <s v="Rp0"/>
    <n v="0"/>
  </r>
  <r>
    <x v="1802"/>
    <n v="56000"/>
    <n v="2028"/>
    <n v="7"/>
    <x v="1"/>
    <n v="0"/>
    <s v="False"/>
    <n v="55271.428571428572"/>
    <n v="55708.333333333336"/>
    <n v="55250"/>
    <n v="55900"/>
    <n v="57500"/>
    <n v="750"/>
    <n v="133.48670000000001"/>
    <n v="1.165834523"/>
    <n v="16321"/>
    <n v="27.22"/>
    <n v="0.14000000000000001"/>
    <n v="82.37"/>
    <n v="21"/>
    <s v="Rp750"/>
    <n v="1.36"/>
  </r>
  <r>
    <x v="1803"/>
    <n v="55650"/>
    <n v="2029"/>
    <n v="7"/>
    <x v="1"/>
    <n v="1"/>
    <s v="False"/>
    <n v="55414.285714285717"/>
    <n v="55646.666666666664"/>
    <n v="56000"/>
    <n v="54650"/>
    <n v="57500"/>
    <n v="-350"/>
    <n v="133.48670000000001"/>
    <n v="1.165834523"/>
    <n v="16329.5"/>
    <n v="27.39"/>
    <n v="0.68"/>
    <n v="81.22"/>
    <n v="22"/>
    <s v="-Rp350"/>
    <n v="-0.63"/>
  </r>
  <r>
    <x v="1804"/>
    <n v="56650"/>
    <n v="2030"/>
    <n v="7"/>
    <x v="1"/>
    <n v="2"/>
    <s v="False"/>
    <n v="55614.285714285717"/>
    <n v="55596.666666666664"/>
    <n v="55650"/>
    <n v="55250"/>
    <n v="58150"/>
    <n v="1000"/>
    <n v="133.48670000000001"/>
    <n v="1.165834523"/>
    <n v="16245.299800000001"/>
    <n v="27.24"/>
    <n v="0.6"/>
    <n v="85.16"/>
    <n v="23"/>
    <s v="Rp1000"/>
    <n v="1.8"/>
  </r>
  <r>
    <x v="1805"/>
    <n v="54900"/>
    <n v="2031"/>
    <n v="7"/>
    <x v="1"/>
    <n v="3"/>
    <s v="False"/>
    <n v="55564.285714285717"/>
    <n v="55505"/>
    <n v="56650"/>
    <n v="55250"/>
    <n v="57650"/>
    <n v="-1750"/>
    <n v="133.48670000000001"/>
    <n v="1.165834523"/>
    <n v="16266.099609999999"/>
    <n v="27.32"/>
    <n v="0.46"/>
    <n v="85.03"/>
    <n v="24"/>
    <s v="-Rp1750"/>
    <n v="-3.09"/>
  </r>
  <r>
    <x v="1806"/>
    <n v="56000"/>
    <n v="2032"/>
    <n v="7"/>
    <x v="1"/>
    <n v="4"/>
    <s v="False"/>
    <n v="55671.428571428572"/>
    <n v="55450"/>
    <n v="54900"/>
    <n v="55250"/>
    <n v="57650"/>
    <n v="1100"/>
    <n v="133.48670000000001"/>
    <n v="1.165834523"/>
    <n v="16307"/>
    <n v="27.43"/>
    <n v="0.28999999999999998"/>
    <n v="83.73"/>
    <n v="25"/>
    <s v="Rp1100"/>
    <n v="2"/>
  </r>
  <r>
    <x v="1807"/>
    <n v="56000"/>
    <n v="2033"/>
    <n v="7"/>
    <x v="1"/>
    <n v="5"/>
    <s v="False"/>
    <n v="55778.571428571428"/>
    <n v="55395"/>
    <n v="56000"/>
    <n v="55250"/>
    <n v="57650"/>
    <n v="0"/>
    <n v="133.48670000000001"/>
    <n v="1.165834523"/>
    <n v="16307"/>
    <n v="26.96"/>
    <n v="0.53"/>
    <n v="85.67"/>
    <n v="26"/>
    <s v="Rp1100"/>
    <n v="2"/>
  </r>
  <r>
    <x v="1808"/>
    <n v="56000"/>
    <n v="2034"/>
    <n v="7"/>
    <x v="1"/>
    <n v="6"/>
    <s v="False"/>
    <n v="55885.714285714283"/>
    <n v="55340"/>
    <n v="56000"/>
    <n v="55250"/>
    <n v="57650"/>
    <n v="0"/>
    <n v="133.48670000000001"/>
    <n v="1.165834523"/>
    <n v="16307"/>
    <n v="26.9"/>
    <n v="0.36"/>
    <n v="81.62"/>
    <n v="27"/>
    <s v="Rp1100"/>
    <n v="2"/>
  </r>
  <r>
    <x v="1809"/>
    <n v="60750"/>
    <n v="2035"/>
    <n v="7"/>
    <x v="1"/>
    <n v="0"/>
    <s v="False"/>
    <n v="56564.285714285717"/>
    <n v="55443.333333333336"/>
    <n v="56000"/>
    <n v="56000"/>
    <n v="57650"/>
    <n v="4750"/>
    <n v="133.48670000000001"/>
    <n v="1.165834523"/>
    <n v="16353"/>
    <n v="26.56"/>
    <n v="0.61"/>
    <n v="83.88"/>
    <n v="28"/>
    <s v="Rp4750"/>
    <n v="8.48"/>
  </r>
  <r>
    <x v="1810"/>
    <n v="61900"/>
    <n v="2036"/>
    <n v="7"/>
    <x v="1"/>
    <n v="1"/>
    <s v="False"/>
    <n v="57457.142857142855"/>
    <n v="55585"/>
    <n v="60750"/>
    <n v="55650"/>
    <n v="57650"/>
    <n v="1150"/>
    <n v="133.48670000000001"/>
    <n v="1.165834523"/>
    <n v="16398.800780000001"/>
    <n v="26.61"/>
    <n v="0.22"/>
    <n v="86.49"/>
    <n v="29"/>
    <s v="Rp1150"/>
    <n v="1.89"/>
  </r>
  <r>
    <x v="1811"/>
    <n v="64900"/>
    <n v="2037"/>
    <n v="7"/>
    <x v="1"/>
    <n v="2"/>
    <s v="False"/>
    <n v="58635.714285714283"/>
    <n v="55893.333333333336"/>
    <n v="61900"/>
    <n v="56650"/>
    <n v="55650"/>
    <n v="3000"/>
    <n v="133.48670000000001"/>
    <n v="1.165834523"/>
    <n v="16367.900390000001"/>
    <n v="27.04"/>
    <n v="0.75"/>
    <n v="85.44"/>
    <n v="30"/>
    <s v="Rp3000"/>
    <n v="4.8499999999999996"/>
  </r>
  <r>
    <x v="1812"/>
    <n v="66900"/>
    <n v="2038"/>
    <n v="7"/>
    <x v="1"/>
    <n v="3"/>
    <s v="False"/>
    <n v="60350"/>
    <n v="56306.666666666664"/>
    <n v="64900"/>
    <n v="54900"/>
    <n v="54500"/>
    <n v="2000"/>
    <n v="133.48670000000001"/>
    <n v="1.165834523"/>
    <n v="16426.800780000001"/>
    <n v="27.04"/>
    <n v="1.25"/>
    <n v="84.55"/>
    <n v="31"/>
    <s v="Rp2000"/>
    <n v="3.08"/>
  </r>
  <r>
    <x v="1813"/>
    <n v="68000"/>
    <n v="2039"/>
    <n v="8"/>
    <x v="1"/>
    <n v="4"/>
    <s v="False"/>
    <n v="62064.285714285717"/>
    <n v="56756.666666666664"/>
    <n v="66900"/>
    <n v="56000"/>
    <n v="54500"/>
    <n v="1100"/>
    <n v="133.48670000000001"/>
    <n v="1.165834523"/>
    <n v="16483"/>
    <n v="27.04"/>
    <n v="6.21"/>
    <n v="83.24"/>
    <n v="1"/>
    <s v="Rp1100"/>
    <n v="1.64"/>
  </r>
  <r>
    <x v="1814"/>
    <n v="68000"/>
    <n v="2040"/>
    <n v="8"/>
    <x v="1"/>
    <n v="5"/>
    <s v="False"/>
    <n v="63778.571428571428"/>
    <n v="57206.666666666664"/>
    <n v="68000"/>
    <n v="56000"/>
    <n v="54500"/>
    <n v="0"/>
    <n v="133.48670000000001"/>
    <n v="1.165834523"/>
    <n v="16483"/>
    <n v="26.33"/>
    <n v="17.63"/>
    <n v="87.6"/>
    <n v="2"/>
    <s v="Rp1100"/>
    <n v="1.64"/>
  </r>
  <r>
    <x v="1815"/>
    <n v="68000"/>
    <n v="2041"/>
    <n v="8"/>
    <x v="1"/>
    <n v="6"/>
    <s v="False"/>
    <n v="65492.857142857145"/>
    <n v="57635"/>
    <n v="68000"/>
    <n v="56000"/>
    <n v="55150"/>
    <n v="0"/>
    <n v="133.48670000000001"/>
    <n v="1.165834523"/>
    <n v="16483"/>
    <n v="26.87"/>
    <n v="5.0999999999999996"/>
    <n v="84.01"/>
    <n v="3"/>
    <s v="Rp1100"/>
    <n v="1.64"/>
  </r>
  <r>
    <x v="1816"/>
    <n v="67750"/>
    <n v="2042"/>
    <n v="8"/>
    <x v="1"/>
    <n v="0"/>
    <s v="False"/>
    <n v="66492.857142857145"/>
    <n v="58055"/>
    <n v="68000"/>
    <n v="60750"/>
    <n v="55150"/>
    <n v="-250"/>
    <n v="133.48670000000001"/>
    <n v="1.165834523"/>
    <n v="16483"/>
    <n v="26.64"/>
    <n v="10.06"/>
    <n v="83.18"/>
    <n v="4"/>
    <s v="-Rp250"/>
    <n v="-0.37"/>
  </r>
  <r>
    <x v="1817"/>
    <n v="67500"/>
    <n v="2043"/>
    <n v="8"/>
    <x v="1"/>
    <n v="1"/>
    <s v="False"/>
    <n v="67292.857142857145"/>
    <n v="58466.666666666664"/>
    <n v="67750"/>
    <n v="61900"/>
    <n v="55150"/>
    <n v="-250"/>
    <n v="133.48670000000001"/>
    <n v="1.165834523"/>
    <n v="16362"/>
    <n v="26.08"/>
    <n v="10.91"/>
    <n v="86.23"/>
    <n v="5"/>
    <s v="-Rp250"/>
    <n v="-0.37"/>
  </r>
  <r>
    <x v="1818"/>
    <n v="67750"/>
    <n v="2044"/>
    <n v="8"/>
    <x v="1"/>
    <n v="2"/>
    <s v="False"/>
    <n v="67700"/>
    <n v="58928.333333333336"/>
    <n v="67500"/>
    <n v="64900"/>
    <n v="53900"/>
    <n v="250"/>
    <n v="133.48670000000001"/>
    <n v="1.165834523"/>
    <n v="16377.5"/>
    <n v="26.81"/>
    <n v="10.48"/>
    <n v="80.53"/>
    <n v="6"/>
    <s v="Rp250"/>
    <n v="0.37"/>
  </r>
  <r>
    <x v="1819"/>
    <n v="68150"/>
    <n v="2045"/>
    <n v="8"/>
    <x v="1"/>
    <n v="3"/>
    <s v="False"/>
    <n v="67878.571428571435"/>
    <n v="59403.333333333336"/>
    <n v="67750"/>
    <n v="66900"/>
    <n v="53900"/>
    <n v="400"/>
    <n v="133.48670000000001"/>
    <n v="1.165834523"/>
    <n v="16334.700199999999"/>
    <n v="26.41"/>
    <n v="3.37"/>
    <n v="80.819999999999993"/>
    <n v="7"/>
    <s v="Rp400"/>
    <n v="0.59"/>
  </r>
  <r>
    <x v="1820"/>
    <n v="67750"/>
    <n v="2046"/>
    <n v="8"/>
    <x v="1"/>
    <n v="4"/>
    <s v="False"/>
    <n v="67842.857142857145"/>
    <n v="59865"/>
    <n v="68150"/>
    <n v="68000"/>
    <n v="53900"/>
    <n v="-400"/>
    <n v="133.48670000000001"/>
    <n v="1.165834523"/>
    <n v="16300"/>
    <n v="26.51"/>
    <n v="4.96"/>
    <n v="81.39"/>
    <n v="8"/>
    <s v="-Rp400"/>
    <n v="-0.59"/>
  </r>
  <r>
    <x v="1821"/>
    <n v="67750"/>
    <n v="2047"/>
    <n v="8"/>
    <x v="1"/>
    <n v="5"/>
    <s v="False"/>
    <n v="67807.142857142855"/>
    <n v="60285"/>
    <n v="67750"/>
    <n v="68000"/>
    <n v="55150"/>
    <n v="0"/>
    <n v="133.48670000000001"/>
    <n v="1.165834523"/>
    <n v="16300"/>
    <n v="26.5"/>
    <n v="3"/>
    <n v="81.73"/>
    <n v="9"/>
    <s v="-Rp400"/>
    <n v="-0.59"/>
  </r>
  <r>
    <x v="1822"/>
    <n v="67750"/>
    <n v="2048"/>
    <n v="8"/>
    <x v="1"/>
    <n v="6"/>
    <s v="False"/>
    <n v="67771.428571428565"/>
    <n v="60705"/>
    <n v="67750"/>
    <n v="68000"/>
    <n v="55150"/>
    <n v="0"/>
    <n v="133.48670000000001"/>
    <n v="1.165834523"/>
    <n v="16300"/>
    <n v="26.45"/>
    <n v="6.7"/>
    <n v="82.63"/>
    <n v="10"/>
    <s v="-Rp400"/>
    <n v="-0.59"/>
  </r>
  <r>
    <x v="1823"/>
    <n v="67250"/>
    <n v="2049"/>
    <n v="8"/>
    <x v="1"/>
    <n v="0"/>
    <s v="False"/>
    <n v="67700"/>
    <n v="61108.333333333336"/>
    <n v="67750"/>
    <n v="67750"/>
    <n v="55150"/>
    <n v="-500"/>
    <n v="133.48670000000001"/>
    <n v="1.165834523"/>
    <n v="16249"/>
    <n v="25.93"/>
    <n v="7.14"/>
    <n v="84.74"/>
    <n v="11"/>
    <s v="-Rp500"/>
    <n v="-0.74"/>
  </r>
  <r>
    <x v="1824"/>
    <n v="66900"/>
    <n v="2050"/>
    <n v="8"/>
    <x v="1"/>
    <n v="1"/>
    <s v="False"/>
    <n v="67614.28571428571"/>
    <n v="61500"/>
    <n v="67250"/>
    <n v="67500"/>
    <n v="55150"/>
    <n v="-350"/>
    <n v="133.48670000000001"/>
    <n v="1.165834523"/>
    <n v="16298"/>
    <n v="25.96"/>
    <n v="2.84"/>
    <n v="82.31"/>
    <n v="12"/>
    <s v="-Rp350"/>
    <n v="-0.52"/>
  </r>
  <r>
    <x v="1825"/>
    <n v="68500"/>
    <n v="2051"/>
    <n v="8"/>
    <x v="1"/>
    <n v="2"/>
    <s v="False"/>
    <n v="67721.428571428565"/>
    <n v="61920"/>
    <n v="66900"/>
    <n v="67750"/>
    <n v="55900"/>
    <n v="1600"/>
    <n v="133.48670000000001"/>
    <n v="1.165834523"/>
    <n v="16248.200199999999"/>
    <n v="26.25"/>
    <n v="0.01"/>
    <n v="76.459999999999994"/>
    <n v="13"/>
    <s v="Rp1600"/>
    <n v="2.39"/>
  </r>
  <r>
    <x v="1826"/>
    <n v="68500"/>
    <n v="2052"/>
    <n v="8"/>
    <x v="1"/>
    <n v="3"/>
    <s v="False"/>
    <n v="67771.428571428565"/>
    <n v="62381.666666666664"/>
    <n v="68500"/>
    <n v="68150"/>
    <n v="54650"/>
    <n v="0"/>
    <n v="133.48670000000001"/>
    <n v="1.165834523"/>
    <n v="16109"/>
    <n v="25.85"/>
    <n v="7.31"/>
    <n v="81.64"/>
    <n v="14"/>
    <s v="Rp0"/>
    <n v="0"/>
  </r>
  <r>
    <x v="1827"/>
    <n v="68000"/>
    <n v="2053"/>
    <n v="8"/>
    <x v="1"/>
    <n v="4"/>
    <s v="False"/>
    <n v="67807.142857142855"/>
    <n v="62806.666666666664"/>
    <n v="68500"/>
    <n v="67750"/>
    <n v="55250"/>
    <n v="-500"/>
    <n v="133.48670000000001"/>
    <n v="1.165834523"/>
    <n v="16169"/>
    <n v="25.41"/>
    <n v="5.7"/>
    <n v="86.93"/>
    <n v="15"/>
    <s v="-Rp500"/>
    <n v="-0.73"/>
  </r>
  <r>
    <x v="1828"/>
    <n v="68000"/>
    <n v="2054"/>
    <n v="8"/>
    <x v="1"/>
    <n v="5"/>
    <s v="False"/>
    <n v="67842.857142857145"/>
    <n v="63231.666666666664"/>
    <n v="68000"/>
    <n v="67750"/>
    <n v="55250"/>
    <n v="0"/>
    <n v="133.48670000000001"/>
    <n v="1.165834523"/>
    <n v="16169"/>
    <n v="25.84"/>
    <n v="5.71"/>
    <n v="85.43"/>
    <n v="16"/>
    <s v="-Rp500"/>
    <n v="-0.73"/>
  </r>
  <r>
    <x v="1829"/>
    <n v="68000"/>
    <n v="2055"/>
    <n v="8"/>
    <x v="1"/>
    <n v="6"/>
    <s v="True"/>
    <n v="67878.571428571435"/>
    <n v="63656.666666666664"/>
    <n v="68000"/>
    <n v="67750"/>
    <n v="55250"/>
    <n v="0"/>
    <n v="133.48670000000001"/>
    <n v="1.165834523"/>
    <n v="16169"/>
    <n v="26.56"/>
    <n v="9.41"/>
    <n v="81.739999999999995"/>
    <n v="17"/>
    <s v="-Rp500"/>
    <n v="-0.73"/>
  </r>
  <r>
    <x v="1830"/>
    <n v="68000"/>
    <n v="2056"/>
    <n v="8"/>
    <x v="1"/>
    <n v="0"/>
    <s v="False"/>
    <n v="67985.71428571429"/>
    <n v="64081.666666666664"/>
    <n v="68000"/>
    <n v="67250"/>
    <n v="55250"/>
    <n v="0"/>
    <n v="133.48670000000001"/>
    <n v="1.165834523"/>
    <n v="16196"/>
    <n v="26.66"/>
    <n v="4.24"/>
    <n v="80.430000000000007"/>
    <n v="18"/>
    <s v="Rp0"/>
    <n v="0"/>
  </r>
  <r>
    <x v="1831"/>
    <n v="66650"/>
    <n v="2057"/>
    <n v="8"/>
    <x v="1"/>
    <n v="1"/>
    <s v="False"/>
    <n v="67950"/>
    <n v="64461.666666666664"/>
    <n v="68000"/>
    <n v="66900"/>
    <n v="55250"/>
    <n v="-1350"/>
    <n v="133.48670000000001"/>
    <n v="1.165834523"/>
    <n v="16205.400390000001"/>
    <n v="26.35"/>
    <n v="16.05"/>
    <n v="83.05"/>
    <n v="19"/>
    <s v="-Rp1350"/>
    <n v="-1.99"/>
  </r>
  <r>
    <x v="1832"/>
    <n v="67150"/>
    <n v="2058"/>
    <n v="8"/>
    <x v="1"/>
    <n v="2"/>
    <s v="False"/>
    <n v="67757.142857142855"/>
    <n v="64833.333333333336"/>
    <n v="66650"/>
    <n v="68500"/>
    <n v="56000"/>
    <n v="500"/>
    <n v="133.48670000000001"/>
    <n v="1.165834523"/>
    <n v="16275.200199999999"/>
    <n v="26.14"/>
    <n v="13.31"/>
    <n v="85.1"/>
    <n v="20"/>
    <s v="Rp500"/>
    <n v="0.75"/>
  </r>
  <r>
    <x v="1833"/>
    <n v="65900"/>
    <n v="2059"/>
    <n v="8"/>
    <x v="1"/>
    <n v="3"/>
    <s v="False"/>
    <n v="67385.71428571429"/>
    <n v="65175"/>
    <n v="67150"/>
    <n v="68500"/>
    <n v="55650"/>
    <n v="-1250"/>
    <n v="133.48670000000001"/>
    <n v="1.165834523"/>
    <n v="16263.599609999999"/>
    <n v="25.76"/>
    <n v="11.98"/>
    <n v="85.56"/>
    <n v="21"/>
    <s v="-Rp1250"/>
    <n v="-1.86"/>
  </r>
  <r>
    <x v="1834"/>
    <n v="64900"/>
    <n v="2060"/>
    <n v="8"/>
    <x v="1"/>
    <n v="4"/>
    <s v="False"/>
    <n v="66942.857142857145"/>
    <n v="65450"/>
    <n v="65900"/>
    <n v="68000"/>
    <n v="56650"/>
    <n v="-1000"/>
    <n v="133.48670000000001"/>
    <n v="1.165834523"/>
    <n v="16339.700199999999"/>
    <n v="25.32"/>
    <n v="6.79"/>
    <n v="85.9"/>
    <n v="22"/>
    <s v="-Rp1000"/>
    <n v="-1.52"/>
  </r>
  <r>
    <x v="1835"/>
    <n v="64900"/>
    <n v="2061"/>
    <n v="8"/>
    <x v="1"/>
    <n v="5"/>
    <s v="False"/>
    <n v="66500"/>
    <n v="65783.333333333328"/>
    <n v="64900"/>
    <n v="68000"/>
    <n v="54900"/>
    <n v="0"/>
    <n v="133.48670000000001"/>
    <n v="1.165834523"/>
    <n v="16339.700199999999"/>
    <n v="25.45"/>
    <n v="29.29"/>
    <n v="84.71"/>
    <n v="23"/>
    <s v="-Rp1000"/>
    <n v="-1.52"/>
  </r>
  <r>
    <x v="1836"/>
    <n v="64900"/>
    <n v="2062"/>
    <n v="8"/>
    <x v="1"/>
    <n v="6"/>
    <s v="False"/>
    <n v="66057.142857142855"/>
    <n v="66080"/>
    <n v="64900"/>
    <n v="68000"/>
    <n v="56000"/>
    <n v="0"/>
    <n v="133.48670000000001"/>
    <n v="1.165834523"/>
    <n v="16339.700199999999"/>
    <n v="25.89"/>
    <n v="8.6999999999999993"/>
    <n v="84.13"/>
    <n v="24"/>
    <s v="-Rp1000"/>
    <n v="-1.52"/>
  </r>
  <r>
    <x v="1837"/>
    <n v="57500"/>
    <n v="2063"/>
    <n v="8"/>
    <x v="1"/>
    <n v="0"/>
    <s v="False"/>
    <n v="64557.142857142855"/>
    <n v="66130"/>
    <n v="64900"/>
    <n v="68000"/>
    <n v="56000"/>
    <n v="-7400"/>
    <n v="133.48670000000001"/>
    <n v="1.165834523"/>
    <n v="16227"/>
    <n v="26.14"/>
    <n v="5.17"/>
    <n v="82.06"/>
    <n v="25"/>
    <s v="-Rp7400"/>
    <n v="-11.4"/>
  </r>
  <r>
    <x v="1838"/>
    <n v="57000"/>
    <n v="2064"/>
    <n v="8"/>
    <x v="1"/>
    <n v="1"/>
    <s v="False"/>
    <n v="63178.571428571428"/>
    <n v="66163.333333333328"/>
    <n v="57500"/>
    <n v="66650"/>
    <n v="56000"/>
    <n v="-500"/>
    <n v="133.48670000000001"/>
    <n v="1.165834523"/>
    <n v="16267"/>
    <n v="26.45"/>
    <n v="4.5599999999999996"/>
    <n v="80.42"/>
    <n v="26"/>
    <s v="-Rp500"/>
    <n v="-0.87"/>
  </r>
  <r>
    <x v="1839"/>
    <n v="59650"/>
    <n v="2065"/>
    <n v="8"/>
    <x v="1"/>
    <n v="2"/>
    <s v="False"/>
    <n v="62107.142857142855"/>
    <n v="66126.666666666672"/>
    <n v="57000"/>
    <n v="67150"/>
    <n v="60750"/>
    <n v="2650"/>
    <n v="133.48670000000001"/>
    <n v="1.165834523"/>
    <n v="16299.200199999999"/>
    <n v="26.29"/>
    <n v="2.19"/>
    <n v="81.7"/>
    <n v="27"/>
    <s v="Rp2650"/>
    <n v="4.6500000000000004"/>
  </r>
  <r>
    <x v="1840"/>
    <n v="60250"/>
    <n v="2066"/>
    <n v="8"/>
    <x v="1"/>
    <n v="3"/>
    <s v="False"/>
    <n v="61300"/>
    <n v="66071.666666666672"/>
    <n v="59650"/>
    <n v="65900"/>
    <n v="61900"/>
    <n v="600"/>
    <n v="133.48670000000001"/>
    <n v="1.165834523"/>
    <n v="16314"/>
    <n v="26.45"/>
    <n v="2.44"/>
    <n v="81.02"/>
    <n v="28"/>
    <s v="Rp600"/>
    <n v="1.01"/>
  </r>
  <r>
    <x v="1841"/>
    <n v="59250"/>
    <n v="2067"/>
    <n v="8"/>
    <x v="1"/>
    <n v="4"/>
    <s v="False"/>
    <n v="60492.857142857145"/>
    <n v="65883.333333333328"/>
    <n v="60250"/>
    <n v="64900"/>
    <n v="64900"/>
    <n v="-1000"/>
    <n v="133.48670000000001"/>
    <n v="1.165834523"/>
    <n v="16344.299800000001"/>
    <n v="26.65"/>
    <n v="3.8"/>
    <n v="80.13"/>
    <n v="29"/>
    <s v="-Rp1000"/>
    <n v="-1.66"/>
  </r>
  <r>
    <x v="1842"/>
    <n v="59250"/>
    <n v="2068"/>
    <n v="8"/>
    <x v="1"/>
    <n v="5"/>
    <s v="False"/>
    <n v="59685.714285714283"/>
    <n v="65628.333333333328"/>
    <n v="59250"/>
    <n v="64900"/>
    <n v="66900"/>
    <n v="0"/>
    <n v="133.48670000000001"/>
    <n v="1.165834523"/>
    <n v="16344.299800000001"/>
    <n v="26.5"/>
    <n v="4.97"/>
    <n v="82.57"/>
    <n v="30"/>
    <s v="-Rp1000"/>
    <n v="-1.66"/>
  </r>
  <r>
    <x v="1843"/>
    <n v="59250"/>
    <n v="2069"/>
    <n v="8"/>
    <x v="1"/>
    <n v="6"/>
    <s v="False"/>
    <n v="58878.571428571428"/>
    <n v="65336.666666666664"/>
    <n v="59250"/>
    <n v="64900"/>
    <n v="68000"/>
    <n v="0"/>
    <n v="133.48670000000001"/>
    <n v="1.165834523"/>
    <n v="16344.299800000001"/>
    <n v="26.67"/>
    <n v="9.81"/>
    <n v="81.12"/>
    <n v="31"/>
    <s v="-Rp1000"/>
    <n v="-1.66"/>
  </r>
  <r>
    <x v="1844"/>
    <n v="58000"/>
    <n v="2070"/>
    <n v="9"/>
    <x v="1"/>
    <n v="0"/>
    <s v="False"/>
    <n v="58950"/>
    <n v="65003.333333333336"/>
    <n v="59250"/>
    <n v="57500"/>
    <n v="68000"/>
    <n v="-1250"/>
    <n v="133.48670000000001"/>
    <n v="1.165834523"/>
    <n v="16409"/>
    <n v="26.22"/>
    <n v="3.83"/>
    <n v="82.96"/>
    <n v="1"/>
    <s v="-Rp1250"/>
    <n v="-2.11"/>
  </r>
  <r>
    <x v="1845"/>
    <n v="54750"/>
    <n v="2071"/>
    <n v="9"/>
    <x v="1"/>
    <n v="1"/>
    <s v="False"/>
    <n v="58628.571428571428"/>
    <n v="64561.666666666664"/>
    <n v="58000"/>
    <n v="57000"/>
    <n v="68000"/>
    <n v="-3250"/>
    <n v="133.48670000000001"/>
    <n v="1.165834523"/>
    <n v="16405.199219999999"/>
    <n v="26.31"/>
    <n v="9.7799999999999994"/>
    <n v="84.2"/>
    <n v="2"/>
    <s v="-Rp3250"/>
    <n v="-5.6"/>
  </r>
  <r>
    <x v="1846"/>
    <n v="55250"/>
    <n v="2072"/>
    <n v="9"/>
    <x v="1"/>
    <n v="2"/>
    <s v="False"/>
    <n v="58000"/>
    <n v="64145"/>
    <n v="54750"/>
    <n v="59650"/>
    <n v="67750"/>
    <n v="500"/>
    <n v="133.48670000000001"/>
    <n v="1.165834523"/>
    <n v="16443.900389999999"/>
    <n v="26.37"/>
    <n v="10.63"/>
    <n v="84.58"/>
    <n v="3"/>
    <s v="Rp500"/>
    <n v="0.91"/>
  </r>
  <r>
    <x v="1847"/>
    <n v="53900"/>
    <n v="2073"/>
    <n v="9"/>
    <x v="1"/>
    <n v="3"/>
    <s v="False"/>
    <n v="57092.857142857145"/>
    <n v="63691.666666666664"/>
    <n v="55250"/>
    <n v="60250"/>
    <n v="67500"/>
    <n v="-1350"/>
    <n v="133.48670000000001"/>
    <n v="1.165834523"/>
    <n v="16463"/>
    <n v="26.39"/>
    <n v="7.79"/>
    <n v="84.15"/>
    <n v="4"/>
    <s v="-Rp1350"/>
    <n v="-2.44"/>
  </r>
  <r>
    <x v="1848"/>
    <n v="53900"/>
    <n v="2074"/>
    <n v="9"/>
    <x v="1"/>
    <n v="4"/>
    <s v="True"/>
    <n v="56328.571428571428"/>
    <n v="63230"/>
    <n v="53900"/>
    <n v="59250"/>
    <n v="67750"/>
    <n v="0"/>
    <n v="133.48670000000001"/>
    <n v="1.165834523"/>
    <n v="16452.099610000001"/>
    <n v="26.48"/>
    <n v="12.45"/>
    <n v="84.42"/>
    <n v="5"/>
    <s v="Rp0"/>
    <n v="0"/>
  </r>
  <r>
    <x v="1849"/>
    <n v="53900"/>
    <n v="2075"/>
    <n v="9"/>
    <x v="1"/>
    <n v="5"/>
    <s v="False"/>
    <n v="55564.285714285717"/>
    <n v="62755"/>
    <n v="53900"/>
    <n v="59250"/>
    <n v="68150"/>
    <n v="0"/>
    <n v="133.48670000000001"/>
    <n v="1.165834523"/>
    <n v="16452.099610000001"/>
    <n v="26.52"/>
    <n v="16.43"/>
    <n v="83.35"/>
    <n v="6"/>
    <s v="Rp0"/>
    <n v="0"/>
  </r>
  <r>
    <x v="1850"/>
    <n v="53900"/>
    <n v="2076"/>
    <n v="9"/>
    <x v="1"/>
    <n v="6"/>
    <s v="False"/>
    <n v="54800"/>
    <n v="62293.333333333336"/>
    <n v="53900"/>
    <n v="59250"/>
    <n v="67750"/>
    <n v="0"/>
    <n v="133.48670000000001"/>
    <n v="1.165834523"/>
    <n v="16452.099610000001"/>
    <n v="26.73"/>
    <n v="7.69"/>
    <n v="82.04"/>
    <n v="7"/>
    <s v="Rp0"/>
    <n v="0"/>
  </r>
  <r>
    <x v="1851"/>
    <n v="51400"/>
    <n v="2077"/>
    <n v="9"/>
    <x v="1"/>
    <n v="0"/>
    <s v="False"/>
    <n v="53857.142857142855"/>
    <n v="61748.333333333336"/>
    <n v="53900"/>
    <n v="58000"/>
    <n v="67750"/>
    <n v="-2500"/>
    <n v="133.48670000000001"/>
    <n v="1.165834523"/>
    <n v="16392"/>
    <n v="26.89"/>
    <n v="7.65"/>
    <n v="80.11"/>
    <n v="8"/>
    <m/>
    <n v="0"/>
  </r>
  <r>
    <x v="1852"/>
    <n v="50250"/>
    <n v="2078"/>
    <n v="9"/>
    <x v="1"/>
    <n v="1"/>
    <s v="False"/>
    <n v="53214.285714285717"/>
    <n v="61165"/>
    <n v="51400"/>
    <n v="54750"/>
    <n v="67750"/>
    <n v="-1150"/>
    <n v="133.48670000000001"/>
    <n v="1.165834523"/>
    <n v="16446.099610000001"/>
    <n v="26.62"/>
    <n v="11.36"/>
    <n v="81.739999999999995"/>
    <n v="9"/>
    <s v="-Rp1150"/>
    <n v="-2.2400000000000002"/>
  </r>
  <r>
    <x v="1853"/>
    <n v="49750"/>
    <n v="2079"/>
    <n v="9"/>
    <x v="1"/>
    <n v="2"/>
    <s v="False"/>
    <n v="52428.571428571428"/>
    <n v="60581.666666666664"/>
    <n v="50250"/>
    <n v="55250"/>
    <n v="67250"/>
    <n v="-500"/>
    <n v="133.48670000000001"/>
    <n v="1.165834523"/>
    <n v="16449.900389999999"/>
    <n v="26.89"/>
    <n v="3.44"/>
    <n v="81.56"/>
    <n v="10"/>
    <s v="-Rp500"/>
    <n v="-1"/>
  </r>
  <r>
    <x v="1854"/>
    <n v="49150"/>
    <n v="2080"/>
    <n v="9"/>
    <x v="1"/>
    <n v="3"/>
    <s v="False"/>
    <n v="51750"/>
    <n v="59990"/>
    <n v="49750"/>
    <n v="53900"/>
    <n v="66900"/>
    <n v="-600"/>
    <n v="133.48670000000001"/>
    <n v="1.165834523"/>
    <n v="16439"/>
    <n v="27.17"/>
    <n v="6.39"/>
    <n v="79.510000000000005"/>
    <n v="11"/>
    <s v="-Rp600"/>
    <n v="-1.21"/>
  </r>
  <r>
    <x v="1855"/>
    <n v="48500"/>
    <n v="2081"/>
    <n v="9"/>
    <x v="1"/>
    <n v="4"/>
    <s v="False"/>
    <n v="50978.571428571428"/>
    <n v="59323.333333333336"/>
    <n v="49150"/>
    <n v="53900"/>
    <n v="68500"/>
    <n v="-650"/>
    <n v="133.48670000000001"/>
    <n v="1.165834523"/>
    <n v="16413.599610000001"/>
    <n v="26.98"/>
    <n v="9.85"/>
    <n v="81.38"/>
    <n v="12"/>
    <s v="-Rp650"/>
    <n v="-1.32"/>
  </r>
  <r>
    <x v="1856"/>
    <n v="48500"/>
    <n v="2082"/>
    <n v="9"/>
    <x v="1"/>
    <n v="5"/>
    <s v="False"/>
    <n v="50207.142857142855"/>
    <n v="58656.666666666664"/>
    <n v="48500"/>
    <n v="53900"/>
    <n v="68500"/>
    <n v="0"/>
    <n v="133.48670000000001"/>
    <n v="1.165834523"/>
    <n v="16413.599610000001"/>
    <n v="26.63"/>
    <n v="8.57"/>
    <n v="80.98"/>
    <n v="13"/>
    <s v="-Rp650"/>
    <n v="-1.32"/>
  </r>
  <r>
    <x v="1857"/>
    <n v="48500"/>
    <n v="2083"/>
    <n v="9"/>
    <x v="1"/>
    <n v="6"/>
    <s v="False"/>
    <n v="49435.714285714283"/>
    <n v="58006.666666666664"/>
    <n v="48500"/>
    <n v="53900"/>
    <n v="68000"/>
    <n v="0"/>
    <n v="133.48670000000001"/>
    <n v="1.165834523"/>
    <n v="16413.599610000001"/>
    <n v="26.8"/>
    <n v="8.3000000000000007"/>
    <n v="81.09"/>
    <n v="14"/>
    <s v="-Rp650"/>
    <n v="-1.32"/>
  </r>
  <r>
    <x v="1858"/>
    <n v="48000"/>
    <n v="2084"/>
    <n v="9"/>
    <x v="1"/>
    <n v="0"/>
    <s v="False"/>
    <n v="48950"/>
    <n v="57340"/>
    <n v="48500"/>
    <n v="51400"/>
    <n v="68000"/>
    <n v="-500"/>
    <n v="133.48670000000001"/>
    <n v="1.165834523"/>
    <n v="16401"/>
    <n v="26.8"/>
    <n v="12.54"/>
    <n v="82.86"/>
    <n v="15"/>
    <s v="-Rp500"/>
    <n v="-1.03"/>
  </r>
  <r>
    <x v="1859"/>
    <n v="49900"/>
    <n v="2085"/>
    <n v="9"/>
    <x v="1"/>
    <n v="1"/>
    <s v="False"/>
    <n v="48900"/>
    <n v="56736.666666666664"/>
    <n v="48000"/>
    <n v="50250"/>
    <n v="68000"/>
    <n v="1900"/>
    <n v="133.48670000000001"/>
    <n v="1.165834523"/>
    <n v="16364.599609999999"/>
    <n v="26.63"/>
    <n v="12.6"/>
    <n v="82.77"/>
    <n v="16"/>
    <s v="Rp1900"/>
    <n v="3.96"/>
  </r>
  <r>
    <x v="1860"/>
    <n v="49500"/>
    <n v="2086"/>
    <n v="9"/>
    <x v="1"/>
    <n v="2"/>
    <s v="False"/>
    <n v="48864.285714285717"/>
    <n v="56120"/>
    <n v="49900"/>
    <n v="49750"/>
    <n v="68000"/>
    <n v="-400"/>
    <n v="133.48670000000001"/>
    <n v="1.165834523"/>
    <n v="16398.099610000001"/>
    <n v="25.98"/>
    <n v="35.93"/>
    <n v="86.08"/>
    <n v="17"/>
    <s v="-Rp400"/>
    <n v="-0.8"/>
  </r>
  <r>
    <x v="1861"/>
    <n v="49000"/>
    <n v="2087"/>
    <n v="9"/>
    <x v="1"/>
    <n v="3"/>
    <s v="False"/>
    <n v="48842.857142857145"/>
    <n v="55531.666666666664"/>
    <n v="49500"/>
    <n v="49150"/>
    <n v="66650"/>
    <n v="-500"/>
    <n v="133.48670000000001"/>
    <n v="1.165834523"/>
    <n v="16418.599610000001"/>
    <n v="26.68"/>
    <n v="11.53"/>
    <n v="82.31"/>
    <n v="18"/>
    <s v="-Rp500"/>
    <n v="-1.01"/>
  </r>
  <r>
    <x v="1862"/>
    <n v="49000"/>
    <n v="2088"/>
    <n v="9"/>
    <x v="1"/>
    <n v="4"/>
    <s v="False"/>
    <n v="48914.285714285717"/>
    <n v="54926.666666666664"/>
    <n v="49000"/>
    <n v="48500"/>
    <n v="67150"/>
    <n v="0"/>
    <n v="133.48670000000001"/>
    <n v="1.165834523"/>
    <n v="16569.099610000001"/>
    <n v="26.76"/>
    <n v="8.73"/>
    <n v="81.349999999999994"/>
    <n v="19"/>
    <s v="Rp0"/>
    <n v="0"/>
  </r>
  <r>
    <x v="1863"/>
    <n v="49000"/>
    <n v="2089"/>
    <n v="9"/>
    <x v="1"/>
    <n v="5"/>
    <s v="False"/>
    <n v="48985.714285714283"/>
    <n v="54363.333333333336"/>
    <n v="49000"/>
    <n v="48500"/>
    <n v="65900"/>
    <n v="0"/>
    <n v="133.48670000000001"/>
    <n v="1.165834523"/>
    <n v="0"/>
    <n v="26.31"/>
    <n v="6.82"/>
    <n v="82.94"/>
    <n v="20"/>
    <s v="Rp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81D5AD-ADC9-4942-94AA-63183C48FA03}" name="PivotTable4"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2:B23" firstHeaderRow="0" firstDataRow="1" firstDataCol="0"/>
  <pivotFields count="25">
    <pivotField numFmtId="14" showAll="0">
      <items count="1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Items count="1">
    <i/>
  </rowItems>
  <colFields count="1">
    <field x="-2"/>
  </colFields>
  <colItems count="2">
    <i>
      <x/>
    </i>
    <i i="1">
      <x v="1"/>
    </i>
  </colItems>
  <dataFields count="2">
    <dataField name="Highest Daily Price Drop" fld="12" subtotal="max" baseField="0" baseItem="1"/>
    <dataField name="Lowest Daily Price Drop" fld="12" subtotal="min" baseField="0" baseItem="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9FC0E-0DA2-4112-8289-74080B813F57}" name="Pivo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2:B19" firstHeaderRow="1" firstDataRow="1" firstDataCol="1"/>
  <pivotFields count="25">
    <pivotField numFmtId="14" showAll="0">
      <items count="1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Years " axis="axisRow" showAll="0">
      <items count="9">
        <item sd="0" x="0"/>
        <item sd="0" x="1"/>
        <item sd="0" x="2"/>
        <item sd="0" x="3"/>
        <item sd="0" x="4"/>
        <item sd="0" x="5"/>
        <item sd="0" x="6"/>
        <item sd="0" x="7"/>
        <item t="default"/>
      </items>
    </pivotField>
  </pivotFields>
  <rowFields count="1">
    <field x="24"/>
  </rowFields>
  <rowItems count="7">
    <i>
      <x v="1"/>
    </i>
    <i>
      <x v="2"/>
    </i>
    <i>
      <x v="3"/>
    </i>
    <i>
      <x v="4"/>
    </i>
    <i>
      <x v="5"/>
    </i>
    <i>
      <x v="6"/>
    </i>
    <i t="grand">
      <x/>
    </i>
  </rowItems>
  <colItems count="1">
    <i/>
  </colItems>
  <dataFields count="1">
    <dataField name="Average of Prices" fld="1" subtotal="average" baseField="24" baseItem="1" numFmtId="174"/>
  </dataFields>
  <formats count="1">
    <format dxfId="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6359C9-2321-4C00-848C-8C61B4503E8F}" name="PivotTable2"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7:B1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Prices" fld="1" subtotal="average" baseField="0" baseItem="0" numFmtId="171"/>
  </dataFields>
  <formats count="1">
    <format dxfId="15">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s"/>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_1_bamer2">
        <x15:activeTabTopLevelEntity name="[project_1_bamer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0AA5D-D4D9-4674-9665-11FD1F47707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2:B5" firstHeaderRow="1" firstDataRow="1" firstDataCol="1"/>
  <pivotFields count="6">
    <pivotField showAll="0"/>
    <pivotField showAll="0"/>
    <pivotField dataField="1" showAll="0"/>
    <pivotField showAll="0"/>
    <pivotField showAll="0"/>
    <pivotField name="Rainfall Category" axis="axisRow" showAll="0">
      <items count="3">
        <item x="0"/>
        <item x="1"/>
        <item t="default"/>
      </items>
    </pivotField>
  </pivotFields>
  <rowFields count="1">
    <field x="5"/>
  </rowFields>
  <rowItems count="3">
    <i>
      <x/>
    </i>
    <i>
      <x v="1"/>
    </i>
    <i t="grand">
      <x/>
    </i>
  </rowItems>
  <colItems count="1">
    <i/>
  </colItems>
  <dataFields count="1">
    <dataField name="Average of Prices" fld="2" subtotal="average" baseField="5" baseItem="0" numFmtId="171"/>
  </dataFields>
  <formats count="1">
    <format dxfId="14">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B19B714-248C-4F74-91ED-F62BDB5A9C92}" autoFormatId="16" applyNumberFormats="0" applyBorderFormats="0" applyFontFormats="0" applyPatternFormats="0" applyAlignmentFormats="0" applyWidthHeightFormats="0">
  <queryTableRefresh nextId="23">
    <queryTableFields count="22">
      <queryTableField id="1" name="Date" tableColumnId="1"/>
      <queryTableField id="2" name="Prices" tableColumnId="2"/>
      <queryTableField id="3" name="Day_count" tableColumnId="3"/>
      <queryTableField id="4" name="Month" tableColumnId="4"/>
      <queryTableField id="5" name="Season" tableColumnId="5"/>
      <queryTableField id="6" name="Weekday" tableColumnId="6"/>
      <queryTableField id="7" name="Is_holiday" tableColumnId="7"/>
      <queryTableField id="8" name="Rolling_mean_7" tableColumnId="8"/>
      <queryTableField id="9" name="Rolling_mean_30" tableColumnId="9"/>
      <queryTableField id="10" name="Lag_1" tableColumnId="10"/>
      <queryTableField id="11" name="Lag_7" tableColumnId="11"/>
      <queryTableField id="12" name="Lag_30" tableColumnId="12"/>
      <queryTableField id="13" name="Daily_delta" tableColumnId="13"/>
      <queryTableField id="14" name="CPI" tableColumnId="14"/>
      <queryTableField id="15" name="Total_inflation" tableColumnId="15"/>
      <queryTableField id="16" name="USD_IDR" tableColumnId="16"/>
      <queryTableField id="17" name="Temperature" tableColumnId="17"/>
      <queryTableField id="18" name="Rainfall" tableColumnId="18"/>
      <queryTableField id="19" name="Humidity" tableColumnId="19"/>
      <queryTableField id="20" name="Day_in_month" tableColumnId="20"/>
      <queryTableField id="21" name="Diff_value" tableColumnId="21"/>
      <queryTableField id="22" name="Percentag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F8D323D-2EEA-41A0-8124-F11C741698A7}" sourceName="Season">
  <pivotTables>
    <pivotTable tabId="6" name="PivotTable3"/>
    <pivotTable tabId="6" name="PivotTable4"/>
  </pivotTables>
  <data>
    <tabular pivotCacheId="10218871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924F4D8-E90F-4683-B773-7CD5BA57254E}" sourceName="Years (Date)">
  <pivotTables>
    <pivotTable tabId="6" name="PivotTable3"/>
    <pivotTable tabId="6" name="PivotTable4"/>
  </pivotTables>
  <data>
    <tabular pivotCacheId="1021887142">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914D827B-6AD9-4305-9CA3-BE3C3436C289}" cache="Slicer_Season" caption="Season" rowHeight="247650"/>
  <slicer name="Years  1" xr10:uid="{3550561F-6180-433D-BC34-ADDDBCACC78B}" cache="Slicer_Years__Date" caption="Years "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52E0704-36AC-424D-8CFF-5191BA71AD8D}" cache="Slicer_Season" caption="Season" rowHeight="247650"/>
  <slicer name="Years " xr10:uid="{7D919E35-9714-49AA-B69D-2DBE08A1BE9E}" cache="Slicer_Years__Date" caption="Years "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09C1C5-2990-46A2-B7A8-0CECAB5116DB}" name="project_1_bamer2" displayName="project_1_bamer2" ref="A1:V1865" tableType="queryTable" totalsRowShown="0">
  <autoFilter ref="A1:V1865" xr:uid="{9709C1C5-2990-46A2-B7A8-0CECAB5116DB}"/>
  <tableColumns count="22">
    <tableColumn id="1" xr3:uid="{4A095DB7-EE3B-41D1-BC61-6BFC33480EA3}" uniqueName="1" name="Date" queryTableFieldId="1" dataDxfId="19"/>
    <tableColumn id="2" xr3:uid="{A8F841B3-5181-4362-99BB-21454E9F9A24}" uniqueName="2" name="Prices" queryTableFieldId="2"/>
    <tableColumn id="3" xr3:uid="{6EFB054B-B504-4F91-9E42-27825E87EF61}" uniqueName="3" name="Day_count" queryTableFieldId="3"/>
    <tableColumn id="4" xr3:uid="{ADD13F81-6DFB-4C7E-A7EF-088FB0CF762F}" uniqueName="4" name="Month" queryTableFieldId="4"/>
    <tableColumn id="5" xr3:uid="{0FA06291-422C-4533-97DE-70FE5912ACE8}" uniqueName="5" name="Season" queryTableFieldId="5" dataDxfId="18"/>
    <tableColumn id="6" xr3:uid="{E42EB56E-AA26-4B1A-8C51-93ACB3C247FB}" uniqueName="6" name="Weekday" queryTableFieldId="6"/>
    <tableColumn id="7" xr3:uid="{3D107A77-EA43-46B2-8868-B0734B8B84FA}" uniqueName="7" name="Is_holiday" queryTableFieldId="7" dataDxfId="17"/>
    <tableColumn id="8" xr3:uid="{A79CDD70-A7B6-4192-826D-FE7114A88490}" uniqueName="8" name="Rolling_mean_7" queryTableFieldId="8"/>
    <tableColumn id="9" xr3:uid="{6629C655-E92F-45EA-BA75-C084E1C4CB58}" uniqueName="9" name="Rolling_mean_30" queryTableFieldId="9"/>
    <tableColumn id="10" xr3:uid="{45587A35-6B8E-49A0-B606-6F9FE0638DF1}" uniqueName="10" name="Lag_1" queryTableFieldId="10"/>
    <tableColumn id="11" xr3:uid="{1D786EB3-595F-495C-8293-6008569FD086}" uniqueName="11" name="Lag_7" queryTableFieldId="11"/>
    <tableColumn id="12" xr3:uid="{0A8257E9-C338-4FC1-98F5-B4D4359A2786}" uniqueName="12" name="Lag_30" queryTableFieldId="12"/>
    <tableColumn id="13" xr3:uid="{20F51602-FFAC-4146-9A34-28696C7E8AC1}" uniqueName="13" name="Daily_delta" queryTableFieldId="13"/>
    <tableColumn id="14" xr3:uid="{452718B2-ECE7-4BC8-A2B6-2C85589D1C46}" uniqueName="14" name="CPI" queryTableFieldId="14"/>
    <tableColumn id="15" xr3:uid="{A063BB09-DD54-4F2D-B47F-A6E65290B824}" uniqueName="15" name="Total_inflation" queryTableFieldId="15"/>
    <tableColumn id="16" xr3:uid="{8597EF48-1332-4D20-B859-7100EF5E1C5F}" uniqueName="16" name="USD_IDR" queryTableFieldId="16"/>
    <tableColumn id="17" xr3:uid="{A77ECD65-48DF-4390-AA12-1B91308EC1EF}" uniqueName="17" name="Temperature" queryTableFieldId="17"/>
    <tableColumn id="18" xr3:uid="{E0B2044C-D2C5-4763-A40C-75B83C55EE87}" uniqueName="18" name="Rainfall" queryTableFieldId="18"/>
    <tableColumn id="19" xr3:uid="{D12F4EA0-64A6-49C8-BD81-1A4B73E62AC4}" uniqueName="19" name="Humidity" queryTableFieldId="19"/>
    <tableColumn id="20" xr3:uid="{0F20256B-2399-4CC5-80C7-C72800B96B48}" uniqueName="20" name="Day_in_month" queryTableFieldId="20"/>
    <tableColumn id="21" xr3:uid="{CBAD034A-F694-4B02-B67A-CCD01FA23DD7}" uniqueName="21" name="Diff_value" queryTableFieldId="21" dataDxfId="16"/>
    <tableColumn id="22" xr3:uid="{FD05F4AA-5978-4F16-AF52-AF133CE4E384}" uniqueName="22" name="Percentage" queryTableFieldId="22"/>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0086D19-F558-43AA-A1AB-DF90C2E21BB3}" sourceName="Date">
  <pivotTables>
    <pivotTable tabId="6" name="PivotTable3"/>
    <pivotTable tabId="6" name="PivotTable4"/>
  </pivotTables>
  <state minimalRefreshVersion="6" lastRefreshVersion="6" pivotCacheId="1021887142"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5FB5D60-0A3C-472C-844A-A58DB0FC9D27}" cache="NativeTimeline_Date" caption="Date"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20CD85F-2017-460E-A429-32D51ECFFC7E}" cache="NativeTimeline_Date" caption="Date" level="0" selectionLevel="0" scrollPosition="2020-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8402D-39FE-4211-B240-CB00F3ECACDA}">
  <dimension ref="F4:I4"/>
  <sheetViews>
    <sheetView showGridLines="0" tabSelected="1" zoomScale="85" zoomScaleNormal="85" workbookViewId="0">
      <selection activeCell="M32" sqref="M32"/>
    </sheetView>
  </sheetViews>
  <sheetFormatPr defaultRowHeight="14.4" x14ac:dyDescent="0.3"/>
  <cols>
    <col min="6" max="6" width="12.5546875" customWidth="1"/>
    <col min="9" max="9" width="11.5546875" customWidth="1"/>
  </cols>
  <sheetData>
    <row r="4" spans="6:9" x14ac:dyDescent="0.3">
      <c r="F4" s="7">
        <f>GETPIVOTDATA("Highest Daily Price Drop",Dashboard_Backend!$A$22)</f>
        <v>22650</v>
      </c>
      <c r="I4" s="7">
        <f>GETPIVOTDATA("Lowest Daily Price Drop",Dashboard_Backend!$A$22)</f>
        <v>-7400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AF11-4F40-4207-A7CE-A220CD0D1F52}">
  <dimension ref="A1:B23"/>
  <sheetViews>
    <sheetView workbookViewId="0">
      <selection activeCell="B25" sqref="B25"/>
    </sheetView>
  </sheetViews>
  <sheetFormatPr defaultRowHeight="14.4" x14ac:dyDescent="0.3"/>
  <cols>
    <col min="1" max="1" width="23.77734375" bestFit="1" customWidth="1"/>
    <col min="2" max="2" width="23.44140625" bestFit="1" customWidth="1"/>
  </cols>
  <sheetData>
    <row r="1" spans="1:2" x14ac:dyDescent="0.3">
      <c r="A1" t="s">
        <v>136</v>
      </c>
    </row>
    <row r="2" spans="1:2" x14ac:dyDescent="0.3">
      <c r="A2" s="3" t="s">
        <v>122</v>
      </c>
      <c r="B2" t="s">
        <v>126</v>
      </c>
    </row>
    <row r="3" spans="1:2" x14ac:dyDescent="0.3">
      <c r="A3" s="4" t="s">
        <v>123</v>
      </c>
      <c r="B3" s="5">
        <v>43294.602272727272</v>
      </c>
    </row>
    <row r="4" spans="1:2" x14ac:dyDescent="0.3">
      <c r="A4" s="4" t="s">
        <v>124</v>
      </c>
      <c r="B4" s="5">
        <v>42219.874338624337</v>
      </c>
    </row>
    <row r="5" spans="1:2" x14ac:dyDescent="0.3">
      <c r="A5" s="4" t="s">
        <v>125</v>
      </c>
      <c r="B5" s="5">
        <v>42422.827253218886</v>
      </c>
    </row>
    <row r="6" spans="1:2" x14ac:dyDescent="0.3">
      <c r="A6" s="4" t="s">
        <v>135</v>
      </c>
    </row>
    <row r="7" spans="1:2" x14ac:dyDescent="0.3">
      <c r="A7" s="3" t="s">
        <v>122</v>
      </c>
      <c r="B7" t="s">
        <v>126</v>
      </c>
    </row>
    <row r="8" spans="1:2" x14ac:dyDescent="0.3">
      <c r="A8" s="4" t="s">
        <v>43</v>
      </c>
      <c r="B8" s="5">
        <v>44680.147058823532</v>
      </c>
    </row>
    <row r="9" spans="1:2" x14ac:dyDescent="0.3">
      <c r="A9" s="4" t="s">
        <v>22</v>
      </c>
      <c r="B9" s="5">
        <v>40066.502192982458</v>
      </c>
    </row>
    <row r="10" spans="1:2" x14ac:dyDescent="0.3">
      <c r="A10" s="4" t="s">
        <v>125</v>
      </c>
      <c r="B10" s="5">
        <v>42422.827253218886</v>
      </c>
    </row>
    <row r="11" spans="1:2" x14ac:dyDescent="0.3">
      <c r="A11" t="s">
        <v>134</v>
      </c>
    </row>
    <row r="12" spans="1:2" x14ac:dyDescent="0.3">
      <c r="A12" s="3" t="s">
        <v>122</v>
      </c>
      <c r="B12" t="s">
        <v>126</v>
      </c>
    </row>
    <row r="13" spans="1:2" x14ac:dyDescent="0.3">
      <c r="A13" s="4" t="s">
        <v>127</v>
      </c>
      <c r="B13" s="6">
        <v>44150</v>
      </c>
    </row>
    <row r="14" spans="1:2" x14ac:dyDescent="0.3">
      <c r="A14" s="4" t="s">
        <v>128</v>
      </c>
      <c r="B14" s="6">
        <v>34283.333333333336</v>
      </c>
    </row>
    <row r="15" spans="1:2" x14ac:dyDescent="0.3">
      <c r="A15" s="4" t="s">
        <v>129</v>
      </c>
      <c r="B15" s="6">
        <v>45006.112852664577</v>
      </c>
    </row>
    <row r="16" spans="1:2" x14ac:dyDescent="0.3">
      <c r="A16" s="4" t="s">
        <v>130</v>
      </c>
      <c r="B16" s="6">
        <v>38956.231003039517</v>
      </c>
    </row>
    <row r="17" spans="1:2" x14ac:dyDescent="0.3">
      <c r="A17" s="4" t="s">
        <v>131</v>
      </c>
      <c r="B17" s="6">
        <v>43070.845070422532</v>
      </c>
    </row>
    <row r="18" spans="1:2" x14ac:dyDescent="0.3">
      <c r="A18" s="4" t="s">
        <v>132</v>
      </c>
      <c r="B18" s="6">
        <v>50497.058823529413</v>
      </c>
    </row>
    <row r="19" spans="1:2" x14ac:dyDescent="0.3">
      <c r="A19" s="4" t="s">
        <v>125</v>
      </c>
      <c r="B19" s="6">
        <v>42422.827253218886</v>
      </c>
    </row>
    <row r="21" spans="1:2" x14ac:dyDescent="0.3">
      <c r="A21" t="s">
        <v>133</v>
      </c>
    </row>
    <row r="22" spans="1:2" x14ac:dyDescent="0.3">
      <c r="A22" t="s">
        <v>137</v>
      </c>
      <c r="B22" t="s">
        <v>138</v>
      </c>
    </row>
    <row r="23" spans="1:2" x14ac:dyDescent="0.3">
      <c r="A23" s="5">
        <v>22650</v>
      </c>
      <c r="B23" s="5">
        <v>-7400</v>
      </c>
    </row>
  </sheetData>
  <sortState xmlns:xlrd2="http://schemas.microsoft.com/office/spreadsheetml/2017/richdata2" ref="A22:B23">
    <sortCondition ref="A22"/>
  </sortState>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FD33-E5E8-4265-89AA-1FD144A70B14}">
  <dimension ref="A1:V1865"/>
  <sheetViews>
    <sheetView topLeftCell="J1782" workbookViewId="0">
      <selection activeCell="W3" sqref="W3"/>
    </sheetView>
  </sheetViews>
  <sheetFormatPr defaultRowHeight="14.4" x14ac:dyDescent="0.3"/>
  <cols>
    <col min="1" max="1" width="10.33203125" customWidth="1"/>
    <col min="2" max="2" width="8.44140625" customWidth="1"/>
    <col min="3" max="3" width="11.77734375" customWidth="1"/>
    <col min="4" max="4" width="8.33203125" customWidth="1"/>
    <col min="5" max="5" width="9.21875" customWidth="1"/>
    <col min="6" max="6" width="10.88671875" customWidth="1"/>
    <col min="7" max="7" width="11.5546875" customWidth="1"/>
    <col min="8" max="8" width="16.21875" customWidth="1"/>
    <col min="9" max="9" width="17.21875" customWidth="1"/>
    <col min="10" max="11" width="7.77734375" customWidth="1"/>
    <col min="12" max="12" width="8.77734375" customWidth="1"/>
    <col min="13" max="13" width="12.5546875" customWidth="1"/>
    <col min="14" max="14" width="9" customWidth="1"/>
    <col min="15" max="15" width="15" customWidth="1"/>
    <col min="16" max="16" width="12" customWidth="1"/>
    <col min="17" max="17" width="13.88671875" customWidth="1"/>
    <col min="18" max="18" width="9.5546875" customWidth="1"/>
    <col min="19" max="19" width="11" customWidth="1"/>
    <col min="20" max="20" width="14.77734375" customWidth="1"/>
    <col min="21" max="21" width="11.33203125" customWidth="1"/>
    <col min="22" max="22" width="12.5546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s="2">
        <v>43832</v>
      </c>
      <c r="B2">
        <v>36000</v>
      </c>
      <c r="C2">
        <v>1</v>
      </c>
      <c r="D2">
        <v>1</v>
      </c>
      <c r="E2" s="1" t="s">
        <v>22</v>
      </c>
      <c r="F2">
        <v>3</v>
      </c>
      <c r="G2" s="1" t="s">
        <v>23</v>
      </c>
      <c r="N2">
        <v>115.818</v>
      </c>
      <c r="O2">
        <v>0</v>
      </c>
      <c r="P2">
        <v>13689.231449999999</v>
      </c>
      <c r="Q2">
        <v>27.22</v>
      </c>
      <c r="R2">
        <v>15.89</v>
      </c>
      <c r="S2">
        <v>83.85</v>
      </c>
      <c r="T2">
        <v>2</v>
      </c>
      <c r="U2" s="1"/>
      <c r="V2">
        <v>0</v>
      </c>
    </row>
    <row r="3" spans="1:22" x14ac:dyDescent="0.3">
      <c r="A3" s="2">
        <v>43833</v>
      </c>
      <c r="B3">
        <v>35500</v>
      </c>
      <c r="C3">
        <v>2</v>
      </c>
      <c r="D3">
        <v>1</v>
      </c>
      <c r="E3" s="1" t="s">
        <v>22</v>
      </c>
      <c r="F3">
        <v>4</v>
      </c>
      <c r="G3" s="1" t="s">
        <v>23</v>
      </c>
      <c r="J3">
        <v>36000</v>
      </c>
      <c r="M3">
        <v>-500</v>
      </c>
      <c r="N3">
        <v>115.818</v>
      </c>
      <c r="O3">
        <v>0</v>
      </c>
      <c r="P3">
        <v>13884.78613</v>
      </c>
      <c r="Q3">
        <v>25.74</v>
      </c>
      <c r="R3">
        <v>6.3</v>
      </c>
      <c r="S3">
        <v>84.54</v>
      </c>
      <c r="T3">
        <v>3</v>
      </c>
      <c r="U3" s="1" t="s">
        <v>24</v>
      </c>
      <c r="V3">
        <v>-1.39</v>
      </c>
    </row>
    <row r="4" spans="1:22" x14ac:dyDescent="0.3">
      <c r="A4" s="2">
        <v>43834</v>
      </c>
      <c r="B4">
        <v>35500</v>
      </c>
      <c r="C4">
        <v>3</v>
      </c>
      <c r="D4">
        <v>1</v>
      </c>
      <c r="E4" s="1" t="s">
        <v>22</v>
      </c>
      <c r="F4">
        <v>5</v>
      </c>
      <c r="G4" s="1" t="s">
        <v>23</v>
      </c>
      <c r="J4">
        <v>35500</v>
      </c>
      <c r="M4">
        <v>0</v>
      </c>
      <c r="N4">
        <v>115.818</v>
      </c>
      <c r="O4">
        <v>0</v>
      </c>
      <c r="P4">
        <v>13884.78613</v>
      </c>
      <c r="Q4">
        <v>27.17</v>
      </c>
      <c r="R4">
        <v>5.98</v>
      </c>
      <c r="S4">
        <v>80.17</v>
      </c>
      <c r="T4">
        <v>4</v>
      </c>
      <c r="U4" s="1" t="s">
        <v>24</v>
      </c>
      <c r="V4">
        <v>-1.39</v>
      </c>
    </row>
    <row r="5" spans="1:22" x14ac:dyDescent="0.3">
      <c r="A5" s="2">
        <v>43835</v>
      </c>
      <c r="B5">
        <v>35500</v>
      </c>
      <c r="C5">
        <v>4</v>
      </c>
      <c r="D5">
        <v>1</v>
      </c>
      <c r="E5" s="1" t="s">
        <v>22</v>
      </c>
      <c r="F5">
        <v>6</v>
      </c>
      <c r="G5" s="1" t="s">
        <v>23</v>
      </c>
      <c r="J5">
        <v>35500</v>
      </c>
      <c r="M5">
        <v>0</v>
      </c>
      <c r="N5">
        <v>115.818</v>
      </c>
      <c r="O5">
        <v>0</v>
      </c>
      <c r="P5">
        <v>13884.78613</v>
      </c>
      <c r="Q5">
        <v>27.08</v>
      </c>
      <c r="R5">
        <v>10.94</v>
      </c>
      <c r="S5">
        <v>84.39</v>
      </c>
      <c r="T5">
        <v>5</v>
      </c>
      <c r="U5" s="1" t="s">
        <v>24</v>
      </c>
      <c r="V5">
        <v>-1.39</v>
      </c>
    </row>
    <row r="6" spans="1:22" x14ac:dyDescent="0.3">
      <c r="A6" s="2">
        <v>43836</v>
      </c>
      <c r="B6">
        <v>35500</v>
      </c>
      <c r="C6">
        <v>5</v>
      </c>
      <c r="D6">
        <v>1</v>
      </c>
      <c r="E6" s="1" t="s">
        <v>22</v>
      </c>
      <c r="F6">
        <v>0</v>
      </c>
      <c r="G6" s="1" t="s">
        <v>23</v>
      </c>
      <c r="J6">
        <v>35500</v>
      </c>
      <c r="M6">
        <v>0</v>
      </c>
      <c r="N6">
        <v>115.818</v>
      </c>
      <c r="O6">
        <v>0</v>
      </c>
      <c r="P6">
        <v>13934.316409999999</v>
      </c>
      <c r="Q6">
        <v>27.13</v>
      </c>
      <c r="R6">
        <v>1.1200000000000001</v>
      </c>
      <c r="S6">
        <v>76.09</v>
      </c>
      <c r="T6">
        <v>6</v>
      </c>
      <c r="U6" s="1" t="s">
        <v>25</v>
      </c>
      <c r="V6">
        <v>0</v>
      </c>
    </row>
    <row r="7" spans="1:22" x14ac:dyDescent="0.3">
      <c r="A7" s="2">
        <v>43837</v>
      </c>
      <c r="B7">
        <v>36000</v>
      </c>
      <c r="C7">
        <v>6</v>
      </c>
      <c r="D7">
        <v>1</v>
      </c>
      <c r="E7" s="1" t="s">
        <v>22</v>
      </c>
      <c r="F7">
        <v>1</v>
      </c>
      <c r="G7" s="1" t="s">
        <v>23</v>
      </c>
      <c r="J7">
        <v>35500</v>
      </c>
      <c r="M7">
        <v>500</v>
      </c>
      <c r="N7">
        <v>115.818</v>
      </c>
      <c r="O7">
        <v>0</v>
      </c>
      <c r="P7">
        <v>13926.5</v>
      </c>
      <c r="Q7">
        <v>26.67</v>
      </c>
      <c r="R7">
        <v>22.5</v>
      </c>
      <c r="S7">
        <v>81.650000000000006</v>
      </c>
      <c r="T7">
        <v>7</v>
      </c>
      <c r="U7" s="1" t="s">
        <v>26</v>
      </c>
      <c r="V7">
        <v>1.41</v>
      </c>
    </row>
    <row r="8" spans="1:22" x14ac:dyDescent="0.3">
      <c r="A8" s="2">
        <v>43838</v>
      </c>
      <c r="B8">
        <v>36000</v>
      </c>
      <c r="C8">
        <v>7</v>
      </c>
      <c r="D8">
        <v>1</v>
      </c>
      <c r="E8" s="1" t="s">
        <v>22</v>
      </c>
      <c r="F8">
        <v>2</v>
      </c>
      <c r="G8" s="1" t="s">
        <v>23</v>
      </c>
      <c r="H8">
        <v>35714.285714285717</v>
      </c>
      <c r="J8">
        <v>36000</v>
      </c>
      <c r="M8">
        <v>0</v>
      </c>
      <c r="N8">
        <v>115.818</v>
      </c>
      <c r="O8">
        <v>0</v>
      </c>
      <c r="P8">
        <v>13867.23633</v>
      </c>
      <c r="Q8">
        <v>26.12</v>
      </c>
      <c r="R8">
        <v>12.1</v>
      </c>
      <c r="S8">
        <v>87.27</v>
      </c>
      <c r="T8">
        <v>8</v>
      </c>
      <c r="U8" s="1" t="s">
        <v>25</v>
      </c>
      <c r="V8">
        <v>0</v>
      </c>
    </row>
    <row r="9" spans="1:22" x14ac:dyDescent="0.3">
      <c r="A9" s="2">
        <v>43839</v>
      </c>
      <c r="B9">
        <v>36000</v>
      </c>
      <c r="C9">
        <v>8</v>
      </c>
      <c r="D9">
        <v>1</v>
      </c>
      <c r="E9" s="1" t="s">
        <v>22</v>
      </c>
      <c r="F9">
        <v>3</v>
      </c>
      <c r="G9" s="1" t="s">
        <v>23</v>
      </c>
      <c r="H9">
        <v>35714.285714285717</v>
      </c>
      <c r="J9">
        <v>36000</v>
      </c>
      <c r="K9">
        <v>36000</v>
      </c>
      <c r="M9">
        <v>0</v>
      </c>
      <c r="N9">
        <v>115.818</v>
      </c>
      <c r="O9">
        <v>0</v>
      </c>
      <c r="P9">
        <v>13886.93945</v>
      </c>
      <c r="Q9">
        <v>26.64</v>
      </c>
      <c r="R9">
        <v>7.82</v>
      </c>
      <c r="S9">
        <v>84.93</v>
      </c>
      <c r="T9">
        <v>9</v>
      </c>
      <c r="U9" s="1" t="s">
        <v>25</v>
      </c>
      <c r="V9">
        <v>0</v>
      </c>
    </row>
    <row r="10" spans="1:22" x14ac:dyDescent="0.3">
      <c r="A10" s="2">
        <v>43840</v>
      </c>
      <c r="B10">
        <v>36000</v>
      </c>
      <c r="C10">
        <v>9</v>
      </c>
      <c r="D10">
        <v>1</v>
      </c>
      <c r="E10" s="1" t="s">
        <v>22</v>
      </c>
      <c r="F10">
        <v>4</v>
      </c>
      <c r="G10" s="1" t="s">
        <v>23</v>
      </c>
      <c r="H10">
        <v>35785.714285714283</v>
      </c>
      <c r="J10">
        <v>36000</v>
      </c>
      <c r="K10">
        <v>35500</v>
      </c>
      <c r="M10">
        <v>0</v>
      </c>
      <c r="N10">
        <v>115.818</v>
      </c>
      <c r="O10">
        <v>0</v>
      </c>
      <c r="P10">
        <v>13827.56055</v>
      </c>
      <c r="Q10">
        <v>26.76</v>
      </c>
      <c r="R10">
        <v>14.01</v>
      </c>
      <c r="S10">
        <v>87.64</v>
      </c>
      <c r="T10">
        <v>10</v>
      </c>
      <c r="U10" s="1" t="s">
        <v>25</v>
      </c>
      <c r="V10">
        <v>0</v>
      </c>
    </row>
    <row r="11" spans="1:22" x14ac:dyDescent="0.3">
      <c r="A11" s="2">
        <v>43841</v>
      </c>
      <c r="B11">
        <v>36000</v>
      </c>
      <c r="C11">
        <v>10</v>
      </c>
      <c r="D11">
        <v>1</v>
      </c>
      <c r="E11" s="1" t="s">
        <v>22</v>
      </c>
      <c r="F11">
        <v>5</v>
      </c>
      <c r="G11" s="1" t="s">
        <v>23</v>
      </c>
      <c r="H11">
        <v>35857.142857142855</v>
      </c>
      <c r="J11">
        <v>36000</v>
      </c>
      <c r="K11">
        <v>35500</v>
      </c>
      <c r="M11">
        <v>0</v>
      </c>
      <c r="N11">
        <v>115.818</v>
      </c>
      <c r="O11">
        <v>0</v>
      </c>
      <c r="P11">
        <v>13827.56055</v>
      </c>
      <c r="Q11">
        <v>27.01</v>
      </c>
      <c r="R11">
        <v>7.98</v>
      </c>
      <c r="S11">
        <v>84.03</v>
      </c>
      <c r="T11">
        <v>11</v>
      </c>
      <c r="U11" s="1" t="s">
        <v>25</v>
      </c>
      <c r="V11">
        <v>0</v>
      </c>
    </row>
    <row r="12" spans="1:22" x14ac:dyDescent="0.3">
      <c r="A12" s="2">
        <v>43842</v>
      </c>
      <c r="B12">
        <v>36000</v>
      </c>
      <c r="C12">
        <v>11</v>
      </c>
      <c r="D12">
        <v>1</v>
      </c>
      <c r="E12" s="1" t="s">
        <v>22</v>
      </c>
      <c r="F12">
        <v>6</v>
      </c>
      <c r="G12" s="1" t="s">
        <v>23</v>
      </c>
      <c r="H12">
        <v>35928.571428571428</v>
      </c>
      <c r="J12">
        <v>36000</v>
      </c>
      <c r="K12">
        <v>35500</v>
      </c>
      <c r="M12">
        <v>0</v>
      </c>
      <c r="N12">
        <v>115.818</v>
      </c>
      <c r="O12">
        <v>0</v>
      </c>
      <c r="P12">
        <v>13827.56055</v>
      </c>
      <c r="Q12">
        <v>26.38</v>
      </c>
      <c r="R12">
        <v>9.66</v>
      </c>
      <c r="S12">
        <v>86.08</v>
      </c>
      <c r="T12">
        <v>12</v>
      </c>
      <c r="U12" s="1" t="s">
        <v>25</v>
      </c>
      <c r="V12">
        <v>0</v>
      </c>
    </row>
    <row r="13" spans="1:22" x14ac:dyDescent="0.3">
      <c r="A13" s="2">
        <v>43843</v>
      </c>
      <c r="B13">
        <v>39000</v>
      </c>
      <c r="C13">
        <v>12</v>
      </c>
      <c r="D13">
        <v>1</v>
      </c>
      <c r="E13" s="1" t="s">
        <v>22</v>
      </c>
      <c r="F13">
        <v>0</v>
      </c>
      <c r="G13" s="1" t="s">
        <v>23</v>
      </c>
      <c r="H13">
        <v>36428.571428571428</v>
      </c>
      <c r="J13">
        <v>36000</v>
      </c>
      <c r="K13">
        <v>35500</v>
      </c>
      <c r="M13">
        <v>3000</v>
      </c>
      <c r="N13">
        <v>115.818</v>
      </c>
      <c r="O13">
        <v>0</v>
      </c>
      <c r="P13">
        <v>13522.434569999999</v>
      </c>
      <c r="Q13">
        <v>26.63</v>
      </c>
      <c r="R13">
        <v>0.78</v>
      </c>
      <c r="S13">
        <v>84.52</v>
      </c>
      <c r="T13">
        <v>13</v>
      </c>
      <c r="U13" s="1" t="s">
        <v>27</v>
      </c>
      <c r="V13">
        <v>8.33</v>
      </c>
    </row>
    <row r="14" spans="1:22" x14ac:dyDescent="0.3">
      <c r="A14" s="2">
        <v>43844</v>
      </c>
      <c r="B14">
        <v>39000</v>
      </c>
      <c r="C14">
        <v>13</v>
      </c>
      <c r="D14">
        <v>1</v>
      </c>
      <c r="E14" s="1" t="s">
        <v>22</v>
      </c>
      <c r="F14">
        <v>1</v>
      </c>
      <c r="G14" s="1" t="s">
        <v>23</v>
      </c>
      <c r="H14">
        <v>36857.142857142855</v>
      </c>
      <c r="J14">
        <v>39000</v>
      </c>
      <c r="K14">
        <v>36000</v>
      </c>
      <c r="M14">
        <v>0</v>
      </c>
      <c r="N14">
        <v>115.818</v>
      </c>
      <c r="O14">
        <v>0</v>
      </c>
      <c r="P14">
        <v>13665.304690000001</v>
      </c>
      <c r="Q14">
        <v>27.3</v>
      </c>
      <c r="R14">
        <v>5.62</v>
      </c>
      <c r="S14">
        <v>81.92</v>
      </c>
      <c r="T14">
        <v>14</v>
      </c>
      <c r="U14" s="1" t="s">
        <v>25</v>
      </c>
      <c r="V14">
        <v>0</v>
      </c>
    </row>
    <row r="15" spans="1:22" x14ac:dyDescent="0.3">
      <c r="A15" s="2">
        <v>43845</v>
      </c>
      <c r="B15">
        <v>42500</v>
      </c>
      <c r="C15">
        <v>14</v>
      </c>
      <c r="D15">
        <v>1</v>
      </c>
      <c r="E15" s="1" t="s">
        <v>22</v>
      </c>
      <c r="F15">
        <v>2</v>
      </c>
      <c r="G15" s="1" t="s">
        <v>23</v>
      </c>
      <c r="H15">
        <v>37785.714285714283</v>
      </c>
      <c r="J15">
        <v>39000</v>
      </c>
      <c r="K15">
        <v>36000</v>
      </c>
      <c r="M15">
        <v>3500</v>
      </c>
      <c r="N15">
        <v>115.818</v>
      </c>
      <c r="O15">
        <v>0</v>
      </c>
      <c r="P15">
        <v>13668.04004</v>
      </c>
      <c r="Q15">
        <v>27.41</v>
      </c>
      <c r="R15">
        <v>1.61</v>
      </c>
      <c r="S15">
        <v>81.8</v>
      </c>
      <c r="T15">
        <v>15</v>
      </c>
      <c r="U15" s="1" t="s">
        <v>28</v>
      </c>
      <c r="V15">
        <v>8.9700000000000006</v>
      </c>
    </row>
    <row r="16" spans="1:22" x14ac:dyDescent="0.3">
      <c r="A16" s="2">
        <v>43846</v>
      </c>
      <c r="B16">
        <v>42000</v>
      </c>
      <c r="C16">
        <v>15</v>
      </c>
      <c r="D16">
        <v>1</v>
      </c>
      <c r="E16" s="1" t="s">
        <v>22</v>
      </c>
      <c r="F16">
        <v>3</v>
      </c>
      <c r="G16" s="1" t="s">
        <v>23</v>
      </c>
      <c r="H16">
        <v>38642.857142857145</v>
      </c>
      <c r="J16">
        <v>42500</v>
      </c>
      <c r="K16">
        <v>36000</v>
      </c>
      <c r="M16">
        <v>-500</v>
      </c>
      <c r="N16">
        <v>115.818</v>
      </c>
      <c r="O16">
        <v>0</v>
      </c>
      <c r="P16">
        <v>13665.096680000001</v>
      </c>
      <c r="Q16">
        <v>27.64</v>
      </c>
      <c r="R16">
        <v>1.27</v>
      </c>
      <c r="S16">
        <v>80.260000000000005</v>
      </c>
      <c r="T16">
        <v>16</v>
      </c>
      <c r="U16" s="1" t="s">
        <v>24</v>
      </c>
      <c r="V16">
        <v>-1.18</v>
      </c>
    </row>
    <row r="17" spans="1:22" x14ac:dyDescent="0.3">
      <c r="A17" s="2">
        <v>43847</v>
      </c>
      <c r="B17">
        <v>43000</v>
      </c>
      <c r="C17">
        <v>16</v>
      </c>
      <c r="D17">
        <v>1</v>
      </c>
      <c r="E17" s="1" t="s">
        <v>22</v>
      </c>
      <c r="F17">
        <v>4</v>
      </c>
      <c r="G17" s="1" t="s">
        <v>23</v>
      </c>
      <c r="H17">
        <v>39642.857142857145</v>
      </c>
      <c r="J17">
        <v>42000</v>
      </c>
      <c r="K17">
        <v>36000</v>
      </c>
      <c r="M17">
        <v>1000</v>
      </c>
      <c r="N17">
        <v>115.818</v>
      </c>
      <c r="O17">
        <v>0</v>
      </c>
      <c r="P17">
        <v>13623</v>
      </c>
      <c r="Q17">
        <v>27.08</v>
      </c>
      <c r="R17">
        <v>3.22</v>
      </c>
      <c r="S17">
        <v>85.28</v>
      </c>
      <c r="T17">
        <v>17</v>
      </c>
      <c r="U17" s="1" t="s">
        <v>29</v>
      </c>
      <c r="V17">
        <v>2.38</v>
      </c>
    </row>
    <row r="18" spans="1:22" x14ac:dyDescent="0.3">
      <c r="A18" s="2">
        <v>43850</v>
      </c>
      <c r="B18">
        <v>44000</v>
      </c>
      <c r="C18">
        <v>19</v>
      </c>
      <c r="D18">
        <v>1</v>
      </c>
      <c r="E18" s="1" t="s">
        <v>22</v>
      </c>
      <c r="F18">
        <v>0</v>
      </c>
      <c r="G18" s="1" t="s">
        <v>23</v>
      </c>
      <c r="K18">
        <v>39000</v>
      </c>
      <c r="N18">
        <v>115.818</v>
      </c>
      <c r="O18">
        <v>0</v>
      </c>
      <c r="P18">
        <v>13456.98828</v>
      </c>
      <c r="Q18">
        <v>27.11</v>
      </c>
      <c r="R18">
        <v>0.61</v>
      </c>
      <c r="S18">
        <v>76.92</v>
      </c>
      <c r="T18">
        <v>20</v>
      </c>
      <c r="U18" s="1" t="s">
        <v>29</v>
      </c>
      <c r="V18">
        <v>2.33</v>
      </c>
    </row>
    <row r="19" spans="1:22" x14ac:dyDescent="0.3">
      <c r="A19" s="2">
        <v>43851</v>
      </c>
      <c r="B19">
        <v>44000</v>
      </c>
      <c r="C19">
        <v>20</v>
      </c>
      <c r="D19">
        <v>1</v>
      </c>
      <c r="E19" s="1" t="s">
        <v>22</v>
      </c>
      <c r="F19">
        <v>1</v>
      </c>
      <c r="G19" s="1" t="s">
        <v>23</v>
      </c>
      <c r="J19">
        <v>44000</v>
      </c>
      <c r="K19">
        <v>39000</v>
      </c>
      <c r="M19">
        <v>0</v>
      </c>
      <c r="N19">
        <v>115.818</v>
      </c>
      <c r="O19">
        <v>0</v>
      </c>
      <c r="P19">
        <v>13615</v>
      </c>
      <c r="Q19">
        <v>27.13</v>
      </c>
      <c r="R19">
        <v>0.83</v>
      </c>
      <c r="S19">
        <v>77.510000000000005</v>
      </c>
      <c r="T19">
        <v>21</v>
      </c>
      <c r="U19" s="1" t="s">
        <v>25</v>
      </c>
      <c r="V19">
        <v>0</v>
      </c>
    </row>
    <row r="20" spans="1:22" x14ac:dyDescent="0.3">
      <c r="A20" s="2">
        <v>43852</v>
      </c>
      <c r="B20">
        <v>43000</v>
      </c>
      <c r="C20">
        <v>21</v>
      </c>
      <c r="D20">
        <v>1</v>
      </c>
      <c r="E20" s="1" t="s">
        <v>22</v>
      </c>
      <c r="F20">
        <v>2</v>
      </c>
      <c r="G20" s="1" t="s">
        <v>23</v>
      </c>
      <c r="J20">
        <v>44000</v>
      </c>
      <c r="K20">
        <v>42500</v>
      </c>
      <c r="M20">
        <v>-1000</v>
      </c>
      <c r="N20">
        <v>115.818</v>
      </c>
      <c r="O20">
        <v>0</v>
      </c>
      <c r="P20">
        <v>13651</v>
      </c>
      <c r="Q20">
        <v>26.97</v>
      </c>
      <c r="R20">
        <v>0.31</v>
      </c>
      <c r="S20">
        <v>76.760000000000005</v>
      </c>
      <c r="T20">
        <v>22</v>
      </c>
      <c r="U20" s="1" t="s">
        <v>30</v>
      </c>
      <c r="V20">
        <v>-2.27</v>
      </c>
    </row>
    <row r="21" spans="1:22" x14ac:dyDescent="0.3">
      <c r="A21" s="2">
        <v>43853</v>
      </c>
      <c r="B21">
        <v>43000</v>
      </c>
      <c r="C21">
        <v>22</v>
      </c>
      <c r="D21">
        <v>1</v>
      </c>
      <c r="E21" s="1" t="s">
        <v>22</v>
      </c>
      <c r="F21">
        <v>3</v>
      </c>
      <c r="G21" s="1" t="s">
        <v>23</v>
      </c>
      <c r="J21">
        <v>43000</v>
      </c>
      <c r="K21">
        <v>42000</v>
      </c>
      <c r="M21">
        <v>0</v>
      </c>
      <c r="N21">
        <v>115.818</v>
      </c>
      <c r="O21">
        <v>0</v>
      </c>
      <c r="P21">
        <v>13626.38672</v>
      </c>
      <c r="Q21">
        <v>26.61</v>
      </c>
      <c r="R21">
        <v>0.09</v>
      </c>
      <c r="S21">
        <v>81.58</v>
      </c>
      <c r="T21">
        <v>23</v>
      </c>
      <c r="U21" s="1" t="s">
        <v>25</v>
      </c>
      <c r="V21">
        <v>0</v>
      </c>
    </row>
    <row r="22" spans="1:22" x14ac:dyDescent="0.3">
      <c r="A22" s="2">
        <v>43854</v>
      </c>
      <c r="B22">
        <v>43000</v>
      </c>
      <c r="C22">
        <v>23</v>
      </c>
      <c r="D22">
        <v>1</v>
      </c>
      <c r="E22" s="1" t="s">
        <v>22</v>
      </c>
      <c r="F22">
        <v>4</v>
      </c>
      <c r="G22" s="1" t="s">
        <v>23</v>
      </c>
      <c r="J22">
        <v>43000</v>
      </c>
      <c r="K22">
        <v>43000</v>
      </c>
      <c r="M22">
        <v>0</v>
      </c>
      <c r="N22">
        <v>115.818</v>
      </c>
      <c r="O22">
        <v>0</v>
      </c>
      <c r="P22">
        <v>13609.188480000001</v>
      </c>
      <c r="Q22">
        <v>26.97</v>
      </c>
      <c r="R22">
        <v>0.01</v>
      </c>
      <c r="S22">
        <v>79.75</v>
      </c>
      <c r="T22">
        <v>24</v>
      </c>
      <c r="U22" s="1" t="s">
        <v>25</v>
      </c>
      <c r="V22">
        <v>0</v>
      </c>
    </row>
    <row r="23" spans="1:22" x14ac:dyDescent="0.3">
      <c r="A23" s="2">
        <v>43857</v>
      </c>
      <c r="B23">
        <v>45000</v>
      </c>
      <c r="C23">
        <v>26</v>
      </c>
      <c r="D23">
        <v>1</v>
      </c>
      <c r="E23" s="1" t="s">
        <v>22</v>
      </c>
      <c r="F23">
        <v>0</v>
      </c>
      <c r="G23" s="1" t="s">
        <v>23</v>
      </c>
      <c r="K23">
        <v>44000</v>
      </c>
      <c r="N23">
        <v>115.818</v>
      </c>
      <c r="O23">
        <v>0</v>
      </c>
      <c r="P23">
        <v>13711.97363</v>
      </c>
      <c r="Q23">
        <v>27.65</v>
      </c>
      <c r="R23">
        <v>0</v>
      </c>
      <c r="S23">
        <v>75.62</v>
      </c>
      <c r="T23">
        <v>27</v>
      </c>
      <c r="U23" s="1"/>
      <c r="V23">
        <v>0</v>
      </c>
    </row>
    <row r="24" spans="1:22" x14ac:dyDescent="0.3">
      <c r="A24" s="2">
        <v>43858</v>
      </c>
      <c r="B24">
        <v>44500</v>
      </c>
      <c r="C24">
        <v>27</v>
      </c>
      <c r="D24">
        <v>1</v>
      </c>
      <c r="E24" s="1" t="s">
        <v>22</v>
      </c>
      <c r="F24">
        <v>1</v>
      </c>
      <c r="G24" s="1" t="s">
        <v>23</v>
      </c>
      <c r="J24">
        <v>45000</v>
      </c>
      <c r="K24">
        <v>44000</v>
      </c>
      <c r="M24">
        <v>-500</v>
      </c>
      <c r="N24">
        <v>115.818</v>
      </c>
      <c r="O24">
        <v>0</v>
      </c>
      <c r="P24">
        <v>13213.240229999999</v>
      </c>
      <c r="Q24">
        <v>27.32</v>
      </c>
      <c r="R24">
        <v>0</v>
      </c>
      <c r="S24">
        <v>75.430000000000007</v>
      </c>
      <c r="T24">
        <v>28</v>
      </c>
      <c r="U24" s="1" t="s">
        <v>24</v>
      </c>
      <c r="V24">
        <v>-1.1100000000000001</v>
      </c>
    </row>
    <row r="25" spans="1:22" x14ac:dyDescent="0.3">
      <c r="A25" s="2">
        <v>43859</v>
      </c>
      <c r="B25">
        <v>46000</v>
      </c>
      <c r="C25">
        <v>28</v>
      </c>
      <c r="D25">
        <v>1</v>
      </c>
      <c r="E25" s="1" t="s">
        <v>22</v>
      </c>
      <c r="F25">
        <v>2</v>
      </c>
      <c r="G25" s="1" t="s">
        <v>23</v>
      </c>
      <c r="J25">
        <v>44500</v>
      </c>
      <c r="K25">
        <v>43000</v>
      </c>
      <c r="M25">
        <v>1500</v>
      </c>
      <c r="N25">
        <v>115.818</v>
      </c>
      <c r="O25">
        <v>0</v>
      </c>
      <c r="P25">
        <v>13634</v>
      </c>
      <c r="Q25">
        <v>27.31</v>
      </c>
      <c r="R25">
        <v>0.04</v>
      </c>
      <c r="S25">
        <v>81.53</v>
      </c>
      <c r="T25">
        <v>29</v>
      </c>
      <c r="U25" s="1" t="s">
        <v>31</v>
      </c>
      <c r="V25">
        <v>3.37</v>
      </c>
    </row>
    <row r="26" spans="1:22" x14ac:dyDescent="0.3">
      <c r="A26" s="2">
        <v>43860</v>
      </c>
      <c r="B26">
        <v>50000</v>
      </c>
      <c r="C26">
        <v>29</v>
      </c>
      <c r="D26">
        <v>1</v>
      </c>
      <c r="E26" s="1" t="s">
        <v>22</v>
      </c>
      <c r="F26">
        <v>3</v>
      </c>
      <c r="G26" s="1" t="s">
        <v>23</v>
      </c>
      <c r="J26">
        <v>46000</v>
      </c>
      <c r="K26">
        <v>43000</v>
      </c>
      <c r="M26">
        <v>4000</v>
      </c>
      <c r="N26">
        <v>115.818</v>
      </c>
      <c r="O26">
        <v>0</v>
      </c>
      <c r="P26">
        <v>13614.014649999999</v>
      </c>
      <c r="Q26">
        <v>27.24</v>
      </c>
      <c r="R26">
        <v>0.3</v>
      </c>
      <c r="S26">
        <v>81.819999999999993</v>
      </c>
      <c r="T26">
        <v>30</v>
      </c>
      <c r="U26" s="1" t="s">
        <v>32</v>
      </c>
      <c r="V26">
        <v>8.6999999999999993</v>
      </c>
    </row>
    <row r="27" spans="1:22" x14ac:dyDescent="0.3">
      <c r="A27" s="2">
        <v>43861</v>
      </c>
      <c r="B27">
        <v>50000</v>
      </c>
      <c r="C27">
        <v>30</v>
      </c>
      <c r="D27">
        <v>1</v>
      </c>
      <c r="E27" s="1" t="s">
        <v>22</v>
      </c>
      <c r="F27">
        <v>4</v>
      </c>
      <c r="G27" s="1" t="s">
        <v>23</v>
      </c>
      <c r="J27">
        <v>50000</v>
      </c>
      <c r="K27">
        <v>43000</v>
      </c>
      <c r="M27">
        <v>0</v>
      </c>
      <c r="N27">
        <v>115.818</v>
      </c>
      <c r="O27">
        <v>0</v>
      </c>
      <c r="P27">
        <v>13643.18066</v>
      </c>
      <c r="Q27">
        <v>27.14</v>
      </c>
      <c r="R27">
        <v>1.72</v>
      </c>
      <c r="S27">
        <v>81.5</v>
      </c>
      <c r="T27">
        <v>31</v>
      </c>
      <c r="U27" s="1" t="s">
        <v>25</v>
      </c>
      <c r="V27">
        <v>0</v>
      </c>
    </row>
    <row r="28" spans="1:22" x14ac:dyDescent="0.3">
      <c r="A28" s="2">
        <v>43862</v>
      </c>
      <c r="B28">
        <v>50000</v>
      </c>
      <c r="C28">
        <v>31</v>
      </c>
      <c r="D28">
        <v>2</v>
      </c>
      <c r="E28" s="1" t="s">
        <v>22</v>
      </c>
      <c r="F28">
        <v>5</v>
      </c>
      <c r="G28" s="1" t="s">
        <v>23</v>
      </c>
      <c r="J28">
        <v>50000</v>
      </c>
      <c r="L28">
        <v>36000</v>
      </c>
      <c r="M28">
        <v>0</v>
      </c>
      <c r="N28">
        <v>116.14</v>
      </c>
      <c r="O28">
        <v>0.278022414</v>
      </c>
      <c r="P28">
        <v>13643.18066</v>
      </c>
      <c r="Q28">
        <v>27.07</v>
      </c>
      <c r="R28">
        <v>8.43</v>
      </c>
      <c r="S28">
        <v>82.98</v>
      </c>
      <c r="T28">
        <v>1</v>
      </c>
      <c r="U28" s="1" t="s">
        <v>25</v>
      </c>
      <c r="V28">
        <v>0</v>
      </c>
    </row>
    <row r="29" spans="1:22" x14ac:dyDescent="0.3">
      <c r="A29" s="2">
        <v>43863</v>
      </c>
      <c r="B29">
        <v>50000</v>
      </c>
      <c r="C29">
        <v>32</v>
      </c>
      <c r="D29">
        <v>2</v>
      </c>
      <c r="E29" s="1" t="s">
        <v>22</v>
      </c>
      <c r="F29">
        <v>6</v>
      </c>
      <c r="G29" s="1" t="s">
        <v>23</v>
      </c>
      <c r="H29">
        <v>47928.571428571428</v>
      </c>
      <c r="J29">
        <v>50000</v>
      </c>
      <c r="L29">
        <v>35500</v>
      </c>
      <c r="M29">
        <v>0</v>
      </c>
      <c r="N29">
        <v>116.14</v>
      </c>
      <c r="O29">
        <v>0.278022414</v>
      </c>
      <c r="P29">
        <v>13643.18066</v>
      </c>
      <c r="Q29">
        <v>27.44</v>
      </c>
      <c r="R29">
        <v>11.59</v>
      </c>
      <c r="S29">
        <v>80.95</v>
      </c>
      <c r="T29">
        <v>2</v>
      </c>
      <c r="U29" s="1" t="s">
        <v>25</v>
      </c>
      <c r="V29">
        <v>0</v>
      </c>
    </row>
    <row r="30" spans="1:22" x14ac:dyDescent="0.3">
      <c r="A30" s="2">
        <v>43864</v>
      </c>
      <c r="B30">
        <v>56500</v>
      </c>
      <c r="C30">
        <v>33</v>
      </c>
      <c r="D30">
        <v>2</v>
      </c>
      <c r="E30" s="1" t="s">
        <v>22</v>
      </c>
      <c r="F30">
        <v>0</v>
      </c>
      <c r="G30" s="1" t="s">
        <v>23</v>
      </c>
      <c r="H30">
        <v>49571.428571428572</v>
      </c>
      <c r="J30">
        <v>50000</v>
      </c>
      <c r="K30">
        <v>45000</v>
      </c>
      <c r="L30">
        <v>35500</v>
      </c>
      <c r="M30">
        <v>6500</v>
      </c>
      <c r="N30">
        <v>116.14</v>
      </c>
      <c r="O30">
        <v>0.278022414</v>
      </c>
      <c r="P30">
        <v>13633.12695</v>
      </c>
      <c r="Q30">
        <v>26.85</v>
      </c>
      <c r="R30">
        <v>46.08</v>
      </c>
      <c r="S30">
        <v>86.21</v>
      </c>
      <c r="T30">
        <v>3</v>
      </c>
      <c r="U30" s="1" t="s">
        <v>33</v>
      </c>
      <c r="V30">
        <v>13</v>
      </c>
    </row>
    <row r="31" spans="1:22" x14ac:dyDescent="0.3">
      <c r="A31" s="2">
        <v>43865</v>
      </c>
      <c r="B31">
        <v>56750</v>
      </c>
      <c r="C31">
        <v>34</v>
      </c>
      <c r="D31">
        <v>2</v>
      </c>
      <c r="E31" s="1" t="s">
        <v>22</v>
      </c>
      <c r="F31">
        <v>1</v>
      </c>
      <c r="G31" s="1" t="s">
        <v>23</v>
      </c>
      <c r="H31">
        <v>51321.428571428572</v>
      </c>
      <c r="J31">
        <v>56500</v>
      </c>
      <c r="K31">
        <v>44500</v>
      </c>
      <c r="L31">
        <v>35500</v>
      </c>
      <c r="M31">
        <v>250</v>
      </c>
      <c r="N31">
        <v>116.14</v>
      </c>
      <c r="O31">
        <v>0.278022414</v>
      </c>
      <c r="P31">
        <v>13735.5</v>
      </c>
      <c r="Q31">
        <v>26.98</v>
      </c>
      <c r="R31">
        <v>5.24</v>
      </c>
      <c r="S31">
        <v>80.97</v>
      </c>
      <c r="T31">
        <v>4</v>
      </c>
      <c r="U31" s="1" t="s">
        <v>34</v>
      </c>
      <c r="V31">
        <v>0.44</v>
      </c>
    </row>
    <row r="32" spans="1:22" x14ac:dyDescent="0.3">
      <c r="A32" s="2">
        <v>43866</v>
      </c>
      <c r="B32">
        <v>56500</v>
      </c>
      <c r="C32">
        <v>35</v>
      </c>
      <c r="D32">
        <v>2</v>
      </c>
      <c r="E32" s="1" t="s">
        <v>22</v>
      </c>
      <c r="F32">
        <v>2</v>
      </c>
      <c r="G32" s="1" t="s">
        <v>23</v>
      </c>
      <c r="H32">
        <v>52821.428571428572</v>
      </c>
      <c r="J32">
        <v>56750</v>
      </c>
      <c r="K32">
        <v>46000</v>
      </c>
      <c r="L32">
        <v>35500</v>
      </c>
      <c r="M32">
        <v>-250</v>
      </c>
      <c r="N32">
        <v>116.14</v>
      </c>
      <c r="O32">
        <v>0.278022414</v>
      </c>
      <c r="P32">
        <v>13702.407230000001</v>
      </c>
      <c r="Q32">
        <v>27.15</v>
      </c>
      <c r="R32">
        <v>0.37</v>
      </c>
      <c r="S32">
        <v>79.489999999999995</v>
      </c>
      <c r="T32">
        <v>5</v>
      </c>
      <c r="U32" s="1" t="s">
        <v>35</v>
      </c>
      <c r="V32">
        <v>-0.44</v>
      </c>
    </row>
    <row r="33" spans="1:22" x14ac:dyDescent="0.3">
      <c r="A33" s="2">
        <v>43867</v>
      </c>
      <c r="B33">
        <v>56500</v>
      </c>
      <c r="C33">
        <v>36</v>
      </c>
      <c r="D33">
        <v>2</v>
      </c>
      <c r="E33" s="1" t="s">
        <v>22</v>
      </c>
      <c r="F33">
        <v>3</v>
      </c>
      <c r="G33" s="1" t="s">
        <v>23</v>
      </c>
      <c r="H33">
        <v>53750</v>
      </c>
      <c r="J33">
        <v>56500</v>
      </c>
      <c r="K33">
        <v>50000</v>
      </c>
      <c r="L33">
        <v>36000</v>
      </c>
      <c r="M33">
        <v>0</v>
      </c>
      <c r="N33">
        <v>116.14</v>
      </c>
      <c r="O33">
        <v>0.278022414</v>
      </c>
      <c r="P33">
        <v>13668.26758</v>
      </c>
      <c r="Q33">
        <v>26.89</v>
      </c>
      <c r="R33">
        <v>0.02</v>
      </c>
      <c r="S33">
        <v>80.86</v>
      </c>
      <c r="T33">
        <v>6</v>
      </c>
      <c r="U33" s="1" t="s">
        <v>25</v>
      </c>
      <c r="V33">
        <v>0</v>
      </c>
    </row>
    <row r="34" spans="1:22" x14ac:dyDescent="0.3">
      <c r="A34" s="2">
        <v>43868</v>
      </c>
      <c r="B34">
        <v>57750</v>
      </c>
      <c r="C34">
        <v>37</v>
      </c>
      <c r="D34">
        <v>2</v>
      </c>
      <c r="E34" s="1" t="s">
        <v>22</v>
      </c>
      <c r="F34">
        <v>4</v>
      </c>
      <c r="G34" s="1" t="s">
        <v>23</v>
      </c>
      <c r="H34">
        <v>54857.142857142855</v>
      </c>
      <c r="J34">
        <v>56500</v>
      </c>
      <c r="K34">
        <v>50000</v>
      </c>
      <c r="L34">
        <v>36000</v>
      </c>
      <c r="M34">
        <v>1250</v>
      </c>
      <c r="N34">
        <v>116.14</v>
      </c>
      <c r="O34">
        <v>0.278022414</v>
      </c>
      <c r="P34">
        <v>13698</v>
      </c>
      <c r="Q34">
        <v>27.1</v>
      </c>
      <c r="R34">
        <v>0.11</v>
      </c>
      <c r="S34">
        <v>78.55</v>
      </c>
      <c r="T34">
        <v>7</v>
      </c>
      <c r="U34" s="1" t="s">
        <v>36</v>
      </c>
      <c r="V34">
        <v>2.21</v>
      </c>
    </row>
    <row r="35" spans="1:22" x14ac:dyDescent="0.3">
      <c r="A35" s="2">
        <v>43869</v>
      </c>
      <c r="B35">
        <v>57750</v>
      </c>
      <c r="C35">
        <v>38</v>
      </c>
      <c r="D35">
        <v>2</v>
      </c>
      <c r="E35" s="1" t="s">
        <v>22</v>
      </c>
      <c r="F35">
        <v>5</v>
      </c>
      <c r="G35" s="1" t="s">
        <v>23</v>
      </c>
      <c r="H35">
        <v>55964.285714285717</v>
      </c>
      <c r="J35">
        <v>57750</v>
      </c>
      <c r="K35">
        <v>50000</v>
      </c>
      <c r="L35">
        <v>36000</v>
      </c>
      <c r="M35">
        <v>0</v>
      </c>
      <c r="N35">
        <v>116.14</v>
      </c>
      <c r="O35">
        <v>0.278022414</v>
      </c>
      <c r="P35">
        <v>13698</v>
      </c>
      <c r="Q35">
        <v>27.08</v>
      </c>
      <c r="R35">
        <v>1.5</v>
      </c>
      <c r="S35">
        <v>80.400000000000006</v>
      </c>
      <c r="T35">
        <v>8</v>
      </c>
      <c r="U35" s="1" t="s">
        <v>36</v>
      </c>
      <c r="V35">
        <v>2.21</v>
      </c>
    </row>
    <row r="36" spans="1:22" x14ac:dyDescent="0.3">
      <c r="A36" s="2">
        <v>43870</v>
      </c>
      <c r="B36">
        <v>57750</v>
      </c>
      <c r="C36">
        <v>39</v>
      </c>
      <c r="D36">
        <v>2</v>
      </c>
      <c r="E36" s="1" t="s">
        <v>22</v>
      </c>
      <c r="F36">
        <v>6</v>
      </c>
      <c r="G36" s="1" t="s">
        <v>23</v>
      </c>
      <c r="H36">
        <v>57071.428571428572</v>
      </c>
      <c r="J36">
        <v>57750</v>
      </c>
      <c r="K36">
        <v>50000</v>
      </c>
      <c r="L36">
        <v>36000</v>
      </c>
      <c r="M36">
        <v>0</v>
      </c>
      <c r="N36">
        <v>116.14</v>
      </c>
      <c r="O36">
        <v>0.278022414</v>
      </c>
      <c r="P36">
        <v>13698</v>
      </c>
      <c r="Q36">
        <v>27.23</v>
      </c>
      <c r="R36">
        <v>0.3</v>
      </c>
      <c r="S36">
        <v>77.13</v>
      </c>
      <c r="T36">
        <v>9</v>
      </c>
      <c r="U36" s="1" t="s">
        <v>36</v>
      </c>
      <c r="V36">
        <v>2.21</v>
      </c>
    </row>
    <row r="37" spans="1:22" x14ac:dyDescent="0.3">
      <c r="A37" s="2">
        <v>43871</v>
      </c>
      <c r="B37">
        <v>57500</v>
      </c>
      <c r="C37">
        <v>40</v>
      </c>
      <c r="D37">
        <v>2</v>
      </c>
      <c r="E37" s="1" t="s">
        <v>22</v>
      </c>
      <c r="F37">
        <v>0</v>
      </c>
      <c r="G37" s="1" t="s">
        <v>23</v>
      </c>
      <c r="H37">
        <v>57214.285714285717</v>
      </c>
      <c r="J37">
        <v>57750</v>
      </c>
      <c r="K37">
        <v>56500</v>
      </c>
      <c r="L37">
        <v>36000</v>
      </c>
      <c r="M37">
        <v>-250</v>
      </c>
      <c r="N37">
        <v>116.14</v>
      </c>
      <c r="O37">
        <v>0.278022414</v>
      </c>
      <c r="P37">
        <v>13675.853520000001</v>
      </c>
      <c r="Q37">
        <v>27.02</v>
      </c>
      <c r="R37">
        <v>1.67</v>
      </c>
      <c r="S37">
        <v>76.150000000000006</v>
      </c>
      <c r="T37">
        <v>10</v>
      </c>
      <c r="U37" s="1" t="s">
        <v>35</v>
      </c>
      <c r="V37">
        <v>-0.43</v>
      </c>
    </row>
    <row r="38" spans="1:22" x14ac:dyDescent="0.3">
      <c r="A38" s="2">
        <v>43872</v>
      </c>
      <c r="B38">
        <v>57500</v>
      </c>
      <c r="C38">
        <v>41</v>
      </c>
      <c r="D38">
        <v>2</v>
      </c>
      <c r="E38" s="1" t="s">
        <v>22</v>
      </c>
      <c r="F38">
        <v>1</v>
      </c>
      <c r="G38" s="1" t="s">
        <v>23</v>
      </c>
      <c r="H38">
        <v>57321.428571428572</v>
      </c>
      <c r="J38">
        <v>57500</v>
      </c>
      <c r="K38">
        <v>56750</v>
      </c>
      <c r="L38">
        <v>36000</v>
      </c>
      <c r="M38">
        <v>0</v>
      </c>
      <c r="N38">
        <v>116.14</v>
      </c>
      <c r="O38">
        <v>0.278022414</v>
      </c>
      <c r="P38">
        <v>13691.589840000001</v>
      </c>
      <c r="Q38">
        <v>27</v>
      </c>
      <c r="R38">
        <v>6.33</v>
      </c>
      <c r="S38">
        <v>80.37</v>
      </c>
      <c r="T38">
        <v>11</v>
      </c>
      <c r="U38" s="1" t="s">
        <v>25</v>
      </c>
      <c r="V38">
        <v>0</v>
      </c>
    </row>
    <row r="39" spans="1:22" x14ac:dyDescent="0.3">
      <c r="A39" s="2">
        <v>43873</v>
      </c>
      <c r="B39">
        <v>56500</v>
      </c>
      <c r="C39">
        <v>42</v>
      </c>
      <c r="D39">
        <v>2</v>
      </c>
      <c r="E39" s="1" t="s">
        <v>22</v>
      </c>
      <c r="F39">
        <v>2</v>
      </c>
      <c r="G39" s="1" t="s">
        <v>23</v>
      </c>
      <c r="H39">
        <v>57321.428571428572</v>
      </c>
      <c r="J39">
        <v>57500</v>
      </c>
      <c r="K39">
        <v>56500</v>
      </c>
      <c r="L39">
        <v>39000</v>
      </c>
      <c r="M39">
        <v>-1000</v>
      </c>
      <c r="N39">
        <v>116.14</v>
      </c>
      <c r="O39">
        <v>0.278022414</v>
      </c>
      <c r="P39">
        <v>13657.55371</v>
      </c>
      <c r="Q39">
        <v>27.09</v>
      </c>
      <c r="R39">
        <v>8.69</v>
      </c>
      <c r="S39">
        <v>80.48</v>
      </c>
      <c r="T39">
        <v>12</v>
      </c>
      <c r="U39" s="1" t="s">
        <v>30</v>
      </c>
      <c r="V39">
        <v>-1.74</v>
      </c>
    </row>
    <row r="40" spans="1:22" x14ac:dyDescent="0.3">
      <c r="A40" s="2">
        <v>43874</v>
      </c>
      <c r="B40">
        <v>55500</v>
      </c>
      <c r="C40">
        <v>43</v>
      </c>
      <c r="D40">
        <v>2</v>
      </c>
      <c r="E40" s="1" t="s">
        <v>22</v>
      </c>
      <c r="F40">
        <v>3</v>
      </c>
      <c r="G40" s="1" t="s">
        <v>23</v>
      </c>
      <c r="H40">
        <v>57178.571428571428</v>
      </c>
      <c r="J40">
        <v>56500</v>
      </c>
      <c r="K40">
        <v>56500</v>
      </c>
      <c r="L40">
        <v>39000</v>
      </c>
      <c r="M40">
        <v>-1000</v>
      </c>
      <c r="N40">
        <v>116.14</v>
      </c>
      <c r="O40">
        <v>0.278022414</v>
      </c>
      <c r="P40">
        <v>13500.737300000001</v>
      </c>
      <c r="Q40">
        <v>26.54</v>
      </c>
      <c r="R40">
        <v>7.58</v>
      </c>
      <c r="S40">
        <v>85.13</v>
      </c>
      <c r="T40">
        <v>13</v>
      </c>
      <c r="U40" s="1" t="s">
        <v>30</v>
      </c>
      <c r="V40">
        <v>-1.77</v>
      </c>
    </row>
    <row r="41" spans="1:22" x14ac:dyDescent="0.3">
      <c r="A41" s="2">
        <v>43875</v>
      </c>
      <c r="B41">
        <v>55500</v>
      </c>
      <c r="C41">
        <v>44</v>
      </c>
      <c r="D41">
        <v>2</v>
      </c>
      <c r="E41" s="1" t="s">
        <v>22</v>
      </c>
      <c r="F41">
        <v>4</v>
      </c>
      <c r="G41" s="1" t="s">
        <v>23</v>
      </c>
      <c r="H41">
        <v>56857.142857142855</v>
      </c>
      <c r="J41">
        <v>55500</v>
      </c>
      <c r="K41">
        <v>57750</v>
      </c>
      <c r="L41">
        <v>42500</v>
      </c>
      <c r="M41">
        <v>0</v>
      </c>
      <c r="N41">
        <v>116.14</v>
      </c>
      <c r="O41">
        <v>0.278022414</v>
      </c>
      <c r="P41">
        <v>13695.400390000001</v>
      </c>
      <c r="Q41">
        <v>26.91</v>
      </c>
      <c r="R41">
        <v>2.79</v>
      </c>
      <c r="S41">
        <v>86.02</v>
      </c>
      <c r="T41">
        <v>14</v>
      </c>
      <c r="U41" s="1" t="s">
        <v>25</v>
      </c>
      <c r="V41">
        <v>0</v>
      </c>
    </row>
    <row r="42" spans="1:22" x14ac:dyDescent="0.3">
      <c r="A42" s="2">
        <v>43878</v>
      </c>
      <c r="B42">
        <v>54000</v>
      </c>
      <c r="C42">
        <v>47</v>
      </c>
      <c r="D42">
        <v>2</v>
      </c>
      <c r="E42" s="1" t="s">
        <v>22</v>
      </c>
      <c r="F42">
        <v>0</v>
      </c>
      <c r="G42" s="1" t="s">
        <v>23</v>
      </c>
      <c r="K42">
        <v>57500</v>
      </c>
      <c r="N42">
        <v>116.14</v>
      </c>
      <c r="O42">
        <v>0.278022414</v>
      </c>
      <c r="P42">
        <v>13681.29004</v>
      </c>
      <c r="Q42">
        <v>26.95</v>
      </c>
      <c r="R42">
        <v>0.14000000000000001</v>
      </c>
      <c r="S42">
        <v>80.819999999999993</v>
      </c>
      <c r="T42">
        <v>17</v>
      </c>
      <c r="U42" s="1" t="s">
        <v>37</v>
      </c>
      <c r="V42">
        <v>-2.7</v>
      </c>
    </row>
    <row r="43" spans="1:22" x14ac:dyDescent="0.3">
      <c r="A43" s="2">
        <v>43879</v>
      </c>
      <c r="B43">
        <v>54000</v>
      </c>
      <c r="C43">
        <v>48</v>
      </c>
      <c r="D43">
        <v>2</v>
      </c>
      <c r="E43" s="1" t="s">
        <v>22</v>
      </c>
      <c r="F43">
        <v>1</v>
      </c>
      <c r="G43" s="1" t="s">
        <v>23</v>
      </c>
      <c r="J43">
        <v>54000</v>
      </c>
      <c r="K43">
        <v>57500</v>
      </c>
      <c r="M43">
        <v>0</v>
      </c>
      <c r="N43">
        <v>116.14</v>
      </c>
      <c r="O43">
        <v>0.278022414</v>
      </c>
      <c r="P43">
        <v>13649.24121</v>
      </c>
      <c r="Q43">
        <v>27.04</v>
      </c>
      <c r="R43">
        <v>0.51</v>
      </c>
      <c r="S43">
        <v>79.98</v>
      </c>
      <c r="T43">
        <v>18</v>
      </c>
      <c r="U43" s="1" t="s">
        <v>25</v>
      </c>
      <c r="V43">
        <v>0</v>
      </c>
    </row>
    <row r="44" spans="1:22" x14ac:dyDescent="0.3">
      <c r="A44" s="2">
        <v>43880</v>
      </c>
      <c r="B44">
        <v>54000</v>
      </c>
      <c r="C44">
        <v>49</v>
      </c>
      <c r="D44">
        <v>2</v>
      </c>
      <c r="E44" s="1" t="s">
        <v>22</v>
      </c>
      <c r="F44">
        <v>2</v>
      </c>
      <c r="G44" s="1" t="s">
        <v>23</v>
      </c>
      <c r="J44">
        <v>54000</v>
      </c>
      <c r="K44">
        <v>56500</v>
      </c>
      <c r="L44">
        <v>44000</v>
      </c>
      <c r="M44">
        <v>0</v>
      </c>
      <c r="N44">
        <v>116.14</v>
      </c>
      <c r="O44">
        <v>0.278022414</v>
      </c>
      <c r="P44">
        <v>13768</v>
      </c>
      <c r="Q44">
        <v>26.75</v>
      </c>
      <c r="R44">
        <v>0.81</v>
      </c>
      <c r="S44">
        <v>80.510000000000005</v>
      </c>
      <c r="T44">
        <v>19</v>
      </c>
      <c r="U44" s="1" t="s">
        <v>25</v>
      </c>
      <c r="V44">
        <v>0</v>
      </c>
    </row>
    <row r="45" spans="1:22" x14ac:dyDescent="0.3">
      <c r="A45" s="2">
        <v>43881</v>
      </c>
      <c r="B45">
        <v>51750</v>
      </c>
      <c r="C45">
        <v>50</v>
      </c>
      <c r="D45">
        <v>2</v>
      </c>
      <c r="E45" s="1" t="s">
        <v>22</v>
      </c>
      <c r="F45">
        <v>3</v>
      </c>
      <c r="G45" s="1" t="s">
        <v>23</v>
      </c>
      <c r="J45">
        <v>54000</v>
      </c>
      <c r="K45">
        <v>55500</v>
      </c>
      <c r="L45">
        <v>44000</v>
      </c>
      <c r="M45">
        <v>-2250</v>
      </c>
      <c r="N45">
        <v>116.14</v>
      </c>
      <c r="O45">
        <v>0.278022414</v>
      </c>
      <c r="P45">
        <v>13762</v>
      </c>
      <c r="Q45">
        <v>26.92</v>
      </c>
      <c r="R45">
        <v>1.74</v>
      </c>
      <c r="S45">
        <v>78.58</v>
      </c>
      <c r="T45">
        <v>20</v>
      </c>
      <c r="U45" s="1" t="s">
        <v>38</v>
      </c>
      <c r="V45">
        <v>-4.17</v>
      </c>
    </row>
    <row r="46" spans="1:22" x14ac:dyDescent="0.3">
      <c r="A46" s="2">
        <v>43882</v>
      </c>
      <c r="B46">
        <v>52250</v>
      </c>
      <c r="C46">
        <v>51</v>
      </c>
      <c r="D46">
        <v>2</v>
      </c>
      <c r="E46" s="1" t="s">
        <v>22</v>
      </c>
      <c r="F46">
        <v>4</v>
      </c>
      <c r="G46" s="1" t="s">
        <v>23</v>
      </c>
      <c r="J46">
        <v>51750</v>
      </c>
      <c r="K46">
        <v>55500</v>
      </c>
      <c r="L46">
        <v>43000</v>
      </c>
      <c r="M46">
        <v>500</v>
      </c>
      <c r="N46">
        <v>116.14</v>
      </c>
      <c r="O46">
        <v>0.278022414</v>
      </c>
      <c r="P46">
        <v>13703.48242</v>
      </c>
      <c r="Q46">
        <v>26.88</v>
      </c>
      <c r="R46">
        <v>1.26</v>
      </c>
      <c r="S46">
        <v>77.19</v>
      </c>
      <c r="T46">
        <v>21</v>
      </c>
      <c r="U46" s="1" t="s">
        <v>26</v>
      </c>
      <c r="V46">
        <v>0.97</v>
      </c>
    </row>
    <row r="47" spans="1:22" x14ac:dyDescent="0.3">
      <c r="A47" s="2">
        <v>43885</v>
      </c>
      <c r="B47">
        <v>48500</v>
      </c>
      <c r="C47">
        <v>54</v>
      </c>
      <c r="D47">
        <v>2</v>
      </c>
      <c r="E47" s="1" t="s">
        <v>22</v>
      </c>
      <c r="F47">
        <v>0</v>
      </c>
      <c r="G47" s="1" t="s">
        <v>23</v>
      </c>
      <c r="K47">
        <v>54000</v>
      </c>
      <c r="N47">
        <v>116.14</v>
      </c>
      <c r="O47">
        <v>0.278022414</v>
      </c>
      <c r="P47">
        <v>13771.48633</v>
      </c>
      <c r="Q47">
        <v>27.11</v>
      </c>
      <c r="R47">
        <v>1.51</v>
      </c>
      <c r="S47">
        <v>82.96</v>
      </c>
      <c r="T47">
        <v>24</v>
      </c>
      <c r="U47" s="1" t="s">
        <v>39</v>
      </c>
      <c r="V47">
        <v>-7.18</v>
      </c>
    </row>
    <row r="48" spans="1:22" x14ac:dyDescent="0.3">
      <c r="A48" s="2">
        <v>43886</v>
      </c>
      <c r="B48">
        <v>47000</v>
      </c>
      <c r="C48">
        <v>55</v>
      </c>
      <c r="D48">
        <v>2</v>
      </c>
      <c r="E48" s="1" t="s">
        <v>22</v>
      </c>
      <c r="F48">
        <v>1</v>
      </c>
      <c r="G48" s="1" t="s">
        <v>23</v>
      </c>
      <c r="J48">
        <v>48500</v>
      </c>
      <c r="K48">
        <v>54000</v>
      </c>
      <c r="M48">
        <v>-1500</v>
      </c>
      <c r="N48">
        <v>116.14</v>
      </c>
      <c r="O48">
        <v>0.278022414</v>
      </c>
      <c r="P48">
        <v>13879.929690000001</v>
      </c>
      <c r="Q48">
        <v>27.04</v>
      </c>
      <c r="R48">
        <v>3.37</v>
      </c>
      <c r="S48">
        <v>85.36</v>
      </c>
      <c r="T48">
        <v>25</v>
      </c>
      <c r="U48" s="1" t="s">
        <v>37</v>
      </c>
      <c r="V48">
        <v>-3.09</v>
      </c>
    </row>
    <row r="49" spans="1:22" x14ac:dyDescent="0.3">
      <c r="A49" s="2">
        <v>43887</v>
      </c>
      <c r="B49">
        <v>45500</v>
      </c>
      <c r="C49">
        <v>56</v>
      </c>
      <c r="D49">
        <v>2</v>
      </c>
      <c r="E49" s="1" t="s">
        <v>22</v>
      </c>
      <c r="F49">
        <v>2</v>
      </c>
      <c r="G49" s="1" t="s">
        <v>23</v>
      </c>
      <c r="J49">
        <v>47000</v>
      </c>
      <c r="K49">
        <v>54000</v>
      </c>
      <c r="L49">
        <v>45000</v>
      </c>
      <c r="M49">
        <v>-1500</v>
      </c>
      <c r="N49">
        <v>116.14</v>
      </c>
      <c r="O49">
        <v>0.278022414</v>
      </c>
      <c r="P49">
        <v>14056.5</v>
      </c>
      <c r="Q49">
        <v>27.16</v>
      </c>
      <c r="R49">
        <v>0.36</v>
      </c>
      <c r="S49">
        <v>81.93</v>
      </c>
      <c r="T49">
        <v>26</v>
      </c>
      <c r="U49" s="1" t="s">
        <v>37</v>
      </c>
      <c r="V49">
        <v>-3.19</v>
      </c>
    </row>
    <row r="50" spans="1:22" x14ac:dyDescent="0.3">
      <c r="A50" s="2">
        <v>43888</v>
      </c>
      <c r="B50">
        <v>45000</v>
      </c>
      <c r="C50">
        <v>57</v>
      </c>
      <c r="D50">
        <v>2</v>
      </c>
      <c r="E50" s="1" t="s">
        <v>22</v>
      </c>
      <c r="F50">
        <v>3</v>
      </c>
      <c r="G50" s="1" t="s">
        <v>23</v>
      </c>
      <c r="J50">
        <v>45500</v>
      </c>
      <c r="K50">
        <v>51750</v>
      </c>
      <c r="L50">
        <v>44500</v>
      </c>
      <c r="M50">
        <v>-500</v>
      </c>
      <c r="N50">
        <v>116.14</v>
      </c>
      <c r="O50">
        <v>0.278022414</v>
      </c>
      <c r="P50">
        <v>13931</v>
      </c>
      <c r="Q50">
        <v>27.36</v>
      </c>
      <c r="R50">
        <v>0.03</v>
      </c>
      <c r="S50">
        <v>77.28</v>
      </c>
      <c r="T50">
        <v>27</v>
      </c>
      <c r="U50" s="1" t="s">
        <v>24</v>
      </c>
      <c r="V50">
        <v>-1.1000000000000001</v>
      </c>
    </row>
    <row r="51" spans="1:22" x14ac:dyDescent="0.3">
      <c r="A51" s="2">
        <v>43889</v>
      </c>
      <c r="B51">
        <v>45000</v>
      </c>
      <c r="C51">
        <v>58</v>
      </c>
      <c r="D51">
        <v>2</v>
      </c>
      <c r="E51" s="1" t="s">
        <v>22</v>
      </c>
      <c r="F51">
        <v>4</v>
      </c>
      <c r="G51" s="1" t="s">
        <v>23</v>
      </c>
      <c r="J51">
        <v>45000</v>
      </c>
      <c r="K51">
        <v>52250</v>
      </c>
      <c r="L51">
        <v>46000</v>
      </c>
      <c r="M51">
        <v>0</v>
      </c>
      <c r="N51">
        <v>116.14</v>
      </c>
      <c r="O51">
        <v>0.278022414</v>
      </c>
      <c r="P51">
        <v>14316</v>
      </c>
      <c r="Q51">
        <v>27.32</v>
      </c>
      <c r="R51">
        <v>0.89</v>
      </c>
      <c r="S51">
        <v>81.61</v>
      </c>
      <c r="T51">
        <v>28</v>
      </c>
      <c r="U51" s="1" t="s">
        <v>25</v>
      </c>
      <c r="V51">
        <v>0</v>
      </c>
    </row>
    <row r="52" spans="1:22" x14ac:dyDescent="0.3">
      <c r="A52" s="2">
        <v>43890</v>
      </c>
      <c r="B52">
        <v>45000</v>
      </c>
      <c r="C52">
        <v>59</v>
      </c>
      <c r="D52">
        <v>2</v>
      </c>
      <c r="E52" s="1" t="s">
        <v>22</v>
      </c>
      <c r="F52">
        <v>5</v>
      </c>
      <c r="G52" s="1" t="s">
        <v>23</v>
      </c>
      <c r="J52">
        <v>45000</v>
      </c>
      <c r="L52">
        <v>50000</v>
      </c>
      <c r="M52">
        <v>0</v>
      </c>
      <c r="N52">
        <v>116.14</v>
      </c>
      <c r="O52">
        <v>0.278022414</v>
      </c>
      <c r="P52">
        <v>14316</v>
      </c>
      <c r="Q52">
        <v>27.32</v>
      </c>
      <c r="R52">
        <v>3.95</v>
      </c>
      <c r="S52">
        <v>85.87</v>
      </c>
      <c r="T52">
        <v>29</v>
      </c>
      <c r="U52" s="1" t="s">
        <v>25</v>
      </c>
      <c r="V52">
        <v>0</v>
      </c>
    </row>
    <row r="53" spans="1:22" x14ac:dyDescent="0.3">
      <c r="A53" s="2">
        <v>43891</v>
      </c>
      <c r="B53">
        <v>45000</v>
      </c>
      <c r="C53">
        <v>60</v>
      </c>
      <c r="D53">
        <v>3</v>
      </c>
      <c r="E53" s="1" t="s">
        <v>22</v>
      </c>
      <c r="F53">
        <v>6</v>
      </c>
      <c r="G53" s="1" t="s">
        <v>23</v>
      </c>
      <c r="H53">
        <v>45857.142857142855</v>
      </c>
      <c r="J53">
        <v>45000</v>
      </c>
      <c r="L53">
        <v>50000</v>
      </c>
      <c r="M53">
        <v>0</v>
      </c>
      <c r="N53">
        <v>116.251</v>
      </c>
      <c r="O53">
        <v>9.5574306999999997E-2</v>
      </c>
      <c r="P53">
        <v>14316</v>
      </c>
      <c r="Q53">
        <v>27.35</v>
      </c>
      <c r="R53">
        <v>15.07</v>
      </c>
      <c r="S53">
        <v>86.41</v>
      </c>
      <c r="T53">
        <v>1</v>
      </c>
      <c r="U53" s="1" t="s">
        <v>25</v>
      </c>
      <c r="V53">
        <v>0</v>
      </c>
    </row>
    <row r="54" spans="1:22" x14ac:dyDescent="0.3">
      <c r="A54" s="2">
        <v>43892</v>
      </c>
      <c r="B54">
        <v>45000</v>
      </c>
      <c r="C54">
        <v>61</v>
      </c>
      <c r="D54">
        <v>3</v>
      </c>
      <c r="E54" s="1" t="s">
        <v>22</v>
      </c>
      <c r="F54">
        <v>0</v>
      </c>
      <c r="G54" s="1" t="s">
        <v>23</v>
      </c>
      <c r="H54">
        <v>45357.142857142855</v>
      </c>
      <c r="J54">
        <v>45000</v>
      </c>
      <c r="K54">
        <v>48500</v>
      </c>
      <c r="L54">
        <v>50000</v>
      </c>
      <c r="M54">
        <v>0</v>
      </c>
      <c r="N54">
        <v>116.251</v>
      </c>
      <c r="O54">
        <v>9.5574306999999997E-2</v>
      </c>
      <c r="P54">
        <v>13971.96191</v>
      </c>
      <c r="Q54">
        <v>26.96</v>
      </c>
      <c r="R54">
        <v>32.54</v>
      </c>
      <c r="S54">
        <v>89.39</v>
      </c>
      <c r="T54">
        <v>2</v>
      </c>
      <c r="U54" s="1" t="s">
        <v>25</v>
      </c>
      <c r="V54">
        <v>0</v>
      </c>
    </row>
    <row r="55" spans="1:22" x14ac:dyDescent="0.3">
      <c r="A55" s="2">
        <v>43893</v>
      </c>
      <c r="B55">
        <v>45000</v>
      </c>
      <c r="C55">
        <v>62</v>
      </c>
      <c r="D55">
        <v>3</v>
      </c>
      <c r="E55" s="1" t="s">
        <v>22</v>
      </c>
      <c r="F55">
        <v>1</v>
      </c>
      <c r="G55" s="1" t="s">
        <v>23</v>
      </c>
      <c r="H55">
        <v>45071.428571428572</v>
      </c>
      <c r="J55">
        <v>45000</v>
      </c>
      <c r="K55">
        <v>47000</v>
      </c>
      <c r="L55">
        <v>50000</v>
      </c>
      <c r="M55">
        <v>0</v>
      </c>
      <c r="N55">
        <v>116.251</v>
      </c>
      <c r="O55">
        <v>9.5574306999999997E-2</v>
      </c>
      <c r="P55">
        <v>14220</v>
      </c>
      <c r="Q55">
        <v>26.73</v>
      </c>
      <c r="R55">
        <v>11.37</v>
      </c>
      <c r="S55">
        <v>88.19</v>
      </c>
      <c r="T55">
        <v>3</v>
      </c>
      <c r="U55" s="1" t="s">
        <v>25</v>
      </c>
      <c r="V55">
        <v>0</v>
      </c>
    </row>
    <row r="56" spans="1:22" x14ac:dyDescent="0.3">
      <c r="A56" s="2">
        <v>43894</v>
      </c>
      <c r="B56">
        <v>45000</v>
      </c>
      <c r="C56">
        <v>63</v>
      </c>
      <c r="D56">
        <v>3</v>
      </c>
      <c r="E56" s="1" t="s">
        <v>22</v>
      </c>
      <c r="F56">
        <v>2</v>
      </c>
      <c r="G56" s="1" t="s">
        <v>23</v>
      </c>
      <c r="H56">
        <v>45000</v>
      </c>
      <c r="J56">
        <v>45000</v>
      </c>
      <c r="K56">
        <v>45500</v>
      </c>
      <c r="L56">
        <v>56500</v>
      </c>
      <c r="M56">
        <v>0</v>
      </c>
      <c r="N56">
        <v>116.251</v>
      </c>
      <c r="O56">
        <v>9.5574306999999997E-2</v>
      </c>
      <c r="P56">
        <v>14199.5</v>
      </c>
      <c r="Q56">
        <v>27.1</v>
      </c>
      <c r="R56">
        <v>2.16</v>
      </c>
      <c r="S56">
        <v>85.54</v>
      </c>
      <c r="T56">
        <v>4</v>
      </c>
      <c r="U56" s="1" t="s">
        <v>25</v>
      </c>
      <c r="V56">
        <v>0</v>
      </c>
    </row>
    <row r="57" spans="1:22" x14ac:dyDescent="0.3">
      <c r="A57" s="2">
        <v>43895</v>
      </c>
      <c r="B57">
        <v>44000</v>
      </c>
      <c r="C57">
        <v>64</v>
      </c>
      <c r="D57">
        <v>3</v>
      </c>
      <c r="E57" s="1" t="s">
        <v>22</v>
      </c>
      <c r="F57">
        <v>3</v>
      </c>
      <c r="G57" s="1" t="s">
        <v>23</v>
      </c>
      <c r="H57">
        <v>44857.142857142855</v>
      </c>
      <c r="J57">
        <v>45000</v>
      </c>
      <c r="K57">
        <v>45000</v>
      </c>
      <c r="L57">
        <v>56750</v>
      </c>
      <c r="M57">
        <v>-1000</v>
      </c>
      <c r="N57">
        <v>116.251</v>
      </c>
      <c r="O57">
        <v>9.5574306999999997E-2</v>
      </c>
      <c r="P57">
        <v>14256</v>
      </c>
      <c r="Q57">
        <v>27.18</v>
      </c>
      <c r="R57">
        <v>2.74</v>
      </c>
      <c r="S57">
        <v>84.2</v>
      </c>
      <c r="T57">
        <v>5</v>
      </c>
      <c r="U57" s="1" t="s">
        <v>30</v>
      </c>
      <c r="V57">
        <v>-2.2200000000000002</v>
      </c>
    </row>
    <row r="58" spans="1:22" x14ac:dyDescent="0.3">
      <c r="A58" s="2">
        <v>43896</v>
      </c>
      <c r="B58">
        <v>43500</v>
      </c>
      <c r="C58">
        <v>65</v>
      </c>
      <c r="D58">
        <v>3</v>
      </c>
      <c r="E58" s="1" t="s">
        <v>22</v>
      </c>
      <c r="F58">
        <v>4</v>
      </c>
      <c r="G58" s="1" t="s">
        <v>23</v>
      </c>
      <c r="H58">
        <v>44642.857142857145</v>
      </c>
      <c r="J58">
        <v>44000</v>
      </c>
      <c r="K58">
        <v>45000</v>
      </c>
      <c r="L58">
        <v>56500</v>
      </c>
      <c r="M58">
        <v>-500</v>
      </c>
      <c r="N58">
        <v>116.251</v>
      </c>
      <c r="O58">
        <v>9.5574306999999997E-2</v>
      </c>
      <c r="P58">
        <v>14309.599609999999</v>
      </c>
      <c r="Q58">
        <v>27.07</v>
      </c>
      <c r="R58">
        <v>5.98</v>
      </c>
      <c r="S58">
        <v>82.69</v>
      </c>
      <c r="T58">
        <v>6</v>
      </c>
      <c r="U58" s="1" t="s">
        <v>24</v>
      </c>
      <c r="V58">
        <v>-1.1399999999999999</v>
      </c>
    </row>
    <row r="59" spans="1:22" x14ac:dyDescent="0.3">
      <c r="A59" s="2">
        <v>43897</v>
      </c>
      <c r="B59">
        <v>43500</v>
      </c>
      <c r="C59">
        <v>66</v>
      </c>
      <c r="D59">
        <v>3</v>
      </c>
      <c r="E59" s="1" t="s">
        <v>22</v>
      </c>
      <c r="F59">
        <v>5</v>
      </c>
      <c r="G59" s="1" t="s">
        <v>23</v>
      </c>
      <c r="H59">
        <v>44428.571428571428</v>
      </c>
      <c r="J59">
        <v>43500</v>
      </c>
      <c r="K59">
        <v>45000</v>
      </c>
      <c r="L59">
        <v>56500</v>
      </c>
      <c r="M59">
        <v>0</v>
      </c>
      <c r="N59">
        <v>116.251</v>
      </c>
      <c r="O59">
        <v>9.5574306999999997E-2</v>
      </c>
      <c r="P59">
        <v>14309.599609999999</v>
      </c>
      <c r="Q59">
        <v>26.51</v>
      </c>
      <c r="R59">
        <v>12.49</v>
      </c>
      <c r="S59">
        <v>83.97</v>
      </c>
      <c r="T59">
        <v>7</v>
      </c>
      <c r="U59" s="1" t="s">
        <v>24</v>
      </c>
      <c r="V59">
        <v>-1.1399999999999999</v>
      </c>
    </row>
    <row r="60" spans="1:22" x14ac:dyDescent="0.3">
      <c r="A60" s="2">
        <v>43898</v>
      </c>
      <c r="B60">
        <v>43500</v>
      </c>
      <c r="C60">
        <v>67</v>
      </c>
      <c r="D60">
        <v>3</v>
      </c>
      <c r="E60" s="1" t="s">
        <v>22</v>
      </c>
      <c r="F60">
        <v>6</v>
      </c>
      <c r="G60" s="1" t="s">
        <v>23</v>
      </c>
      <c r="H60">
        <v>44214.285714285717</v>
      </c>
      <c r="J60">
        <v>43500</v>
      </c>
      <c r="K60">
        <v>45000</v>
      </c>
      <c r="L60">
        <v>57750</v>
      </c>
      <c r="M60">
        <v>0</v>
      </c>
      <c r="N60">
        <v>116.251</v>
      </c>
      <c r="O60">
        <v>9.5574306999999997E-2</v>
      </c>
      <c r="P60">
        <v>14309.599609999999</v>
      </c>
      <c r="Q60">
        <v>26.88</v>
      </c>
      <c r="R60">
        <v>0.82</v>
      </c>
      <c r="S60">
        <v>78.08</v>
      </c>
      <c r="T60">
        <v>8</v>
      </c>
      <c r="U60" s="1" t="s">
        <v>24</v>
      </c>
      <c r="V60">
        <v>-1.1399999999999999</v>
      </c>
    </row>
    <row r="61" spans="1:22" x14ac:dyDescent="0.3">
      <c r="A61" s="2">
        <v>43899</v>
      </c>
      <c r="B61">
        <v>43500</v>
      </c>
      <c r="C61">
        <v>68</v>
      </c>
      <c r="D61">
        <v>3</v>
      </c>
      <c r="E61" s="1" t="s">
        <v>22</v>
      </c>
      <c r="F61">
        <v>0</v>
      </c>
      <c r="G61" s="1" t="s">
        <v>23</v>
      </c>
      <c r="H61">
        <v>44000</v>
      </c>
      <c r="J61">
        <v>43500</v>
      </c>
      <c r="K61">
        <v>45000</v>
      </c>
      <c r="L61">
        <v>57750</v>
      </c>
      <c r="M61">
        <v>0</v>
      </c>
      <c r="N61">
        <v>116.251</v>
      </c>
      <c r="O61">
        <v>9.5574306999999997E-2</v>
      </c>
      <c r="P61">
        <v>14251.539059999999</v>
      </c>
      <c r="Q61">
        <v>27.1</v>
      </c>
      <c r="R61">
        <v>7.0000000000000007E-2</v>
      </c>
      <c r="S61">
        <v>78.55</v>
      </c>
      <c r="T61">
        <v>9</v>
      </c>
      <c r="U61" s="1" t="s">
        <v>25</v>
      </c>
      <c r="V61">
        <v>0</v>
      </c>
    </row>
    <row r="62" spans="1:22" x14ac:dyDescent="0.3">
      <c r="A62" s="2">
        <v>43900</v>
      </c>
      <c r="B62">
        <v>44500</v>
      </c>
      <c r="C62">
        <v>69</v>
      </c>
      <c r="D62">
        <v>3</v>
      </c>
      <c r="E62" s="1" t="s">
        <v>22</v>
      </c>
      <c r="F62">
        <v>1</v>
      </c>
      <c r="G62" s="1" t="s">
        <v>23</v>
      </c>
      <c r="H62">
        <v>43928.571428571428</v>
      </c>
      <c r="J62">
        <v>43500</v>
      </c>
      <c r="K62">
        <v>45000</v>
      </c>
      <c r="L62">
        <v>57750</v>
      </c>
      <c r="M62">
        <v>1000</v>
      </c>
      <c r="N62">
        <v>116.251</v>
      </c>
      <c r="O62">
        <v>9.5574306999999997E-2</v>
      </c>
      <c r="P62">
        <v>14094.818359999999</v>
      </c>
      <c r="Q62">
        <v>27.05</v>
      </c>
      <c r="R62">
        <v>0.13</v>
      </c>
      <c r="S62">
        <v>78.7</v>
      </c>
      <c r="T62">
        <v>10</v>
      </c>
      <c r="U62" s="1" t="s">
        <v>29</v>
      </c>
      <c r="V62">
        <v>2.2999999999999998</v>
      </c>
    </row>
    <row r="63" spans="1:22" x14ac:dyDescent="0.3">
      <c r="A63" s="2">
        <v>43901</v>
      </c>
      <c r="B63">
        <v>43500</v>
      </c>
      <c r="C63">
        <v>70</v>
      </c>
      <c r="D63">
        <v>3</v>
      </c>
      <c r="E63" s="1" t="s">
        <v>22</v>
      </c>
      <c r="F63">
        <v>2</v>
      </c>
      <c r="G63" s="1" t="s">
        <v>23</v>
      </c>
      <c r="H63">
        <v>43714.285714285717</v>
      </c>
      <c r="J63">
        <v>44500</v>
      </c>
      <c r="K63">
        <v>45000</v>
      </c>
      <c r="L63">
        <v>57500</v>
      </c>
      <c r="M63">
        <v>-1000</v>
      </c>
      <c r="N63">
        <v>116.251</v>
      </c>
      <c r="O63">
        <v>9.5574306999999997E-2</v>
      </c>
      <c r="P63">
        <v>14272.900390000001</v>
      </c>
      <c r="Q63">
        <v>27.15</v>
      </c>
      <c r="R63">
        <v>0.59</v>
      </c>
      <c r="S63">
        <v>82.33</v>
      </c>
      <c r="T63">
        <v>11</v>
      </c>
      <c r="U63" s="1" t="s">
        <v>30</v>
      </c>
      <c r="V63">
        <v>-2.25</v>
      </c>
    </row>
    <row r="64" spans="1:22" x14ac:dyDescent="0.3">
      <c r="A64" s="2">
        <v>43902</v>
      </c>
      <c r="B64">
        <v>44000</v>
      </c>
      <c r="C64">
        <v>71</v>
      </c>
      <c r="D64">
        <v>3</v>
      </c>
      <c r="E64" s="1" t="s">
        <v>22</v>
      </c>
      <c r="F64">
        <v>3</v>
      </c>
      <c r="G64" s="1" t="s">
        <v>23</v>
      </c>
      <c r="H64">
        <v>43714.285714285717</v>
      </c>
      <c r="J64">
        <v>43500</v>
      </c>
      <c r="K64">
        <v>44000</v>
      </c>
      <c r="L64">
        <v>57500</v>
      </c>
      <c r="M64">
        <v>500</v>
      </c>
      <c r="N64">
        <v>116.251</v>
      </c>
      <c r="O64">
        <v>9.5574306999999997E-2</v>
      </c>
      <c r="P64">
        <v>14526</v>
      </c>
      <c r="Q64">
        <v>27.28</v>
      </c>
      <c r="R64">
        <v>2.67</v>
      </c>
      <c r="S64">
        <v>81.400000000000006</v>
      </c>
      <c r="T64">
        <v>12</v>
      </c>
      <c r="U64" s="1" t="s">
        <v>26</v>
      </c>
      <c r="V64">
        <v>1.1499999999999999</v>
      </c>
    </row>
    <row r="65" spans="1:22" x14ac:dyDescent="0.3">
      <c r="A65" s="2">
        <v>43903</v>
      </c>
      <c r="B65">
        <v>42750</v>
      </c>
      <c r="C65">
        <v>72</v>
      </c>
      <c r="D65">
        <v>3</v>
      </c>
      <c r="E65" s="1" t="s">
        <v>22</v>
      </c>
      <c r="F65">
        <v>4</v>
      </c>
      <c r="G65" s="1" t="s">
        <v>23</v>
      </c>
      <c r="H65">
        <v>43607.142857142855</v>
      </c>
      <c r="J65">
        <v>44000</v>
      </c>
      <c r="K65">
        <v>43500</v>
      </c>
      <c r="L65">
        <v>56500</v>
      </c>
      <c r="M65">
        <v>-1250</v>
      </c>
      <c r="N65">
        <v>116.251</v>
      </c>
      <c r="O65">
        <v>9.5574306999999997E-2</v>
      </c>
      <c r="P65">
        <v>14850</v>
      </c>
      <c r="Q65">
        <v>27.54</v>
      </c>
      <c r="R65">
        <v>0.06</v>
      </c>
      <c r="S65">
        <v>70.52</v>
      </c>
      <c r="T65">
        <v>13</v>
      </c>
      <c r="U65" s="1" t="s">
        <v>40</v>
      </c>
      <c r="V65">
        <v>-2.84</v>
      </c>
    </row>
    <row r="66" spans="1:22" x14ac:dyDescent="0.3">
      <c r="A66" s="2">
        <v>43904</v>
      </c>
      <c r="B66">
        <v>42750</v>
      </c>
      <c r="C66">
        <v>73</v>
      </c>
      <c r="D66">
        <v>3</v>
      </c>
      <c r="E66" s="1" t="s">
        <v>22</v>
      </c>
      <c r="F66">
        <v>5</v>
      </c>
      <c r="G66" s="1" t="s">
        <v>23</v>
      </c>
      <c r="H66">
        <v>43500</v>
      </c>
      <c r="J66">
        <v>42750</v>
      </c>
      <c r="K66">
        <v>43500</v>
      </c>
      <c r="L66">
        <v>55500</v>
      </c>
      <c r="M66">
        <v>0</v>
      </c>
      <c r="N66">
        <v>116.251</v>
      </c>
      <c r="O66">
        <v>9.5574306999999997E-2</v>
      </c>
      <c r="P66">
        <v>14850</v>
      </c>
      <c r="Q66">
        <v>26.87</v>
      </c>
      <c r="R66">
        <v>0.22</v>
      </c>
      <c r="S66">
        <v>79.44</v>
      </c>
      <c r="T66">
        <v>14</v>
      </c>
      <c r="U66" s="1" t="s">
        <v>40</v>
      </c>
      <c r="V66">
        <v>-2.84</v>
      </c>
    </row>
    <row r="67" spans="1:22" x14ac:dyDescent="0.3">
      <c r="A67" s="2">
        <v>43905</v>
      </c>
      <c r="B67">
        <v>42750</v>
      </c>
      <c r="C67">
        <v>74</v>
      </c>
      <c r="D67">
        <v>3</v>
      </c>
      <c r="E67" s="1" t="s">
        <v>22</v>
      </c>
      <c r="F67">
        <v>6</v>
      </c>
      <c r="G67" s="1" t="s">
        <v>23</v>
      </c>
      <c r="H67">
        <v>43392.857142857145</v>
      </c>
      <c r="J67">
        <v>42750</v>
      </c>
      <c r="K67">
        <v>43500</v>
      </c>
      <c r="L67">
        <v>55500</v>
      </c>
      <c r="M67">
        <v>0</v>
      </c>
      <c r="N67">
        <v>116.251</v>
      </c>
      <c r="O67">
        <v>9.5574306999999997E-2</v>
      </c>
      <c r="P67">
        <v>14850</v>
      </c>
      <c r="Q67">
        <v>26.67</v>
      </c>
      <c r="R67">
        <v>0.08</v>
      </c>
      <c r="S67">
        <v>79.98</v>
      </c>
      <c r="T67">
        <v>15</v>
      </c>
      <c r="U67" s="1" t="s">
        <v>40</v>
      </c>
      <c r="V67">
        <v>-2.84</v>
      </c>
    </row>
    <row r="68" spans="1:22" x14ac:dyDescent="0.3">
      <c r="A68" s="2">
        <v>43906</v>
      </c>
      <c r="B68">
        <v>44500</v>
      </c>
      <c r="C68">
        <v>75</v>
      </c>
      <c r="D68">
        <v>3</v>
      </c>
      <c r="E68" s="1" t="s">
        <v>22</v>
      </c>
      <c r="F68">
        <v>0</v>
      </c>
      <c r="G68" s="1" t="s">
        <v>23</v>
      </c>
      <c r="H68">
        <v>43535.714285714283</v>
      </c>
      <c r="J68">
        <v>42750</v>
      </c>
      <c r="K68">
        <v>43500</v>
      </c>
      <c r="M68">
        <v>1750</v>
      </c>
      <c r="N68">
        <v>116.251</v>
      </c>
      <c r="O68">
        <v>9.5574306999999997E-2</v>
      </c>
      <c r="P68">
        <v>14635.02246</v>
      </c>
      <c r="Q68">
        <v>27</v>
      </c>
      <c r="R68">
        <v>0.67</v>
      </c>
      <c r="S68">
        <v>78.62</v>
      </c>
      <c r="T68">
        <v>16</v>
      </c>
      <c r="U68" s="1" t="s">
        <v>41</v>
      </c>
      <c r="V68">
        <v>4.09</v>
      </c>
    </row>
    <row r="69" spans="1:22" x14ac:dyDescent="0.3">
      <c r="A69" s="2">
        <v>43907</v>
      </c>
      <c r="B69">
        <v>44500</v>
      </c>
      <c r="C69">
        <v>76</v>
      </c>
      <c r="D69">
        <v>3</v>
      </c>
      <c r="E69" s="1" t="s">
        <v>22</v>
      </c>
      <c r="F69">
        <v>1</v>
      </c>
      <c r="G69" s="1" t="s">
        <v>23</v>
      </c>
      <c r="H69">
        <v>43535.714285714283</v>
      </c>
      <c r="J69">
        <v>44500</v>
      </c>
      <c r="K69">
        <v>44500</v>
      </c>
      <c r="M69">
        <v>0</v>
      </c>
      <c r="N69">
        <v>116.251</v>
      </c>
      <c r="O69">
        <v>9.5574306999999997E-2</v>
      </c>
      <c r="P69">
        <v>15192</v>
      </c>
      <c r="Q69">
        <v>27.12</v>
      </c>
      <c r="R69">
        <v>1.91</v>
      </c>
      <c r="S69">
        <v>80.36</v>
      </c>
      <c r="T69">
        <v>17</v>
      </c>
      <c r="U69" s="1" t="s">
        <v>25</v>
      </c>
      <c r="V69">
        <v>0</v>
      </c>
    </row>
    <row r="70" spans="1:22" x14ac:dyDescent="0.3">
      <c r="A70" s="2">
        <v>43908</v>
      </c>
      <c r="B70">
        <v>45500</v>
      </c>
      <c r="C70">
        <v>77</v>
      </c>
      <c r="D70">
        <v>3</v>
      </c>
      <c r="E70" s="1" t="s">
        <v>22</v>
      </c>
      <c r="F70">
        <v>2</v>
      </c>
      <c r="G70" s="1" t="s">
        <v>23</v>
      </c>
      <c r="H70">
        <v>43821.428571428572</v>
      </c>
      <c r="J70">
        <v>44500</v>
      </c>
      <c r="K70">
        <v>43500</v>
      </c>
      <c r="L70">
        <v>54000</v>
      </c>
      <c r="M70">
        <v>1000</v>
      </c>
      <c r="N70">
        <v>116.251</v>
      </c>
      <c r="O70">
        <v>9.5574306999999997E-2</v>
      </c>
      <c r="P70">
        <v>14955.78809</v>
      </c>
      <c r="Q70">
        <v>26.92</v>
      </c>
      <c r="R70">
        <v>2.33</v>
      </c>
      <c r="S70">
        <v>80.739999999999995</v>
      </c>
      <c r="T70">
        <v>18</v>
      </c>
      <c r="U70" s="1" t="s">
        <v>29</v>
      </c>
      <c r="V70">
        <v>2.25</v>
      </c>
    </row>
    <row r="71" spans="1:22" x14ac:dyDescent="0.3">
      <c r="A71" s="2">
        <v>43909</v>
      </c>
      <c r="B71">
        <v>45250</v>
      </c>
      <c r="C71">
        <v>78</v>
      </c>
      <c r="D71">
        <v>3</v>
      </c>
      <c r="E71" s="1" t="s">
        <v>22</v>
      </c>
      <c r="F71">
        <v>3</v>
      </c>
      <c r="G71" s="1" t="s">
        <v>23</v>
      </c>
      <c r="H71">
        <v>44000</v>
      </c>
      <c r="J71">
        <v>45500</v>
      </c>
      <c r="K71">
        <v>44000</v>
      </c>
      <c r="L71">
        <v>54000</v>
      </c>
      <c r="M71">
        <v>-250</v>
      </c>
      <c r="N71">
        <v>116.251</v>
      </c>
      <c r="O71">
        <v>9.5574306999999997E-2</v>
      </c>
      <c r="P71">
        <v>15474.5</v>
      </c>
      <c r="Q71">
        <v>26.97</v>
      </c>
      <c r="R71">
        <v>12.67</v>
      </c>
      <c r="S71">
        <v>83.96</v>
      </c>
      <c r="T71">
        <v>19</v>
      </c>
      <c r="U71" s="1" t="s">
        <v>35</v>
      </c>
      <c r="V71">
        <v>-0.55000000000000004</v>
      </c>
    </row>
    <row r="72" spans="1:22" x14ac:dyDescent="0.3">
      <c r="A72" s="2">
        <v>43910</v>
      </c>
      <c r="B72">
        <v>45250</v>
      </c>
      <c r="C72">
        <v>79</v>
      </c>
      <c r="D72">
        <v>3</v>
      </c>
      <c r="E72" s="1" t="s">
        <v>22</v>
      </c>
      <c r="F72">
        <v>4</v>
      </c>
      <c r="G72" s="1" t="s">
        <v>23</v>
      </c>
      <c r="H72">
        <v>44357.142857142855</v>
      </c>
      <c r="J72">
        <v>45250</v>
      </c>
      <c r="K72">
        <v>42750</v>
      </c>
      <c r="L72">
        <v>54000</v>
      </c>
      <c r="M72">
        <v>0</v>
      </c>
      <c r="N72">
        <v>116.251</v>
      </c>
      <c r="O72">
        <v>9.5574306999999997E-2</v>
      </c>
      <c r="P72">
        <v>15908</v>
      </c>
      <c r="Q72">
        <v>27.09</v>
      </c>
      <c r="R72">
        <v>5.12</v>
      </c>
      <c r="S72">
        <v>83.45</v>
      </c>
      <c r="T72">
        <v>20</v>
      </c>
      <c r="U72" s="1" t="s">
        <v>25</v>
      </c>
      <c r="V72">
        <v>0</v>
      </c>
    </row>
    <row r="73" spans="1:22" x14ac:dyDescent="0.3">
      <c r="A73" s="2">
        <v>43911</v>
      </c>
      <c r="B73">
        <v>45250</v>
      </c>
      <c r="C73">
        <v>80</v>
      </c>
      <c r="D73">
        <v>3</v>
      </c>
      <c r="E73" s="1" t="s">
        <v>22</v>
      </c>
      <c r="F73">
        <v>5</v>
      </c>
      <c r="G73" s="1" t="s">
        <v>23</v>
      </c>
      <c r="H73">
        <v>44714.285714285717</v>
      </c>
      <c r="J73">
        <v>45250</v>
      </c>
      <c r="K73">
        <v>42750</v>
      </c>
      <c r="L73">
        <v>51750</v>
      </c>
      <c r="M73">
        <v>0</v>
      </c>
      <c r="N73">
        <v>116.251</v>
      </c>
      <c r="O73">
        <v>9.5574306999999997E-2</v>
      </c>
      <c r="P73">
        <v>15908</v>
      </c>
      <c r="Q73">
        <v>27.13</v>
      </c>
      <c r="R73">
        <v>4.55</v>
      </c>
      <c r="S73">
        <v>83.97</v>
      </c>
      <c r="T73">
        <v>21</v>
      </c>
      <c r="U73" s="1" t="s">
        <v>25</v>
      </c>
      <c r="V73">
        <v>0</v>
      </c>
    </row>
    <row r="74" spans="1:22" x14ac:dyDescent="0.3">
      <c r="A74" s="2">
        <v>43912</v>
      </c>
      <c r="B74">
        <v>45250</v>
      </c>
      <c r="C74">
        <v>81</v>
      </c>
      <c r="D74">
        <v>3</v>
      </c>
      <c r="E74" s="1" t="s">
        <v>22</v>
      </c>
      <c r="F74">
        <v>6</v>
      </c>
      <c r="G74" s="1" t="s">
        <v>23</v>
      </c>
      <c r="H74">
        <v>45071.428571428572</v>
      </c>
      <c r="J74">
        <v>45250</v>
      </c>
      <c r="K74">
        <v>42750</v>
      </c>
      <c r="L74">
        <v>52250</v>
      </c>
      <c r="M74">
        <v>0</v>
      </c>
      <c r="N74">
        <v>116.251</v>
      </c>
      <c r="O74">
        <v>9.5574306999999997E-2</v>
      </c>
      <c r="P74">
        <v>15908</v>
      </c>
      <c r="Q74">
        <v>26.92</v>
      </c>
      <c r="R74">
        <v>7</v>
      </c>
      <c r="S74">
        <v>81.09</v>
      </c>
      <c r="T74">
        <v>22</v>
      </c>
      <c r="U74" s="1" t="s">
        <v>25</v>
      </c>
      <c r="V74">
        <v>0</v>
      </c>
    </row>
    <row r="75" spans="1:22" x14ac:dyDescent="0.3">
      <c r="A75" s="2">
        <v>43913</v>
      </c>
      <c r="B75">
        <v>44500</v>
      </c>
      <c r="C75">
        <v>82</v>
      </c>
      <c r="D75">
        <v>3</v>
      </c>
      <c r="E75" s="1" t="s">
        <v>22</v>
      </c>
      <c r="F75">
        <v>0</v>
      </c>
      <c r="G75" s="1" t="s">
        <v>23</v>
      </c>
      <c r="H75">
        <v>45071.428571428572</v>
      </c>
      <c r="J75">
        <v>45250</v>
      </c>
      <c r="K75">
        <v>44500</v>
      </c>
      <c r="M75">
        <v>-750</v>
      </c>
      <c r="N75">
        <v>116.251</v>
      </c>
      <c r="O75">
        <v>9.5574306999999997E-2</v>
      </c>
      <c r="P75">
        <v>15766.247069999999</v>
      </c>
      <c r="Q75">
        <v>27.16</v>
      </c>
      <c r="R75">
        <v>2.86</v>
      </c>
      <c r="S75">
        <v>74.5</v>
      </c>
      <c r="T75">
        <v>23</v>
      </c>
      <c r="U75" s="1" t="s">
        <v>42</v>
      </c>
      <c r="V75">
        <v>-1.66</v>
      </c>
    </row>
    <row r="76" spans="1:22" x14ac:dyDescent="0.3">
      <c r="A76" s="2">
        <v>43914</v>
      </c>
      <c r="B76">
        <v>44500</v>
      </c>
      <c r="C76">
        <v>83</v>
      </c>
      <c r="D76">
        <v>3</v>
      </c>
      <c r="E76" s="1" t="s">
        <v>22</v>
      </c>
      <c r="F76">
        <v>1</v>
      </c>
      <c r="G76" s="1" t="s">
        <v>23</v>
      </c>
      <c r="H76">
        <v>45071.428571428572</v>
      </c>
      <c r="I76">
        <v>44625</v>
      </c>
      <c r="J76">
        <v>44500</v>
      </c>
      <c r="K76">
        <v>44500</v>
      </c>
      <c r="M76">
        <v>0</v>
      </c>
      <c r="N76">
        <v>116.251</v>
      </c>
      <c r="O76">
        <v>9.5574306999999997E-2</v>
      </c>
      <c r="P76">
        <v>16504.800780000001</v>
      </c>
      <c r="Q76">
        <v>26.74</v>
      </c>
      <c r="R76">
        <v>4.88</v>
      </c>
      <c r="S76">
        <v>81.8</v>
      </c>
      <c r="T76">
        <v>24</v>
      </c>
      <c r="U76" s="1" t="s">
        <v>25</v>
      </c>
      <c r="V76">
        <v>0</v>
      </c>
    </row>
    <row r="77" spans="1:22" x14ac:dyDescent="0.3">
      <c r="A77" s="2">
        <v>43916</v>
      </c>
      <c r="B77">
        <v>45750</v>
      </c>
      <c r="C77">
        <v>85</v>
      </c>
      <c r="D77">
        <v>3</v>
      </c>
      <c r="E77" s="1" t="s">
        <v>22</v>
      </c>
      <c r="F77">
        <v>3</v>
      </c>
      <c r="G77" s="1" t="s">
        <v>23</v>
      </c>
      <c r="K77">
        <v>45250</v>
      </c>
      <c r="L77">
        <v>47000</v>
      </c>
      <c r="N77">
        <v>116.251</v>
      </c>
      <c r="O77">
        <v>9.5574306999999997E-2</v>
      </c>
      <c r="P77">
        <v>16447.720700000002</v>
      </c>
      <c r="Q77">
        <v>27.06</v>
      </c>
      <c r="R77">
        <v>3.39</v>
      </c>
      <c r="S77">
        <v>84.02</v>
      </c>
      <c r="T77">
        <v>26</v>
      </c>
      <c r="U77" s="1"/>
      <c r="V77">
        <v>0</v>
      </c>
    </row>
    <row r="78" spans="1:22" x14ac:dyDescent="0.3">
      <c r="A78" s="2">
        <v>43917</v>
      </c>
      <c r="B78">
        <v>45750</v>
      </c>
      <c r="C78">
        <v>86</v>
      </c>
      <c r="D78">
        <v>3</v>
      </c>
      <c r="E78" s="1" t="s">
        <v>22</v>
      </c>
      <c r="F78">
        <v>4</v>
      </c>
      <c r="G78" s="1" t="s">
        <v>23</v>
      </c>
      <c r="J78">
        <v>45750</v>
      </c>
      <c r="K78">
        <v>45250</v>
      </c>
      <c r="L78">
        <v>45500</v>
      </c>
      <c r="M78">
        <v>0</v>
      </c>
      <c r="N78">
        <v>116.251</v>
      </c>
      <c r="O78">
        <v>9.5574306999999997E-2</v>
      </c>
      <c r="P78">
        <v>16218.63672</v>
      </c>
      <c r="Q78">
        <v>27.06</v>
      </c>
      <c r="R78">
        <v>4.08</v>
      </c>
      <c r="S78">
        <v>86.06</v>
      </c>
      <c r="T78">
        <v>27</v>
      </c>
      <c r="U78" s="1" t="s">
        <v>25</v>
      </c>
      <c r="V78">
        <v>0</v>
      </c>
    </row>
    <row r="79" spans="1:22" x14ac:dyDescent="0.3">
      <c r="A79" s="2">
        <v>43918</v>
      </c>
      <c r="B79">
        <v>45750</v>
      </c>
      <c r="C79">
        <v>87</v>
      </c>
      <c r="D79">
        <v>3</v>
      </c>
      <c r="E79" s="1" t="s">
        <v>22</v>
      </c>
      <c r="F79">
        <v>5</v>
      </c>
      <c r="G79" s="1" t="s">
        <v>23</v>
      </c>
      <c r="J79">
        <v>45750</v>
      </c>
      <c r="K79">
        <v>45250</v>
      </c>
      <c r="L79">
        <v>45000</v>
      </c>
      <c r="M79">
        <v>0</v>
      </c>
      <c r="N79">
        <v>116.251</v>
      </c>
      <c r="O79">
        <v>9.5574306999999997E-2</v>
      </c>
      <c r="P79">
        <v>16218.63672</v>
      </c>
      <c r="Q79">
        <v>26.98</v>
      </c>
      <c r="R79">
        <v>10.51</v>
      </c>
      <c r="S79">
        <v>85.36</v>
      </c>
      <c r="T79">
        <v>28</v>
      </c>
      <c r="U79" s="1" t="s">
        <v>25</v>
      </c>
      <c r="V79">
        <v>0</v>
      </c>
    </row>
    <row r="80" spans="1:22" x14ac:dyDescent="0.3">
      <c r="A80" s="2">
        <v>43919</v>
      </c>
      <c r="B80">
        <v>45750</v>
      </c>
      <c r="C80">
        <v>88</v>
      </c>
      <c r="D80">
        <v>3</v>
      </c>
      <c r="E80" s="1" t="s">
        <v>22</v>
      </c>
      <c r="F80">
        <v>6</v>
      </c>
      <c r="G80" s="1" t="s">
        <v>23</v>
      </c>
      <c r="J80">
        <v>45750</v>
      </c>
      <c r="K80">
        <v>45250</v>
      </c>
      <c r="L80">
        <v>45000</v>
      </c>
      <c r="M80">
        <v>0</v>
      </c>
      <c r="N80">
        <v>116.251</v>
      </c>
      <c r="O80">
        <v>9.5574306999999997E-2</v>
      </c>
      <c r="P80">
        <v>16218.63672</v>
      </c>
      <c r="Q80">
        <v>26.5</v>
      </c>
      <c r="R80">
        <v>35.75</v>
      </c>
      <c r="S80">
        <v>85.93</v>
      </c>
      <c r="T80">
        <v>29</v>
      </c>
      <c r="U80" s="1" t="s">
        <v>25</v>
      </c>
      <c r="V80">
        <v>0</v>
      </c>
    </row>
    <row r="81" spans="1:22" x14ac:dyDescent="0.3">
      <c r="A81" s="2">
        <v>43920</v>
      </c>
      <c r="B81">
        <v>47000</v>
      </c>
      <c r="C81">
        <v>89</v>
      </c>
      <c r="D81">
        <v>3</v>
      </c>
      <c r="E81" s="1" t="s">
        <v>22</v>
      </c>
      <c r="F81">
        <v>0</v>
      </c>
      <c r="G81" s="1" t="s">
        <v>23</v>
      </c>
      <c r="J81">
        <v>45750</v>
      </c>
      <c r="K81">
        <v>44500</v>
      </c>
      <c r="L81">
        <v>45000</v>
      </c>
      <c r="M81">
        <v>1250</v>
      </c>
      <c r="N81">
        <v>116.251</v>
      </c>
      <c r="O81">
        <v>9.5574306999999997E-2</v>
      </c>
      <c r="P81">
        <v>16005.33496</v>
      </c>
      <c r="Q81">
        <v>26.68</v>
      </c>
      <c r="R81">
        <v>28.58</v>
      </c>
      <c r="S81">
        <v>85.74</v>
      </c>
      <c r="T81">
        <v>30</v>
      </c>
      <c r="U81" s="1"/>
      <c r="V81">
        <v>0</v>
      </c>
    </row>
    <row r="82" spans="1:22" x14ac:dyDescent="0.3">
      <c r="A82" s="2">
        <v>43921</v>
      </c>
      <c r="B82">
        <v>46500</v>
      </c>
      <c r="C82">
        <v>90</v>
      </c>
      <c r="D82">
        <v>3</v>
      </c>
      <c r="E82" s="1" t="s">
        <v>22</v>
      </c>
      <c r="F82">
        <v>1</v>
      </c>
      <c r="G82" s="1" t="s">
        <v>23</v>
      </c>
      <c r="J82">
        <v>47000</v>
      </c>
      <c r="K82">
        <v>44500</v>
      </c>
      <c r="L82">
        <v>45000</v>
      </c>
      <c r="M82">
        <v>-500</v>
      </c>
      <c r="N82">
        <v>116.251</v>
      </c>
      <c r="O82">
        <v>9.5574306999999997E-2</v>
      </c>
      <c r="P82">
        <v>16346.96191</v>
      </c>
      <c r="Q82">
        <v>26.74</v>
      </c>
      <c r="R82">
        <v>22.43</v>
      </c>
      <c r="S82">
        <v>84.42</v>
      </c>
      <c r="T82">
        <v>31</v>
      </c>
      <c r="U82" s="1" t="s">
        <v>24</v>
      </c>
      <c r="V82">
        <v>-1.06</v>
      </c>
    </row>
    <row r="83" spans="1:22" x14ac:dyDescent="0.3">
      <c r="A83" s="2">
        <v>43922</v>
      </c>
      <c r="B83">
        <v>46500</v>
      </c>
      <c r="C83">
        <v>91</v>
      </c>
      <c r="D83">
        <v>4</v>
      </c>
      <c r="E83" s="1" t="s">
        <v>43</v>
      </c>
      <c r="F83">
        <v>2</v>
      </c>
      <c r="G83" s="1" t="s">
        <v>23</v>
      </c>
      <c r="H83">
        <v>46142.857142857145</v>
      </c>
      <c r="J83">
        <v>46500</v>
      </c>
      <c r="L83">
        <v>45000</v>
      </c>
      <c r="M83">
        <v>0</v>
      </c>
      <c r="N83">
        <v>116.3398</v>
      </c>
      <c r="O83">
        <v>7.638644E-2</v>
      </c>
      <c r="P83">
        <v>16277.943359999999</v>
      </c>
      <c r="Q83">
        <v>26.71</v>
      </c>
      <c r="R83">
        <v>8.34</v>
      </c>
      <c r="S83">
        <v>83.3</v>
      </c>
      <c r="T83">
        <v>1</v>
      </c>
      <c r="U83" s="1" t="s">
        <v>25</v>
      </c>
      <c r="V83">
        <v>0</v>
      </c>
    </row>
    <row r="84" spans="1:22" x14ac:dyDescent="0.3">
      <c r="A84" s="2">
        <v>43923</v>
      </c>
      <c r="B84">
        <v>45000</v>
      </c>
      <c r="C84">
        <v>92</v>
      </c>
      <c r="D84">
        <v>4</v>
      </c>
      <c r="E84" s="1" t="s">
        <v>43</v>
      </c>
      <c r="F84">
        <v>3</v>
      </c>
      <c r="G84" s="1" t="s">
        <v>23</v>
      </c>
      <c r="H84">
        <v>46035.714285714283</v>
      </c>
      <c r="J84">
        <v>46500</v>
      </c>
      <c r="K84">
        <v>45750</v>
      </c>
      <c r="L84">
        <v>45000</v>
      </c>
      <c r="M84">
        <v>-1500</v>
      </c>
      <c r="N84">
        <v>116.3398</v>
      </c>
      <c r="O84">
        <v>7.638644E-2</v>
      </c>
      <c r="P84">
        <v>16412.808590000001</v>
      </c>
      <c r="Q84">
        <v>26.9</v>
      </c>
      <c r="R84">
        <v>0.59</v>
      </c>
      <c r="S84">
        <v>81.680000000000007</v>
      </c>
      <c r="T84">
        <v>2</v>
      </c>
      <c r="U84" s="1" t="s">
        <v>37</v>
      </c>
      <c r="V84">
        <v>-3.23</v>
      </c>
    </row>
    <row r="85" spans="1:22" x14ac:dyDescent="0.3">
      <c r="A85" s="2">
        <v>43924</v>
      </c>
      <c r="B85">
        <v>45000</v>
      </c>
      <c r="C85">
        <v>93</v>
      </c>
      <c r="D85">
        <v>4</v>
      </c>
      <c r="E85" s="1" t="s">
        <v>43</v>
      </c>
      <c r="F85">
        <v>4</v>
      </c>
      <c r="G85" s="1" t="s">
        <v>23</v>
      </c>
      <c r="H85">
        <v>45928.571428571428</v>
      </c>
      <c r="J85">
        <v>45000</v>
      </c>
      <c r="K85">
        <v>45750</v>
      </c>
      <c r="L85">
        <v>45000</v>
      </c>
      <c r="M85">
        <v>0</v>
      </c>
      <c r="N85">
        <v>116.3398</v>
      </c>
      <c r="O85">
        <v>7.638644E-2</v>
      </c>
      <c r="P85">
        <v>16441.26367</v>
      </c>
      <c r="Q85">
        <v>27.05</v>
      </c>
      <c r="R85">
        <v>1.23</v>
      </c>
      <c r="S85">
        <v>82.96</v>
      </c>
      <c r="T85">
        <v>3</v>
      </c>
      <c r="U85" s="1" t="s">
        <v>25</v>
      </c>
      <c r="V85">
        <v>0</v>
      </c>
    </row>
    <row r="86" spans="1:22" x14ac:dyDescent="0.3">
      <c r="A86" s="2">
        <v>43925</v>
      </c>
      <c r="B86">
        <v>45000</v>
      </c>
      <c r="C86">
        <v>94</v>
      </c>
      <c r="D86">
        <v>4</v>
      </c>
      <c r="E86" s="1" t="s">
        <v>43</v>
      </c>
      <c r="F86">
        <v>5</v>
      </c>
      <c r="G86" s="1" t="s">
        <v>23</v>
      </c>
      <c r="H86">
        <v>45821.428571428572</v>
      </c>
      <c r="J86">
        <v>45000</v>
      </c>
      <c r="K86">
        <v>45750</v>
      </c>
      <c r="L86">
        <v>44000</v>
      </c>
      <c r="M86">
        <v>0</v>
      </c>
      <c r="N86">
        <v>116.3398</v>
      </c>
      <c r="O86">
        <v>7.638644E-2</v>
      </c>
      <c r="P86">
        <v>16441.26367</v>
      </c>
      <c r="Q86">
        <v>26.94</v>
      </c>
      <c r="R86">
        <v>8.49</v>
      </c>
      <c r="S86">
        <v>83.53</v>
      </c>
      <c r="T86">
        <v>4</v>
      </c>
      <c r="U86" s="1" t="s">
        <v>25</v>
      </c>
      <c r="V86">
        <v>0</v>
      </c>
    </row>
    <row r="87" spans="1:22" x14ac:dyDescent="0.3">
      <c r="A87" s="2">
        <v>43927</v>
      </c>
      <c r="B87">
        <v>44250</v>
      </c>
      <c r="C87">
        <v>96</v>
      </c>
      <c r="D87">
        <v>4</v>
      </c>
      <c r="E87" s="1" t="s">
        <v>43</v>
      </c>
      <c r="F87">
        <v>0</v>
      </c>
      <c r="G87" s="1" t="s">
        <v>23</v>
      </c>
      <c r="K87">
        <v>47000</v>
      </c>
      <c r="L87">
        <v>43500</v>
      </c>
      <c r="N87">
        <v>116.3398</v>
      </c>
      <c r="O87">
        <v>7.638644E-2</v>
      </c>
      <c r="P87">
        <v>16418</v>
      </c>
      <c r="Q87">
        <v>27.15</v>
      </c>
      <c r="R87">
        <v>1.66</v>
      </c>
      <c r="S87">
        <v>83.43</v>
      </c>
      <c r="T87">
        <v>6</v>
      </c>
      <c r="U87" s="1"/>
      <c r="V87">
        <v>0</v>
      </c>
    </row>
    <row r="88" spans="1:22" x14ac:dyDescent="0.3">
      <c r="A88" s="2">
        <v>43928</v>
      </c>
      <c r="B88">
        <v>44000</v>
      </c>
      <c r="C88">
        <v>97</v>
      </c>
      <c r="D88">
        <v>4</v>
      </c>
      <c r="E88" s="1" t="s">
        <v>43</v>
      </c>
      <c r="F88">
        <v>1</v>
      </c>
      <c r="G88" s="1" t="s">
        <v>23</v>
      </c>
      <c r="J88">
        <v>44250</v>
      </c>
      <c r="K88">
        <v>46500</v>
      </c>
      <c r="L88">
        <v>43500</v>
      </c>
      <c r="M88">
        <v>-250</v>
      </c>
      <c r="N88">
        <v>116.3398</v>
      </c>
      <c r="O88">
        <v>7.638644E-2</v>
      </c>
      <c r="P88">
        <v>16364.648440000001</v>
      </c>
      <c r="Q88">
        <v>27.61</v>
      </c>
      <c r="R88">
        <v>0.88</v>
      </c>
      <c r="S88">
        <v>79.41</v>
      </c>
      <c r="T88">
        <v>7</v>
      </c>
      <c r="U88" s="1" t="s">
        <v>35</v>
      </c>
      <c r="V88">
        <v>-0.56000000000000005</v>
      </c>
    </row>
    <row r="89" spans="1:22" x14ac:dyDescent="0.3">
      <c r="A89" s="2">
        <v>43929</v>
      </c>
      <c r="B89">
        <v>44000</v>
      </c>
      <c r="C89">
        <v>98</v>
      </c>
      <c r="D89">
        <v>4</v>
      </c>
      <c r="E89" s="1" t="s">
        <v>43</v>
      </c>
      <c r="F89">
        <v>2</v>
      </c>
      <c r="G89" s="1" t="s">
        <v>23</v>
      </c>
      <c r="J89">
        <v>44000</v>
      </c>
      <c r="K89">
        <v>46500</v>
      </c>
      <c r="L89">
        <v>43500</v>
      </c>
      <c r="M89">
        <v>0</v>
      </c>
      <c r="N89">
        <v>116.3398</v>
      </c>
      <c r="O89">
        <v>7.638644E-2</v>
      </c>
      <c r="P89">
        <v>16225</v>
      </c>
      <c r="Q89">
        <v>27.34</v>
      </c>
      <c r="R89">
        <v>0.16</v>
      </c>
      <c r="S89">
        <v>77.150000000000006</v>
      </c>
      <c r="T89">
        <v>8</v>
      </c>
      <c r="U89" s="1" t="s">
        <v>25</v>
      </c>
      <c r="V89">
        <v>0</v>
      </c>
    </row>
    <row r="90" spans="1:22" x14ac:dyDescent="0.3">
      <c r="A90" s="2">
        <v>43930</v>
      </c>
      <c r="B90">
        <v>44000</v>
      </c>
      <c r="C90">
        <v>99</v>
      </c>
      <c r="D90">
        <v>4</v>
      </c>
      <c r="E90" s="1" t="s">
        <v>43</v>
      </c>
      <c r="F90">
        <v>3</v>
      </c>
      <c r="G90" s="1" t="s">
        <v>23</v>
      </c>
      <c r="J90">
        <v>44000</v>
      </c>
      <c r="K90">
        <v>45000</v>
      </c>
      <c r="L90">
        <v>44500</v>
      </c>
      <c r="M90">
        <v>0</v>
      </c>
      <c r="N90">
        <v>116.3398</v>
      </c>
      <c r="O90">
        <v>7.638644E-2</v>
      </c>
      <c r="P90">
        <v>16159.37695</v>
      </c>
      <c r="Q90">
        <v>27.21</v>
      </c>
      <c r="R90">
        <v>0.02</v>
      </c>
      <c r="S90">
        <v>77.180000000000007</v>
      </c>
      <c r="T90">
        <v>9</v>
      </c>
      <c r="U90" s="1" t="s">
        <v>25</v>
      </c>
      <c r="V90">
        <v>0</v>
      </c>
    </row>
    <row r="91" spans="1:22" x14ac:dyDescent="0.3">
      <c r="A91" s="2">
        <v>43934</v>
      </c>
      <c r="B91">
        <v>43000</v>
      </c>
      <c r="C91">
        <v>103</v>
      </c>
      <c r="D91">
        <v>4</v>
      </c>
      <c r="E91" s="1" t="s">
        <v>43</v>
      </c>
      <c r="F91">
        <v>0</v>
      </c>
      <c r="G91" s="1" t="s">
        <v>44</v>
      </c>
      <c r="K91">
        <v>44250</v>
      </c>
      <c r="L91">
        <v>42750</v>
      </c>
      <c r="N91">
        <v>116.3398</v>
      </c>
      <c r="O91">
        <v>7.638644E-2</v>
      </c>
      <c r="P91">
        <v>15800</v>
      </c>
      <c r="Q91">
        <v>26.94</v>
      </c>
      <c r="R91">
        <v>0.01</v>
      </c>
      <c r="S91">
        <v>77.87</v>
      </c>
      <c r="T91">
        <v>13</v>
      </c>
      <c r="U91" s="1"/>
      <c r="V91">
        <v>0</v>
      </c>
    </row>
    <row r="92" spans="1:22" x14ac:dyDescent="0.3">
      <c r="A92" s="2">
        <v>43935</v>
      </c>
      <c r="B92">
        <v>43000</v>
      </c>
      <c r="C92">
        <v>104</v>
      </c>
      <c r="D92">
        <v>4</v>
      </c>
      <c r="E92" s="1" t="s">
        <v>43</v>
      </c>
      <c r="F92">
        <v>1</v>
      </c>
      <c r="G92" s="1" t="s">
        <v>23</v>
      </c>
      <c r="J92">
        <v>43000</v>
      </c>
      <c r="K92">
        <v>44000</v>
      </c>
      <c r="L92">
        <v>42750</v>
      </c>
      <c r="M92">
        <v>0</v>
      </c>
      <c r="N92">
        <v>116.3398</v>
      </c>
      <c r="O92">
        <v>7.638644E-2</v>
      </c>
      <c r="P92">
        <v>15751</v>
      </c>
      <c r="Q92">
        <v>27.31</v>
      </c>
      <c r="R92">
        <v>0.38</v>
      </c>
      <c r="S92">
        <v>80.239999999999995</v>
      </c>
      <c r="T92">
        <v>14</v>
      </c>
      <c r="U92" s="1" t="s">
        <v>25</v>
      </c>
      <c r="V92">
        <v>0</v>
      </c>
    </row>
    <row r="93" spans="1:22" x14ac:dyDescent="0.3">
      <c r="A93" s="2">
        <v>43936</v>
      </c>
      <c r="B93">
        <v>42000</v>
      </c>
      <c r="C93">
        <v>105</v>
      </c>
      <c r="D93">
        <v>4</v>
      </c>
      <c r="E93" s="1" t="s">
        <v>43</v>
      </c>
      <c r="F93">
        <v>2</v>
      </c>
      <c r="G93" s="1" t="s">
        <v>23</v>
      </c>
      <c r="J93">
        <v>43000</v>
      </c>
      <c r="K93">
        <v>44000</v>
      </c>
      <c r="L93">
        <v>44500</v>
      </c>
      <c r="M93">
        <v>-1000</v>
      </c>
      <c r="N93">
        <v>116.3398</v>
      </c>
      <c r="O93">
        <v>7.638644E-2</v>
      </c>
      <c r="P93">
        <v>15578.346680000001</v>
      </c>
      <c r="Q93">
        <v>27.23</v>
      </c>
      <c r="R93">
        <v>8.7100000000000009</v>
      </c>
      <c r="S93">
        <v>81.02</v>
      </c>
      <c r="T93">
        <v>15</v>
      </c>
      <c r="U93" s="1" t="s">
        <v>30</v>
      </c>
      <c r="V93">
        <v>-2.33</v>
      </c>
    </row>
    <row r="94" spans="1:22" x14ac:dyDescent="0.3">
      <c r="A94" s="2">
        <v>43937</v>
      </c>
      <c r="B94">
        <v>42000</v>
      </c>
      <c r="C94">
        <v>106</v>
      </c>
      <c r="D94">
        <v>4</v>
      </c>
      <c r="E94" s="1" t="s">
        <v>43</v>
      </c>
      <c r="F94">
        <v>3</v>
      </c>
      <c r="G94" s="1" t="s">
        <v>23</v>
      </c>
      <c r="J94">
        <v>42000</v>
      </c>
      <c r="K94">
        <v>44000</v>
      </c>
      <c r="L94">
        <v>44500</v>
      </c>
      <c r="M94">
        <v>0</v>
      </c>
      <c r="N94">
        <v>116.3398</v>
      </c>
      <c r="O94">
        <v>7.638644E-2</v>
      </c>
      <c r="P94">
        <v>15887.5</v>
      </c>
      <c r="Q94">
        <v>27.78</v>
      </c>
      <c r="R94">
        <v>1.87</v>
      </c>
      <c r="S94">
        <v>79.760000000000005</v>
      </c>
      <c r="T94">
        <v>16</v>
      </c>
      <c r="U94" s="1" t="s">
        <v>25</v>
      </c>
      <c r="V94">
        <v>0</v>
      </c>
    </row>
    <row r="95" spans="1:22" x14ac:dyDescent="0.3">
      <c r="A95" s="2">
        <v>43938</v>
      </c>
      <c r="B95">
        <v>40000</v>
      </c>
      <c r="C95">
        <v>107</v>
      </c>
      <c r="D95">
        <v>4</v>
      </c>
      <c r="E95" s="1" t="s">
        <v>43</v>
      </c>
      <c r="F95">
        <v>4</v>
      </c>
      <c r="G95" s="1" t="s">
        <v>23</v>
      </c>
      <c r="J95">
        <v>42000</v>
      </c>
      <c r="L95">
        <v>45500</v>
      </c>
      <c r="M95">
        <v>-2000</v>
      </c>
      <c r="N95">
        <v>116.3398</v>
      </c>
      <c r="O95">
        <v>7.638644E-2</v>
      </c>
      <c r="P95">
        <v>15568.33887</v>
      </c>
      <c r="Q95">
        <v>27.35</v>
      </c>
      <c r="R95">
        <v>1.52</v>
      </c>
      <c r="S95">
        <v>84.89</v>
      </c>
      <c r="T95">
        <v>17</v>
      </c>
      <c r="U95" s="1" t="s">
        <v>45</v>
      </c>
      <c r="V95">
        <v>-4.76</v>
      </c>
    </row>
    <row r="96" spans="1:22" x14ac:dyDescent="0.3">
      <c r="A96" s="2">
        <v>43941</v>
      </c>
      <c r="B96">
        <v>41500</v>
      </c>
      <c r="C96">
        <v>110</v>
      </c>
      <c r="D96">
        <v>4</v>
      </c>
      <c r="E96" s="1" t="s">
        <v>43</v>
      </c>
      <c r="F96">
        <v>0</v>
      </c>
      <c r="G96" s="1" t="s">
        <v>23</v>
      </c>
      <c r="K96">
        <v>43000</v>
      </c>
      <c r="L96">
        <v>45250</v>
      </c>
      <c r="N96">
        <v>116.3398</v>
      </c>
      <c r="O96">
        <v>7.638644E-2</v>
      </c>
      <c r="P96">
        <v>15423</v>
      </c>
      <c r="Q96">
        <v>27.44</v>
      </c>
      <c r="R96">
        <v>6.65</v>
      </c>
      <c r="S96">
        <v>79.84</v>
      </c>
      <c r="T96">
        <v>20</v>
      </c>
      <c r="U96" s="1"/>
      <c r="V96">
        <v>0</v>
      </c>
    </row>
    <row r="97" spans="1:22" x14ac:dyDescent="0.3">
      <c r="A97" s="2">
        <v>43942</v>
      </c>
      <c r="B97">
        <v>41500</v>
      </c>
      <c r="C97">
        <v>111</v>
      </c>
      <c r="D97">
        <v>4</v>
      </c>
      <c r="E97" s="1" t="s">
        <v>43</v>
      </c>
      <c r="F97">
        <v>1</v>
      </c>
      <c r="G97" s="1" t="s">
        <v>23</v>
      </c>
      <c r="J97">
        <v>41500</v>
      </c>
      <c r="K97">
        <v>43000</v>
      </c>
      <c r="L97">
        <v>45250</v>
      </c>
      <c r="M97">
        <v>0</v>
      </c>
      <c r="N97">
        <v>116.3398</v>
      </c>
      <c r="O97">
        <v>7.638644E-2</v>
      </c>
      <c r="P97">
        <v>15377.08008</v>
      </c>
      <c r="Q97">
        <v>27.59</v>
      </c>
      <c r="R97">
        <v>4.16</v>
      </c>
      <c r="S97">
        <v>79.650000000000006</v>
      </c>
      <c r="T97">
        <v>21</v>
      </c>
      <c r="U97" s="1" t="s">
        <v>25</v>
      </c>
      <c r="V97">
        <v>0</v>
      </c>
    </row>
    <row r="98" spans="1:22" x14ac:dyDescent="0.3">
      <c r="A98" s="2">
        <v>43943</v>
      </c>
      <c r="B98">
        <v>43000</v>
      </c>
      <c r="C98">
        <v>112</v>
      </c>
      <c r="D98">
        <v>4</v>
      </c>
      <c r="E98" s="1" t="s">
        <v>43</v>
      </c>
      <c r="F98">
        <v>2</v>
      </c>
      <c r="G98" s="1" t="s">
        <v>23</v>
      </c>
      <c r="J98">
        <v>41500</v>
      </c>
      <c r="K98">
        <v>42000</v>
      </c>
      <c r="L98">
        <v>44500</v>
      </c>
      <c r="M98">
        <v>1500</v>
      </c>
      <c r="N98">
        <v>116.3398</v>
      </c>
      <c r="O98">
        <v>7.638644E-2</v>
      </c>
      <c r="P98">
        <v>15394.67871</v>
      </c>
      <c r="Q98">
        <v>27.39</v>
      </c>
      <c r="R98">
        <v>3.56</v>
      </c>
      <c r="S98">
        <v>81.67</v>
      </c>
      <c r="T98">
        <v>22</v>
      </c>
      <c r="U98" s="1" t="s">
        <v>31</v>
      </c>
      <c r="V98">
        <v>3.61</v>
      </c>
    </row>
    <row r="99" spans="1:22" x14ac:dyDescent="0.3">
      <c r="A99" s="2">
        <v>43944</v>
      </c>
      <c r="B99">
        <v>43000</v>
      </c>
      <c r="C99">
        <v>113</v>
      </c>
      <c r="D99">
        <v>4</v>
      </c>
      <c r="E99" s="1" t="s">
        <v>43</v>
      </c>
      <c r="F99">
        <v>3</v>
      </c>
      <c r="G99" s="1" t="s">
        <v>23</v>
      </c>
      <c r="J99">
        <v>43000</v>
      </c>
      <c r="K99">
        <v>42000</v>
      </c>
      <c r="L99">
        <v>44500</v>
      </c>
      <c r="M99">
        <v>0</v>
      </c>
      <c r="N99">
        <v>116.3398</v>
      </c>
      <c r="O99">
        <v>7.638644E-2</v>
      </c>
      <c r="P99">
        <v>15408.622069999999</v>
      </c>
      <c r="Q99">
        <v>27.26</v>
      </c>
      <c r="R99">
        <v>7.19</v>
      </c>
      <c r="S99">
        <v>81.23</v>
      </c>
      <c r="T99">
        <v>23</v>
      </c>
      <c r="U99" s="1" t="s">
        <v>25</v>
      </c>
      <c r="V99">
        <v>0</v>
      </c>
    </row>
    <row r="100" spans="1:22" x14ac:dyDescent="0.3">
      <c r="A100" s="2">
        <v>43945</v>
      </c>
      <c r="B100">
        <v>42000</v>
      </c>
      <c r="C100">
        <v>114</v>
      </c>
      <c r="D100">
        <v>4</v>
      </c>
      <c r="E100" s="1" t="s">
        <v>43</v>
      </c>
      <c r="F100">
        <v>4</v>
      </c>
      <c r="G100" s="1" t="s">
        <v>23</v>
      </c>
      <c r="J100">
        <v>43000</v>
      </c>
      <c r="K100">
        <v>40000</v>
      </c>
      <c r="M100">
        <v>-1000</v>
      </c>
      <c r="N100">
        <v>116.3398</v>
      </c>
      <c r="O100">
        <v>7.638644E-2</v>
      </c>
      <c r="P100">
        <v>15665</v>
      </c>
      <c r="Q100">
        <v>27.48</v>
      </c>
      <c r="R100">
        <v>6.17</v>
      </c>
      <c r="S100">
        <v>81.62</v>
      </c>
      <c r="T100">
        <v>24</v>
      </c>
      <c r="U100" s="1" t="s">
        <v>30</v>
      </c>
      <c r="V100">
        <v>-2.33</v>
      </c>
    </row>
    <row r="101" spans="1:22" x14ac:dyDescent="0.3">
      <c r="A101" s="2">
        <v>43948</v>
      </c>
      <c r="B101">
        <v>41000</v>
      </c>
      <c r="C101">
        <v>117</v>
      </c>
      <c r="D101">
        <v>4</v>
      </c>
      <c r="E101" s="1" t="s">
        <v>43</v>
      </c>
      <c r="F101">
        <v>0</v>
      </c>
      <c r="G101" s="1" t="s">
        <v>23</v>
      </c>
      <c r="K101">
        <v>41500</v>
      </c>
      <c r="L101">
        <v>45750</v>
      </c>
      <c r="N101">
        <v>116.3398</v>
      </c>
      <c r="O101">
        <v>7.638644E-2</v>
      </c>
      <c r="P101">
        <v>15348.744140000001</v>
      </c>
      <c r="Q101">
        <v>27.02</v>
      </c>
      <c r="R101">
        <v>14.31</v>
      </c>
      <c r="S101">
        <v>85.57</v>
      </c>
      <c r="T101">
        <v>27</v>
      </c>
      <c r="U101" s="1" t="s">
        <v>30</v>
      </c>
      <c r="V101">
        <v>-2.38</v>
      </c>
    </row>
    <row r="102" spans="1:22" x14ac:dyDescent="0.3">
      <c r="A102" s="2">
        <v>43949</v>
      </c>
      <c r="B102">
        <v>42000</v>
      </c>
      <c r="C102">
        <v>118</v>
      </c>
      <c r="D102">
        <v>4</v>
      </c>
      <c r="E102" s="1" t="s">
        <v>43</v>
      </c>
      <c r="F102">
        <v>1</v>
      </c>
      <c r="G102" s="1" t="s">
        <v>23</v>
      </c>
      <c r="J102">
        <v>41000</v>
      </c>
      <c r="K102">
        <v>41500</v>
      </c>
      <c r="L102">
        <v>45750</v>
      </c>
      <c r="M102">
        <v>1000</v>
      </c>
      <c r="N102">
        <v>116.3398</v>
      </c>
      <c r="O102">
        <v>7.638644E-2</v>
      </c>
      <c r="P102">
        <v>15312.38574</v>
      </c>
      <c r="Q102">
        <v>26.39</v>
      </c>
      <c r="R102">
        <v>8.49</v>
      </c>
      <c r="S102">
        <v>83.98</v>
      </c>
      <c r="T102">
        <v>28</v>
      </c>
      <c r="U102" s="1" t="s">
        <v>29</v>
      </c>
      <c r="V102">
        <v>2.44</v>
      </c>
    </row>
    <row r="103" spans="1:22" x14ac:dyDescent="0.3">
      <c r="A103" s="2">
        <v>43950</v>
      </c>
      <c r="B103">
        <v>43000</v>
      </c>
      <c r="C103">
        <v>119</v>
      </c>
      <c r="D103">
        <v>4</v>
      </c>
      <c r="E103" s="1" t="s">
        <v>43</v>
      </c>
      <c r="F103">
        <v>2</v>
      </c>
      <c r="G103" s="1" t="s">
        <v>23</v>
      </c>
      <c r="J103">
        <v>42000</v>
      </c>
      <c r="K103">
        <v>43000</v>
      </c>
      <c r="L103">
        <v>47000</v>
      </c>
      <c r="M103">
        <v>1000</v>
      </c>
      <c r="N103">
        <v>116.3398</v>
      </c>
      <c r="O103">
        <v>7.638644E-2</v>
      </c>
      <c r="P103">
        <v>15364.594730000001</v>
      </c>
      <c r="Q103">
        <v>26.68</v>
      </c>
      <c r="R103">
        <v>9.94</v>
      </c>
      <c r="S103">
        <v>83.11</v>
      </c>
      <c r="T103">
        <v>29</v>
      </c>
      <c r="U103" s="1" t="s">
        <v>29</v>
      </c>
      <c r="V103">
        <v>2.38</v>
      </c>
    </row>
    <row r="104" spans="1:22" x14ac:dyDescent="0.3">
      <c r="A104" s="2">
        <v>43951</v>
      </c>
      <c r="B104">
        <v>43000</v>
      </c>
      <c r="C104">
        <v>120</v>
      </c>
      <c r="D104">
        <v>4</v>
      </c>
      <c r="E104" s="1" t="s">
        <v>43</v>
      </c>
      <c r="F104">
        <v>3</v>
      </c>
      <c r="G104" s="1" t="s">
        <v>23</v>
      </c>
      <c r="J104">
        <v>43000</v>
      </c>
      <c r="K104">
        <v>43000</v>
      </c>
      <c r="L104">
        <v>46500</v>
      </c>
      <c r="M104">
        <v>0</v>
      </c>
      <c r="N104">
        <v>116.3398</v>
      </c>
      <c r="O104">
        <v>7.638644E-2</v>
      </c>
      <c r="P104">
        <v>15234.63672</v>
      </c>
      <c r="Q104">
        <v>27.8</v>
      </c>
      <c r="R104">
        <v>2.52</v>
      </c>
      <c r="S104">
        <v>73.63</v>
      </c>
      <c r="T104">
        <v>30</v>
      </c>
      <c r="U104" s="1" t="s">
        <v>25</v>
      </c>
      <c r="V104">
        <v>0</v>
      </c>
    </row>
    <row r="105" spans="1:22" x14ac:dyDescent="0.3">
      <c r="A105" s="2">
        <v>43955</v>
      </c>
      <c r="B105">
        <v>54000</v>
      </c>
      <c r="C105">
        <v>124</v>
      </c>
      <c r="D105">
        <v>5</v>
      </c>
      <c r="E105" s="1" t="s">
        <v>43</v>
      </c>
      <c r="F105">
        <v>0</v>
      </c>
      <c r="G105" s="1" t="s">
        <v>23</v>
      </c>
      <c r="K105">
        <v>41000</v>
      </c>
      <c r="L105">
        <v>45000</v>
      </c>
      <c r="N105">
        <v>116.4175</v>
      </c>
      <c r="O105">
        <v>6.6787118000000006E-2</v>
      </c>
      <c r="P105">
        <v>14671</v>
      </c>
      <c r="Q105">
        <v>28.53</v>
      </c>
      <c r="R105">
        <v>1.86</v>
      </c>
      <c r="S105">
        <v>77.06</v>
      </c>
      <c r="T105">
        <v>4</v>
      </c>
      <c r="U105" s="1"/>
      <c r="V105">
        <v>0</v>
      </c>
    </row>
    <row r="106" spans="1:22" x14ac:dyDescent="0.3">
      <c r="A106" s="2">
        <v>43956</v>
      </c>
      <c r="B106">
        <v>55250</v>
      </c>
      <c r="C106">
        <v>125</v>
      </c>
      <c r="D106">
        <v>5</v>
      </c>
      <c r="E106" s="1" t="s">
        <v>43</v>
      </c>
      <c r="F106">
        <v>1</v>
      </c>
      <c r="G106" s="1" t="s">
        <v>23</v>
      </c>
      <c r="J106">
        <v>54000</v>
      </c>
      <c r="K106">
        <v>42000</v>
      </c>
      <c r="M106">
        <v>1250</v>
      </c>
      <c r="N106">
        <v>116.4175</v>
      </c>
      <c r="O106">
        <v>6.6787118000000006E-2</v>
      </c>
      <c r="P106">
        <v>15044</v>
      </c>
      <c r="Q106">
        <v>28.27</v>
      </c>
      <c r="R106">
        <v>2.74</v>
      </c>
      <c r="S106">
        <v>82.08</v>
      </c>
      <c r="T106">
        <v>5</v>
      </c>
      <c r="U106" s="1" t="s">
        <v>36</v>
      </c>
      <c r="V106">
        <v>2.31</v>
      </c>
    </row>
    <row r="107" spans="1:22" x14ac:dyDescent="0.3">
      <c r="A107" s="2">
        <v>43957</v>
      </c>
      <c r="B107">
        <v>52000</v>
      </c>
      <c r="C107">
        <v>126</v>
      </c>
      <c r="D107">
        <v>5</v>
      </c>
      <c r="E107" s="1" t="s">
        <v>43</v>
      </c>
      <c r="F107">
        <v>2</v>
      </c>
      <c r="G107" s="1" t="s">
        <v>23</v>
      </c>
      <c r="J107">
        <v>55250</v>
      </c>
      <c r="K107">
        <v>43000</v>
      </c>
      <c r="L107">
        <v>44250</v>
      </c>
      <c r="M107">
        <v>-3250</v>
      </c>
      <c r="N107">
        <v>116.4175</v>
      </c>
      <c r="O107">
        <v>6.6787118000000006E-2</v>
      </c>
      <c r="P107">
        <v>15335</v>
      </c>
      <c r="Q107">
        <v>28.46</v>
      </c>
      <c r="R107">
        <v>0.8</v>
      </c>
      <c r="S107">
        <v>79.599999999999994</v>
      </c>
      <c r="T107">
        <v>6</v>
      </c>
      <c r="U107" s="1" t="s">
        <v>46</v>
      </c>
      <c r="V107">
        <v>-5.88</v>
      </c>
    </row>
    <row r="108" spans="1:22" x14ac:dyDescent="0.3">
      <c r="A108" s="2">
        <v>43959</v>
      </c>
      <c r="B108">
        <v>51500</v>
      </c>
      <c r="C108">
        <v>128</v>
      </c>
      <c r="D108">
        <v>5</v>
      </c>
      <c r="E108" s="1" t="s">
        <v>43</v>
      </c>
      <c r="F108">
        <v>4</v>
      </c>
      <c r="G108" s="1" t="s">
        <v>23</v>
      </c>
      <c r="L108">
        <v>44000</v>
      </c>
      <c r="N108">
        <v>116.4175</v>
      </c>
      <c r="O108">
        <v>6.6787118000000006E-2</v>
      </c>
      <c r="P108">
        <v>15227</v>
      </c>
      <c r="Q108">
        <v>28.47</v>
      </c>
      <c r="R108">
        <v>0.53</v>
      </c>
      <c r="S108">
        <v>78.47</v>
      </c>
      <c r="T108">
        <v>8</v>
      </c>
      <c r="U108" s="1"/>
      <c r="V108">
        <v>0</v>
      </c>
    </row>
    <row r="109" spans="1:22" x14ac:dyDescent="0.3">
      <c r="A109" s="2">
        <v>43960</v>
      </c>
      <c r="B109">
        <v>51500</v>
      </c>
      <c r="C109">
        <v>129</v>
      </c>
      <c r="D109">
        <v>5</v>
      </c>
      <c r="E109" s="1" t="s">
        <v>43</v>
      </c>
      <c r="F109">
        <v>5</v>
      </c>
      <c r="G109" s="1" t="s">
        <v>23</v>
      </c>
      <c r="J109">
        <v>51500</v>
      </c>
      <c r="L109">
        <v>44000</v>
      </c>
      <c r="M109">
        <v>0</v>
      </c>
      <c r="N109">
        <v>116.4175</v>
      </c>
      <c r="O109">
        <v>6.6787118000000006E-2</v>
      </c>
      <c r="P109">
        <v>15227</v>
      </c>
      <c r="Q109">
        <v>28.36</v>
      </c>
      <c r="R109">
        <v>1.46</v>
      </c>
      <c r="S109">
        <v>80.41</v>
      </c>
      <c r="T109">
        <v>9</v>
      </c>
      <c r="U109" s="1"/>
      <c r="V109">
        <v>0</v>
      </c>
    </row>
    <row r="110" spans="1:22" x14ac:dyDescent="0.3">
      <c r="A110" s="2">
        <v>43961</v>
      </c>
      <c r="B110">
        <v>51500</v>
      </c>
      <c r="C110">
        <v>130</v>
      </c>
      <c r="D110">
        <v>5</v>
      </c>
      <c r="E110" s="1" t="s">
        <v>43</v>
      </c>
      <c r="F110">
        <v>6</v>
      </c>
      <c r="G110" s="1" t="s">
        <v>23</v>
      </c>
      <c r="J110">
        <v>51500</v>
      </c>
      <c r="M110">
        <v>0</v>
      </c>
      <c r="N110">
        <v>116.4175</v>
      </c>
      <c r="O110">
        <v>6.6787118000000006E-2</v>
      </c>
      <c r="P110">
        <v>15227</v>
      </c>
      <c r="Q110">
        <v>27.47</v>
      </c>
      <c r="R110">
        <v>13.83</v>
      </c>
      <c r="S110">
        <v>84.83</v>
      </c>
      <c r="T110">
        <v>10</v>
      </c>
      <c r="U110" s="1"/>
      <c r="V110">
        <v>0</v>
      </c>
    </row>
    <row r="111" spans="1:22" x14ac:dyDescent="0.3">
      <c r="A111" s="2">
        <v>43962</v>
      </c>
      <c r="B111">
        <v>53500</v>
      </c>
      <c r="C111">
        <v>131</v>
      </c>
      <c r="D111">
        <v>5</v>
      </c>
      <c r="E111" s="1" t="s">
        <v>43</v>
      </c>
      <c r="F111">
        <v>0</v>
      </c>
      <c r="G111" s="1" t="s">
        <v>23</v>
      </c>
      <c r="J111">
        <v>51500</v>
      </c>
      <c r="K111">
        <v>54000</v>
      </c>
      <c r="M111">
        <v>2000</v>
      </c>
      <c r="N111">
        <v>116.4175</v>
      </c>
      <c r="O111">
        <v>6.6787118000000006E-2</v>
      </c>
      <c r="P111">
        <v>14721.398440000001</v>
      </c>
      <c r="Q111">
        <v>27.86</v>
      </c>
      <c r="R111">
        <v>0.77</v>
      </c>
      <c r="S111">
        <v>83.11</v>
      </c>
      <c r="T111">
        <v>11</v>
      </c>
      <c r="U111" s="1" t="s">
        <v>47</v>
      </c>
      <c r="V111">
        <v>3.88</v>
      </c>
    </row>
    <row r="112" spans="1:22" x14ac:dyDescent="0.3">
      <c r="A112" s="2">
        <v>43963</v>
      </c>
      <c r="B112">
        <v>52500</v>
      </c>
      <c r="C112">
        <v>132</v>
      </c>
      <c r="D112">
        <v>5</v>
      </c>
      <c r="E112" s="1" t="s">
        <v>43</v>
      </c>
      <c r="F112">
        <v>1</v>
      </c>
      <c r="G112" s="1" t="s">
        <v>23</v>
      </c>
      <c r="J112">
        <v>53500</v>
      </c>
      <c r="K112">
        <v>55250</v>
      </c>
      <c r="M112">
        <v>-1000</v>
      </c>
      <c r="N112">
        <v>116.4175</v>
      </c>
      <c r="O112">
        <v>6.6787118000000006E-2</v>
      </c>
      <c r="P112">
        <v>14848.700199999999</v>
      </c>
      <c r="Q112">
        <v>28.17</v>
      </c>
      <c r="R112">
        <v>2</v>
      </c>
      <c r="S112">
        <v>79.260000000000005</v>
      </c>
      <c r="T112">
        <v>12</v>
      </c>
      <c r="U112" s="1" t="s">
        <v>30</v>
      </c>
      <c r="V112">
        <v>-1.87</v>
      </c>
    </row>
    <row r="113" spans="1:22" x14ac:dyDescent="0.3">
      <c r="A113" s="2">
        <v>43964</v>
      </c>
      <c r="B113">
        <v>52500</v>
      </c>
      <c r="C113">
        <v>133</v>
      </c>
      <c r="D113">
        <v>5</v>
      </c>
      <c r="E113" s="1" t="s">
        <v>43</v>
      </c>
      <c r="F113">
        <v>2</v>
      </c>
      <c r="G113" s="1" t="s">
        <v>23</v>
      </c>
      <c r="J113">
        <v>52500</v>
      </c>
      <c r="K113">
        <v>52000</v>
      </c>
      <c r="L113">
        <v>43000</v>
      </c>
      <c r="M113">
        <v>0</v>
      </c>
      <c r="N113">
        <v>116.4175</v>
      </c>
      <c r="O113">
        <v>6.6787118000000006E-2</v>
      </c>
      <c r="P113">
        <v>14994</v>
      </c>
      <c r="Q113">
        <v>27.83</v>
      </c>
      <c r="R113">
        <v>0.42</v>
      </c>
      <c r="S113">
        <v>80.989999999999995</v>
      </c>
      <c r="T113">
        <v>13</v>
      </c>
      <c r="U113" s="1" t="s">
        <v>25</v>
      </c>
      <c r="V113">
        <v>0</v>
      </c>
    </row>
    <row r="114" spans="1:22" x14ac:dyDescent="0.3">
      <c r="A114" s="2">
        <v>43965</v>
      </c>
      <c r="B114">
        <v>54500</v>
      </c>
      <c r="C114">
        <v>134</v>
      </c>
      <c r="D114">
        <v>5</v>
      </c>
      <c r="E114" s="1" t="s">
        <v>43</v>
      </c>
      <c r="F114">
        <v>3</v>
      </c>
      <c r="G114" s="1" t="s">
        <v>23</v>
      </c>
      <c r="H114">
        <v>52500</v>
      </c>
      <c r="J114">
        <v>52500</v>
      </c>
      <c r="L114">
        <v>43000</v>
      </c>
      <c r="M114">
        <v>2000</v>
      </c>
      <c r="N114">
        <v>116.4175</v>
      </c>
      <c r="O114">
        <v>6.6787118000000006E-2</v>
      </c>
      <c r="P114">
        <v>14846.87305</v>
      </c>
      <c r="Q114">
        <v>28.13</v>
      </c>
      <c r="R114">
        <v>0.61</v>
      </c>
      <c r="S114">
        <v>80.55</v>
      </c>
      <c r="T114">
        <v>14</v>
      </c>
      <c r="U114" s="1" t="s">
        <v>47</v>
      </c>
      <c r="V114">
        <v>3.81</v>
      </c>
    </row>
    <row r="115" spans="1:22" x14ac:dyDescent="0.3">
      <c r="A115" s="2">
        <v>43966</v>
      </c>
      <c r="B115">
        <v>54500</v>
      </c>
      <c r="C115">
        <v>135</v>
      </c>
      <c r="D115">
        <v>5</v>
      </c>
      <c r="E115" s="1" t="s">
        <v>43</v>
      </c>
      <c r="F115">
        <v>4</v>
      </c>
      <c r="G115" s="1" t="s">
        <v>23</v>
      </c>
      <c r="H115">
        <v>52928.571428571428</v>
      </c>
      <c r="J115">
        <v>54500</v>
      </c>
      <c r="K115">
        <v>51500</v>
      </c>
      <c r="L115">
        <v>42000</v>
      </c>
      <c r="M115">
        <v>0</v>
      </c>
      <c r="N115">
        <v>116.4175</v>
      </c>
      <c r="O115">
        <v>6.6787118000000006E-2</v>
      </c>
      <c r="P115">
        <v>14810.12012</v>
      </c>
      <c r="Q115">
        <v>27.9</v>
      </c>
      <c r="R115">
        <v>0.89</v>
      </c>
      <c r="S115">
        <v>84.34</v>
      </c>
      <c r="T115">
        <v>15</v>
      </c>
      <c r="U115" s="1" t="s">
        <v>25</v>
      </c>
      <c r="V115">
        <v>0</v>
      </c>
    </row>
    <row r="116" spans="1:22" x14ac:dyDescent="0.3">
      <c r="A116" s="2">
        <v>43969</v>
      </c>
      <c r="B116">
        <v>56000</v>
      </c>
      <c r="C116">
        <v>138</v>
      </c>
      <c r="D116">
        <v>5</v>
      </c>
      <c r="E116" s="1" t="s">
        <v>43</v>
      </c>
      <c r="F116">
        <v>0</v>
      </c>
      <c r="G116" s="1" t="s">
        <v>23</v>
      </c>
      <c r="K116">
        <v>53500</v>
      </c>
      <c r="N116">
        <v>116.4175</v>
      </c>
      <c r="O116">
        <v>6.6787118000000006E-2</v>
      </c>
      <c r="P116">
        <v>14853</v>
      </c>
      <c r="Q116">
        <v>28.07</v>
      </c>
      <c r="R116">
        <v>10.37</v>
      </c>
      <c r="S116">
        <v>83.45</v>
      </c>
      <c r="T116">
        <v>18</v>
      </c>
      <c r="U116" s="1" t="s">
        <v>31</v>
      </c>
      <c r="V116">
        <v>2.75</v>
      </c>
    </row>
    <row r="117" spans="1:22" x14ac:dyDescent="0.3">
      <c r="A117" s="2">
        <v>43970</v>
      </c>
      <c r="B117">
        <v>56000</v>
      </c>
      <c r="C117">
        <v>139</v>
      </c>
      <c r="D117">
        <v>5</v>
      </c>
      <c r="E117" s="1" t="s">
        <v>43</v>
      </c>
      <c r="F117">
        <v>1</v>
      </c>
      <c r="G117" s="1" t="s">
        <v>23</v>
      </c>
      <c r="J117">
        <v>56000</v>
      </c>
      <c r="K117">
        <v>52500</v>
      </c>
      <c r="M117">
        <v>0</v>
      </c>
      <c r="N117">
        <v>116.4175</v>
      </c>
      <c r="O117">
        <v>6.6787118000000006E-2</v>
      </c>
      <c r="P117">
        <v>14878</v>
      </c>
      <c r="Q117">
        <v>27.52</v>
      </c>
      <c r="R117">
        <v>12.41</v>
      </c>
      <c r="S117">
        <v>81.78</v>
      </c>
      <c r="T117">
        <v>19</v>
      </c>
      <c r="U117" s="1" t="s">
        <v>25</v>
      </c>
      <c r="V117">
        <v>0</v>
      </c>
    </row>
    <row r="118" spans="1:22" x14ac:dyDescent="0.3">
      <c r="A118" s="2">
        <v>43971</v>
      </c>
      <c r="B118">
        <v>60750</v>
      </c>
      <c r="C118">
        <v>140</v>
      </c>
      <c r="D118">
        <v>5</v>
      </c>
      <c r="E118" s="1" t="s">
        <v>43</v>
      </c>
      <c r="F118">
        <v>2</v>
      </c>
      <c r="G118" s="1" t="s">
        <v>23</v>
      </c>
      <c r="J118">
        <v>56000</v>
      </c>
      <c r="K118">
        <v>52500</v>
      </c>
      <c r="L118">
        <v>41500</v>
      </c>
      <c r="M118">
        <v>4750</v>
      </c>
      <c r="N118">
        <v>116.4175</v>
      </c>
      <c r="O118">
        <v>6.6787118000000006E-2</v>
      </c>
      <c r="P118">
        <v>14748.447270000001</v>
      </c>
      <c r="Q118">
        <v>27.51</v>
      </c>
      <c r="R118">
        <v>3.92</v>
      </c>
      <c r="S118">
        <v>78.81</v>
      </c>
      <c r="T118">
        <v>20</v>
      </c>
      <c r="U118" s="1" t="s">
        <v>48</v>
      </c>
      <c r="V118">
        <v>8.48</v>
      </c>
    </row>
    <row r="119" spans="1:22" x14ac:dyDescent="0.3">
      <c r="A119" s="2">
        <v>43977</v>
      </c>
      <c r="B119">
        <v>69000</v>
      </c>
      <c r="C119">
        <v>146</v>
      </c>
      <c r="D119">
        <v>5</v>
      </c>
      <c r="E119" s="1" t="s">
        <v>43</v>
      </c>
      <c r="F119">
        <v>1</v>
      </c>
      <c r="G119" s="1" t="s">
        <v>23</v>
      </c>
      <c r="K119">
        <v>56000</v>
      </c>
      <c r="N119">
        <v>116.4175</v>
      </c>
      <c r="O119">
        <v>6.6787118000000006E-2</v>
      </c>
      <c r="P119">
        <v>14501.757809999999</v>
      </c>
      <c r="Q119">
        <v>28.07</v>
      </c>
      <c r="R119">
        <v>4.42</v>
      </c>
      <c r="S119">
        <v>74.069999999999993</v>
      </c>
      <c r="T119">
        <v>26</v>
      </c>
      <c r="U119" s="1"/>
      <c r="V119">
        <v>0</v>
      </c>
    </row>
    <row r="120" spans="1:22" x14ac:dyDescent="0.3">
      <c r="A120" s="2">
        <v>43978</v>
      </c>
      <c r="B120">
        <v>67000</v>
      </c>
      <c r="C120">
        <v>147</v>
      </c>
      <c r="D120">
        <v>5</v>
      </c>
      <c r="E120" s="1" t="s">
        <v>43</v>
      </c>
      <c r="F120">
        <v>2</v>
      </c>
      <c r="G120" s="1" t="s">
        <v>23</v>
      </c>
      <c r="J120">
        <v>69000</v>
      </c>
      <c r="K120">
        <v>60750</v>
      </c>
      <c r="L120">
        <v>41000</v>
      </c>
      <c r="M120">
        <v>-2000</v>
      </c>
      <c r="N120">
        <v>116.4175</v>
      </c>
      <c r="O120">
        <v>6.6787118000000006E-2</v>
      </c>
      <c r="P120">
        <v>14850</v>
      </c>
      <c r="Q120">
        <v>27.84</v>
      </c>
      <c r="R120">
        <v>2.39</v>
      </c>
      <c r="S120">
        <v>81.23</v>
      </c>
      <c r="T120">
        <v>27</v>
      </c>
      <c r="U120" s="1" t="s">
        <v>45</v>
      </c>
      <c r="V120">
        <v>-2.9</v>
      </c>
    </row>
    <row r="121" spans="1:22" x14ac:dyDescent="0.3">
      <c r="A121" s="2">
        <v>43979</v>
      </c>
      <c r="B121">
        <v>67000</v>
      </c>
      <c r="C121">
        <v>148</v>
      </c>
      <c r="D121">
        <v>5</v>
      </c>
      <c r="E121" s="1" t="s">
        <v>43</v>
      </c>
      <c r="F121">
        <v>3</v>
      </c>
      <c r="G121" s="1" t="s">
        <v>23</v>
      </c>
      <c r="J121">
        <v>67000</v>
      </c>
      <c r="L121">
        <v>42000</v>
      </c>
      <c r="M121">
        <v>0</v>
      </c>
      <c r="N121">
        <v>116.4175</v>
      </c>
      <c r="O121">
        <v>6.6787118000000006E-2</v>
      </c>
      <c r="P121">
        <v>14888.5</v>
      </c>
      <c r="Q121">
        <v>27.5</v>
      </c>
      <c r="R121">
        <v>4.8899999999999997</v>
      </c>
      <c r="S121">
        <v>83.1</v>
      </c>
      <c r="T121">
        <v>28</v>
      </c>
      <c r="U121" s="1" t="s">
        <v>25</v>
      </c>
      <c r="V121">
        <v>0</v>
      </c>
    </row>
    <row r="122" spans="1:22" x14ac:dyDescent="0.3">
      <c r="A122" s="2">
        <v>43980</v>
      </c>
      <c r="B122">
        <v>67000</v>
      </c>
      <c r="C122">
        <v>149</v>
      </c>
      <c r="D122">
        <v>5</v>
      </c>
      <c r="E122" s="1" t="s">
        <v>43</v>
      </c>
      <c r="F122">
        <v>4</v>
      </c>
      <c r="G122" s="1" t="s">
        <v>23</v>
      </c>
      <c r="J122">
        <v>67000</v>
      </c>
      <c r="L122">
        <v>43000</v>
      </c>
      <c r="M122">
        <v>0</v>
      </c>
      <c r="N122">
        <v>116.4175</v>
      </c>
      <c r="O122">
        <v>6.6787118000000006E-2</v>
      </c>
      <c r="P122">
        <v>14825</v>
      </c>
      <c r="Q122">
        <v>26.8</v>
      </c>
      <c r="R122">
        <v>8.7899999999999991</v>
      </c>
      <c r="S122">
        <v>84.8</v>
      </c>
      <c r="T122">
        <v>29</v>
      </c>
      <c r="U122" s="1" t="s">
        <v>25</v>
      </c>
      <c r="V122">
        <v>0</v>
      </c>
    </row>
    <row r="123" spans="1:22" x14ac:dyDescent="0.3">
      <c r="A123" s="2">
        <v>43981</v>
      </c>
      <c r="B123">
        <v>67000</v>
      </c>
      <c r="C123">
        <v>150</v>
      </c>
      <c r="D123">
        <v>5</v>
      </c>
      <c r="E123" s="1" t="s">
        <v>43</v>
      </c>
      <c r="F123">
        <v>5</v>
      </c>
      <c r="G123" s="1" t="s">
        <v>23</v>
      </c>
      <c r="J123">
        <v>67000</v>
      </c>
      <c r="L123">
        <v>43000</v>
      </c>
      <c r="M123">
        <v>0</v>
      </c>
      <c r="N123">
        <v>116.4175</v>
      </c>
      <c r="O123">
        <v>6.6787118000000006E-2</v>
      </c>
      <c r="P123">
        <v>14825</v>
      </c>
      <c r="Q123">
        <v>26.55</v>
      </c>
      <c r="R123">
        <v>3.3</v>
      </c>
      <c r="S123">
        <v>85</v>
      </c>
      <c r="T123">
        <v>30</v>
      </c>
      <c r="U123" s="1" t="s">
        <v>25</v>
      </c>
      <c r="V123">
        <v>0</v>
      </c>
    </row>
    <row r="124" spans="1:22" x14ac:dyDescent="0.3">
      <c r="A124" s="2">
        <v>43982</v>
      </c>
      <c r="B124">
        <v>67000</v>
      </c>
      <c r="C124">
        <v>151</v>
      </c>
      <c r="D124">
        <v>5</v>
      </c>
      <c r="E124" s="1" t="s">
        <v>43</v>
      </c>
      <c r="F124">
        <v>6</v>
      </c>
      <c r="G124" s="1" t="s">
        <v>23</v>
      </c>
      <c r="J124">
        <v>67000</v>
      </c>
      <c r="M124">
        <v>0</v>
      </c>
      <c r="N124">
        <v>116.4175</v>
      </c>
      <c r="O124">
        <v>6.6787118000000006E-2</v>
      </c>
      <c r="P124">
        <v>14825</v>
      </c>
      <c r="Q124">
        <v>27.02</v>
      </c>
      <c r="R124">
        <v>4.63</v>
      </c>
      <c r="S124">
        <v>83.38</v>
      </c>
      <c r="T124">
        <v>31</v>
      </c>
      <c r="U124" s="1" t="s">
        <v>25</v>
      </c>
      <c r="V124">
        <v>0</v>
      </c>
    </row>
    <row r="125" spans="1:22" x14ac:dyDescent="0.3">
      <c r="A125" s="2">
        <v>43984</v>
      </c>
      <c r="B125">
        <v>80000</v>
      </c>
      <c r="C125">
        <v>153</v>
      </c>
      <c r="D125">
        <v>6</v>
      </c>
      <c r="E125" s="1" t="s">
        <v>43</v>
      </c>
      <c r="F125">
        <v>1</v>
      </c>
      <c r="G125" s="1" t="s">
        <v>23</v>
      </c>
      <c r="K125">
        <v>69000</v>
      </c>
      <c r="N125">
        <v>116.6284</v>
      </c>
      <c r="O125">
        <v>0.18115833100000001</v>
      </c>
      <c r="P125">
        <v>14573.5</v>
      </c>
      <c r="Q125">
        <v>27.74</v>
      </c>
      <c r="R125">
        <v>4.75</v>
      </c>
      <c r="S125">
        <v>78.13</v>
      </c>
      <c r="T125">
        <v>2</v>
      </c>
      <c r="U125" s="1"/>
      <c r="V125">
        <v>0</v>
      </c>
    </row>
    <row r="126" spans="1:22" x14ac:dyDescent="0.3">
      <c r="A126" s="2">
        <v>43985</v>
      </c>
      <c r="B126">
        <v>80000</v>
      </c>
      <c r="C126">
        <v>154</v>
      </c>
      <c r="D126">
        <v>6</v>
      </c>
      <c r="E126" s="1" t="s">
        <v>43</v>
      </c>
      <c r="F126">
        <v>2</v>
      </c>
      <c r="G126" s="1" t="s">
        <v>23</v>
      </c>
      <c r="J126">
        <v>80000</v>
      </c>
      <c r="K126">
        <v>67000</v>
      </c>
      <c r="L126">
        <v>54000</v>
      </c>
      <c r="M126">
        <v>0</v>
      </c>
      <c r="N126">
        <v>116.6284</v>
      </c>
      <c r="O126">
        <v>0.18115833100000001</v>
      </c>
      <c r="P126">
        <v>14343.82324</v>
      </c>
      <c r="Q126">
        <v>27.26</v>
      </c>
      <c r="R126">
        <v>7.17</v>
      </c>
      <c r="S126">
        <v>81.77</v>
      </c>
      <c r="T126">
        <v>3</v>
      </c>
      <c r="U126" s="1" t="s">
        <v>25</v>
      </c>
      <c r="V126">
        <v>0</v>
      </c>
    </row>
    <row r="127" spans="1:22" x14ac:dyDescent="0.3">
      <c r="A127" s="2">
        <v>43986</v>
      </c>
      <c r="B127">
        <v>75000</v>
      </c>
      <c r="C127">
        <v>155</v>
      </c>
      <c r="D127">
        <v>6</v>
      </c>
      <c r="E127" s="1" t="s">
        <v>43</v>
      </c>
      <c r="F127">
        <v>3</v>
      </c>
      <c r="G127" s="1" t="s">
        <v>23</v>
      </c>
      <c r="J127">
        <v>80000</v>
      </c>
      <c r="K127">
        <v>67000</v>
      </c>
      <c r="L127">
        <v>55250</v>
      </c>
      <c r="M127">
        <v>-5000</v>
      </c>
      <c r="N127">
        <v>116.6284</v>
      </c>
      <c r="O127">
        <v>0.18115833100000001</v>
      </c>
      <c r="P127">
        <v>14130</v>
      </c>
      <c r="Q127">
        <v>26.85</v>
      </c>
      <c r="R127">
        <v>5.54</v>
      </c>
      <c r="S127">
        <v>85.12</v>
      </c>
      <c r="T127">
        <v>4</v>
      </c>
      <c r="U127" s="1" t="s">
        <v>49</v>
      </c>
      <c r="V127">
        <v>-6.25</v>
      </c>
    </row>
    <row r="128" spans="1:22" x14ac:dyDescent="0.3">
      <c r="A128" s="2">
        <v>43987</v>
      </c>
      <c r="B128">
        <v>75000</v>
      </c>
      <c r="C128">
        <v>156</v>
      </c>
      <c r="D128">
        <v>6</v>
      </c>
      <c r="E128" s="1" t="s">
        <v>43</v>
      </c>
      <c r="F128">
        <v>4</v>
      </c>
      <c r="G128" s="1" t="s">
        <v>23</v>
      </c>
      <c r="J128">
        <v>75000</v>
      </c>
      <c r="K128">
        <v>67000</v>
      </c>
      <c r="L128">
        <v>52000</v>
      </c>
      <c r="M128">
        <v>0</v>
      </c>
      <c r="N128">
        <v>116.6284</v>
      </c>
      <c r="O128">
        <v>0.18115833100000001</v>
      </c>
      <c r="P128">
        <v>14085.447270000001</v>
      </c>
      <c r="Q128">
        <v>27.35</v>
      </c>
      <c r="R128">
        <v>7.03</v>
      </c>
      <c r="S128">
        <v>81.69</v>
      </c>
      <c r="T128">
        <v>5</v>
      </c>
      <c r="U128" s="1" t="s">
        <v>25</v>
      </c>
      <c r="V128">
        <v>0</v>
      </c>
    </row>
    <row r="129" spans="1:22" x14ac:dyDescent="0.3">
      <c r="A129" s="2">
        <v>43988</v>
      </c>
      <c r="B129">
        <v>75000</v>
      </c>
      <c r="C129">
        <v>157</v>
      </c>
      <c r="D129">
        <v>6</v>
      </c>
      <c r="E129" s="1" t="s">
        <v>43</v>
      </c>
      <c r="F129">
        <v>5</v>
      </c>
      <c r="G129" s="1" t="s">
        <v>23</v>
      </c>
      <c r="J129">
        <v>75000</v>
      </c>
      <c r="K129">
        <v>67000</v>
      </c>
      <c r="M129">
        <v>0</v>
      </c>
      <c r="N129">
        <v>116.6284</v>
      </c>
      <c r="O129">
        <v>0.18115833100000001</v>
      </c>
      <c r="P129">
        <v>14085.447270000001</v>
      </c>
      <c r="Q129">
        <v>26.92</v>
      </c>
      <c r="R129">
        <v>7.23</v>
      </c>
      <c r="S129">
        <v>82.43</v>
      </c>
      <c r="T129">
        <v>6</v>
      </c>
      <c r="U129" s="1" t="s">
        <v>25</v>
      </c>
      <c r="V129">
        <v>0</v>
      </c>
    </row>
    <row r="130" spans="1:22" x14ac:dyDescent="0.3">
      <c r="A130" s="2">
        <v>43989</v>
      </c>
      <c r="B130">
        <v>75000</v>
      </c>
      <c r="C130">
        <v>158</v>
      </c>
      <c r="D130">
        <v>6</v>
      </c>
      <c r="E130" s="1" t="s">
        <v>43</v>
      </c>
      <c r="F130">
        <v>6</v>
      </c>
      <c r="G130" s="1" t="s">
        <v>23</v>
      </c>
      <c r="J130">
        <v>75000</v>
      </c>
      <c r="K130">
        <v>67000</v>
      </c>
      <c r="L130">
        <v>51500</v>
      </c>
      <c r="M130">
        <v>0</v>
      </c>
      <c r="N130">
        <v>116.6284</v>
      </c>
      <c r="O130">
        <v>0.18115833100000001</v>
      </c>
      <c r="P130">
        <v>14085.447270000001</v>
      </c>
      <c r="Q130">
        <v>26.34</v>
      </c>
      <c r="R130">
        <v>41.89</v>
      </c>
      <c r="S130">
        <v>84.17</v>
      </c>
      <c r="T130">
        <v>7</v>
      </c>
      <c r="U130" s="1" t="s">
        <v>25</v>
      </c>
      <c r="V130">
        <v>0</v>
      </c>
    </row>
    <row r="131" spans="1:22" x14ac:dyDescent="0.3">
      <c r="A131" s="2">
        <v>43990</v>
      </c>
      <c r="B131">
        <v>72000</v>
      </c>
      <c r="C131">
        <v>159</v>
      </c>
      <c r="D131">
        <v>6</v>
      </c>
      <c r="E131" s="1" t="s">
        <v>43</v>
      </c>
      <c r="F131">
        <v>0</v>
      </c>
      <c r="G131" s="1" t="s">
        <v>23</v>
      </c>
      <c r="H131">
        <v>76000</v>
      </c>
      <c r="J131">
        <v>75000</v>
      </c>
      <c r="L131">
        <v>51500</v>
      </c>
      <c r="M131">
        <v>-3000</v>
      </c>
      <c r="N131">
        <v>116.6284</v>
      </c>
      <c r="O131">
        <v>0.18115833100000001</v>
      </c>
      <c r="P131">
        <v>13863</v>
      </c>
      <c r="Q131">
        <v>26.56</v>
      </c>
      <c r="R131">
        <v>10.220000000000001</v>
      </c>
      <c r="S131">
        <v>81.99</v>
      </c>
      <c r="T131">
        <v>8</v>
      </c>
      <c r="U131" s="1" t="s">
        <v>50</v>
      </c>
      <c r="V131">
        <v>-4</v>
      </c>
    </row>
    <row r="132" spans="1:22" x14ac:dyDescent="0.3">
      <c r="A132" s="2">
        <v>43991</v>
      </c>
      <c r="B132">
        <v>69500</v>
      </c>
      <c r="C132">
        <v>160</v>
      </c>
      <c r="D132">
        <v>6</v>
      </c>
      <c r="E132" s="1" t="s">
        <v>43</v>
      </c>
      <c r="F132">
        <v>1</v>
      </c>
      <c r="G132" s="1" t="s">
        <v>23</v>
      </c>
      <c r="H132">
        <v>74500</v>
      </c>
      <c r="J132">
        <v>72000</v>
      </c>
      <c r="K132">
        <v>80000</v>
      </c>
      <c r="L132">
        <v>51500</v>
      </c>
      <c r="M132">
        <v>-2500</v>
      </c>
      <c r="N132">
        <v>116.6284</v>
      </c>
      <c r="O132">
        <v>0.18115833100000001</v>
      </c>
      <c r="P132">
        <v>14070.799800000001</v>
      </c>
      <c r="Q132">
        <v>27.12</v>
      </c>
      <c r="R132">
        <v>6.78</v>
      </c>
      <c r="S132">
        <v>78.08</v>
      </c>
      <c r="T132">
        <v>9</v>
      </c>
      <c r="U132" s="1" t="s">
        <v>51</v>
      </c>
      <c r="V132">
        <v>-3.47</v>
      </c>
    </row>
    <row r="133" spans="1:22" x14ac:dyDescent="0.3">
      <c r="A133" s="2">
        <v>43992</v>
      </c>
      <c r="B133">
        <v>65750</v>
      </c>
      <c r="C133">
        <v>161</v>
      </c>
      <c r="D133">
        <v>6</v>
      </c>
      <c r="E133" s="1" t="s">
        <v>43</v>
      </c>
      <c r="F133">
        <v>2</v>
      </c>
      <c r="G133" s="1" t="s">
        <v>23</v>
      </c>
      <c r="H133">
        <v>72464.28571428571</v>
      </c>
      <c r="J133">
        <v>69500</v>
      </c>
      <c r="K133">
        <v>80000</v>
      </c>
      <c r="L133">
        <v>53500</v>
      </c>
      <c r="M133">
        <v>-3750</v>
      </c>
      <c r="N133">
        <v>116.6284</v>
      </c>
      <c r="O133">
        <v>0.18115833100000001</v>
      </c>
      <c r="P133">
        <v>13852.103520000001</v>
      </c>
      <c r="Q133">
        <v>27.09</v>
      </c>
      <c r="R133">
        <v>7.51</v>
      </c>
      <c r="S133">
        <v>81.89</v>
      </c>
      <c r="T133">
        <v>10</v>
      </c>
      <c r="U133" s="1" t="s">
        <v>39</v>
      </c>
      <c r="V133">
        <v>-5.4</v>
      </c>
    </row>
    <row r="134" spans="1:22" x14ac:dyDescent="0.3">
      <c r="A134" s="2">
        <v>43993</v>
      </c>
      <c r="B134">
        <v>66500</v>
      </c>
      <c r="C134">
        <v>162</v>
      </c>
      <c r="D134">
        <v>6</v>
      </c>
      <c r="E134" s="1" t="s">
        <v>43</v>
      </c>
      <c r="F134">
        <v>3</v>
      </c>
      <c r="G134" s="1" t="s">
        <v>23</v>
      </c>
      <c r="H134">
        <v>71250</v>
      </c>
      <c r="J134">
        <v>65750</v>
      </c>
      <c r="K134">
        <v>75000</v>
      </c>
      <c r="L134">
        <v>52500</v>
      </c>
      <c r="M134">
        <v>750</v>
      </c>
      <c r="N134">
        <v>116.6284</v>
      </c>
      <c r="O134">
        <v>0.18115833100000001</v>
      </c>
      <c r="P134">
        <v>13947.443359999999</v>
      </c>
      <c r="Q134">
        <v>26.64</v>
      </c>
      <c r="R134">
        <v>14.2</v>
      </c>
      <c r="S134">
        <v>83.46</v>
      </c>
      <c r="T134">
        <v>11</v>
      </c>
      <c r="U134" s="1" t="s">
        <v>52</v>
      </c>
      <c r="V134">
        <v>1.1399999999999999</v>
      </c>
    </row>
    <row r="135" spans="1:22" x14ac:dyDescent="0.3">
      <c r="A135" s="2">
        <v>43994</v>
      </c>
      <c r="B135">
        <v>65500</v>
      </c>
      <c r="C135">
        <v>163</v>
      </c>
      <c r="D135">
        <v>6</v>
      </c>
      <c r="E135" s="1" t="s">
        <v>43</v>
      </c>
      <c r="F135">
        <v>4</v>
      </c>
      <c r="G135" s="1" t="s">
        <v>23</v>
      </c>
      <c r="H135">
        <v>69892.857142857145</v>
      </c>
      <c r="J135">
        <v>66500</v>
      </c>
      <c r="K135">
        <v>75000</v>
      </c>
      <c r="L135">
        <v>52500</v>
      </c>
      <c r="M135">
        <v>-1000</v>
      </c>
      <c r="N135">
        <v>116.6284</v>
      </c>
      <c r="O135">
        <v>0.18115833100000001</v>
      </c>
      <c r="P135">
        <v>14475</v>
      </c>
      <c r="Q135">
        <v>26.31</v>
      </c>
      <c r="R135">
        <v>2.8</v>
      </c>
      <c r="S135">
        <v>84.32</v>
      </c>
      <c r="T135">
        <v>12</v>
      </c>
      <c r="U135" s="1" t="s">
        <v>30</v>
      </c>
      <c r="V135">
        <v>-1.5</v>
      </c>
    </row>
    <row r="136" spans="1:22" x14ac:dyDescent="0.3">
      <c r="A136" s="2">
        <v>43995</v>
      </c>
      <c r="B136">
        <v>65500</v>
      </c>
      <c r="C136">
        <v>164</v>
      </c>
      <c r="D136">
        <v>6</v>
      </c>
      <c r="E136" s="1" t="s">
        <v>43</v>
      </c>
      <c r="F136">
        <v>5</v>
      </c>
      <c r="G136" s="1" t="s">
        <v>23</v>
      </c>
      <c r="H136">
        <v>68535.71428571429</v>
      </c>
      <c r="J136">
        <v>65500</v>
      </c>
      <c r="K136">
        <v>75000</v>
      </c>
      <c r="L136">
        <v>54500</v>
      </c>
      <c r="M136">
        <v>0</v>
      </c>
      <c r="N136">
        <v>116.6284</v>
      </c>
      <c r="O136">
        <v>0.18115833100000001</v>
      </c>
      <c r="P136">
        <v>14475</v>
      </c>
      <c r="Q136">
        <v>26.58</v>
      </c>
      <c r="R136">
        <v>7.26</v>
      </c>
      <c r="S136">
        <v>85.35</v>
      </c>
      <c r="T136">
        <v>13</v>
      </c>
      <c r="U136" s="1" t="s">
        <v>30</v>
      </c>
      <c r="V136">
        <v>-1.5</v>
      </c>
    </row>
    <row r="137" spans="1:22" x14ac:dyDescent="0.3">
      <c r="A137" s="2">
        <v>43996</v>
      </c>
      <c r="B137">
        <v>65500</v>
      </c>
      <c r="C137">
        <v>165</v>
      </c>
      <c r="D137">
        <v>6</v>
      </c>
      <c r="E137" s="1" t="s">
        <v>43</v>
      </c>
      <c r="F137">
        <v>6</v>
      </c>
      <c r="G137" s="1" t="s">
        <v>23</v>
      </c>
      <c r="H137">
        <v>67178.571428571435</v>
      </c>
      <c r="J137">
        <v>65500</v>
      </c>
      <c r="K137">
        <v>75000</v>
      </c>
      <c r="L137">
        <v>54500</v>
      </c>
      <c r="M137">
        <v>0</v>
      </c>
      <c r="N137">
        <v>116.6284</v>
      </c>
      <c r="O137">
        <v>0.18115833100000001</v>
      </c>
      <c r="P137">
        <v>14475</v>
      </c>
      <c r="Q137">
        <v>27.02</v>
      </c>
      <c r="R137">
        <v>6.49</v>
      </c>
      <c r="S137">
        <v>84.02</v>
      </c>
      <c r="T137">
        <v>14</v>
      </c>
      <c r="U137" s="1" t="s">
        <v>30</v>
      </c>
      <c r="V137">
        <v>-1.5</v>
      </c>
    </row>
    <row r="138" spans="1:22" x14ac:dyDescent="0.3">
      <c r="A138" s="2">
        <v>43997</v>
      </c>
      <c r="B138">
        <v>62500</v>
      </c>
      <c r="C138">
        <v>166</v>
      </c>
      <c r="D138">
        <v>6</v>
      </c>
      <c r="E138" s="1" t="s">
        <v>43</v>
      </c>
      <c r="F138">
        <v>0</v>
      </c>
      <c r="G138" s="1" t="s">
        <v>23</v>
      </c>
      <c r="H138">
        <v>65821.428571428565</v>
      </c>
      <c r="J138">
        <v>65500</v>
      </c>
      <c r="K138">
        <v>72000</v>
      </c>
      <c r="M138">
        <v>-3000</v>
      </c>
      <c r="N138">
        <v>116.6284</v>
      </c>
      <c r="O138">
        <v>0.18115833100000001</v>
      </c>
      <c r="P138">
        <v>14118</v>
      </c>
      <c r="Q138">
        <v>27.38</v>
      </c>
      <c r="R138">
        <v>5</v>
      </c>
      <c r="S138">
        <v>78.84</v>
      </c>
      <c r="T138">
        <v>15</v>
      </c>
      <c r="U138" s="1" t="s">
        <v>50</v>
      </c>
      <c r="V138">
        <v>-4.58</v>
      </c>
    </row>
    <row r="139" spans="1:22" x14ac:dyDescent="0.3">
      <c r="A139" s="2">
        <v>43998</v>
      </c>
      <c r="B139">
        <v>59000</v>
      </c>
      <c r="C139">
        <v>167</v>
      </c>
      <c r="D139">
        <v>6</v>
      </c>
      <c r="E139" s="1" t="s">
        <v>43</v>
      </c>
      <c r="F139">
        <v>1</v>
      </c>
      <c r="G139" s="1" t="s">
        <v>23</v>
      </c>
      <c r="H139">
        <v>64321.428571428572</v>
      </c>
      <c r="J139">
        <v>62500</v>
      </c>
      <c r="K139">
        <v>69500</v>
      </c>
      <c r="M139">
        <v>-3500</v>
      </c>
      <c r="N139">
        <v>116.6284</v>
      </c>
      <c r="O139">
        <v>0.18115833100000001</v>
      </c>
      <c r="P139">
        <v>13988.119140000001</v>
      </c>
      <c r="Q139">
        <v>27.69</v>
      </c>
      <c r="R139">
        <v>1.54</v>
      </c>
      <c r="S139">
        <v>75.59</v>
      </c>
      <c r="T139">
        <v>16</v>
      </c>
      <c r="U139" s="1" t="s">
        <v>53</v>
      </c>
      <c r="V139">
        <v>-5.6</v>
      </c>
    </row>
    <row r="140" spans="1:22" x14ac:dyDescent="0.3">
      <c r="A140" s="2">
        <v>43999</v>
      </c>
      <c r="B140">
        <v>54000</v>
      </c>
      <c r="C140">
        <v>168</v>
      </c>
      <c r="D140">
        <v>6</v>
      </c>
      <c r="E140" s="1" t="s">
        <v>43</v>
      </c>
      <c r="F140">
        <v>2</v>
      </c>
      <c r="G140" s="1" t="s">
        <v>23</v>
      </c>
      <c r="H140">
        <v>62642.857142857145</v>
      </c>
      <c r="J140">
        <v>59000</v>
      </c>
      <c r="K140">
        <v>65750</v>
      </c>
      <c r="L140">
        <v>56000</v>
      </c>
      <c r="M140">
        <v>-5000</v>
      </c>
      <c r="N140">
        <v>116.6284</v>
      </c>
      <c r="O140">
        <v>0.18115833100000001</v>
      </c>
      <c r="P140">
        <v>14275</v>
      </c>
      <c r="Q140">
        <v>27.28</v>
      </c>
      <c r="R140">
        <v>0.9</v>
      </c>
      <c r="S140">
        <v>81.61</v>
      </c>
      <c r="T140">
        <v>17</v>
      </c>
      <c r="U140" s="1" t="s">
        <v>49</v>
      </c>
      <c r="V140">
        <v>-8.4700000000000006</v>
      </c>
    </row>
    <row r="141" spans="1:22" x14ac:dyDescent="0.3">
      <c r="A141" s="2">
        <v>44000</v>
      </c>
      <c r="B141">
        <v>54000</v>
      </c>
      <c r="C141">
        <v>169</v>
      </c>
      <c r="D141">
        <v>6</v>
      </c>
      <c r="E141" s="1" t="s">
        <v>43</v>
      </c>
      <c r="F141">
        <v>3</v>
      </c>
      <c r="G141" s="1" t="s">
        <v>23</v>
      </c>
      <c r="H141">
        <v>60857.142857142855</v>
      </c>
      <c r="J141">
        <v>54000</v>
      </c>
      <c r="K141">
        <v>66500</v>
      </c>
      <c r="L141">
        <v>56000</v>
      </c>
      <c r="M141">
        <v>0</v>
      </c>
      <c r="N141">
        <v>116.6284</v>
      </c>
      <c r="O141">
        <v>0.18115833100000001</v>
      </c>
      <c r="P141">
        <v>14102.735350000001</v>
      </c>
      <c r="Q141">
        <v>26.84</v>
      </c>
      <c r="R141">
        <v>7.54</v>
      </c>
      <c r="S141">
        <v>85.88</v>
      </c>
      <c r="T141">
        <v>18</v>
      </c>
      <c r="U141" s="1" t="s">
        <v>25</v>
      </c>
      <c r="V141">
        <v>0</v>
      </c>
    </row>
    <row r="142" spans="1:22" x14ac:dyDescent="0.3">
      <c r="A142" s="2">
        <v>44001</v>
      </c>
      <c r="B142">
        <v>54000</v>
      </c>
      <c r="C142">
        <v>170</v>
      </c>
      <c r="D142">
        <v>6</v>
      </c>
      <c r="E142" s="1" t="s">
        <v>43</v>
      </c>
      <c r="F142">
        <v>4</v>
      </c>
      <c r="G142" s="1" t="s">
        <v>23</v>
      </c>
      <c r="H142">
        <v>59214.285714285717</v>
      </c>
      <c r="J142">
        <v>54000</v>
      </c>
      <c r="K142">
        <v>65500</v>
      </c>
      <c r="L142">
        <v>60750</v>
      </c>
      <c r="M142">
        <v>0</v>
      </c>
      <c r="N142">
        <v>116.6284</v>
      </c>
      <c r="O142">
        <v>0.18115833100000001</v>
      </c>
      <c r="P142">
        <v>13997.69238</v>
      </c>
      <c r="Q142">
        <v>27.16</v>
      </c>
      <c r="R142">
        <v>0.78</v>
      </c>
      <c r="S142">
        <v>79.569999999999993</v>
      </c>
      <c r="T142">
        <v>19</v>
      </c>
      <c r="U142" s="1" t="s">
        <v>25</v>
      </c>
      <c r="V142">
        <v>0</v>
      </c>
    </row>
    <row r="143" spans="1:22" x14ac:dyDescent="0.3">
      <c r="A143" s="2">
        <v>44004</v>
      </c>
      <c r="B143">
        <v>50750</v>
      </c>
      <c r="C143">
        <v>173</v>
      </c>
      <c r="D143">
        <v>6</v>
      </c>
      <c r="E143" s="1" t="s">
        <v>43</v>
      </c>
      <c r="F143">
        <v>0</v>
      </c>
      <c r="G143" s="1" t="s">
        <v>23</v>
      </c>
      <c r="K143">
        <v>62500</v>
      </c>
      <c r="N143">
        <v>116.6284</v>
      </c>
      <c r="O143">
        <v>0.18115833100000001</v>
      </c>
      <c r="P143">
        <v>14093</v>
      </c>
      <c r="Q143">
        <v>27.09</v>
      </c>
      <c r="R143">
        <v>3.58</v>
      </c>
      <c r="S143">
        <v>80.400000000000006</v>
      </c>
      <c r="T143">
        <v>22</v>
      </c>
      <c r="U143" s="1"/>
      <c r="V143">
        <v>0</v>
      </c>
    </row>
    <row r="144" spans="1:22" x14ac:dyDescent="0.3">
      <c r="A144" s="2">
        <v>44005</v>
      </c>
      <c r="B144">
        <v>50750</v>
      </c>
      <c r="C144">
        <v>174</v>
      </c>
      <c r="D144">
        <v>6</v>
      </c>
      <c r="E144" s="1" t="s">
        <v>43</v>
      </c>
      <c r="F144">
        <v>1</v>
      </c>
      <c r="G144" s="1" t="s">
        <v>23</v>
      </c>
      <c r="J144">
        <v>50750</v>
      </c>
      <c r="K144">
        <v>59000</v>
      </c>
      <c r="M144">
        <v>0</v>
      </c>
      <c r="N144">
        <v>116.6284</v>
      </c>
      <c r="O144">
        <v>0.18115833100000001</v>
      </c>
      <c r="P144">
        <v>14080.134770000001</v>
      </c>
      <c r="Q144">
        <v>27.06</v>
      </c>
      <c r="R144">
        <v>7.19</v>
      </c>
      <c r="S144">
        <v>83.94</v>
      </c>
      <c r="T144">
        <v>23</v>
      </c>
      <c r="U144" s="1" t="s">
        <v>25</v>
      </c>
      <c r="V144">
        <v>0</v>
      </c>
    </row>
    <row r="145" spans="1:22" x14ac:dyDescent="0.3">
      <c r="A145" s="2">
        <v>44006</v>
      </c>
      <c r="B145">
        <v>50000</v>
      </c>
      <c r="C145">
        <v>175</v>
      </c>
      <c r="D145">
        <v>6</v>
      </c>
      <c r="E145" s="1" t="s">
        <v>43</v>
      </c>
      <c r="F145">
        <v>2</v>
      </c>
      <c r="G145" s="1" t="s">
        <v>23</v>
      </c>
      <c r="J145">
        <v>50750</v>
      </c>
      <c r="K145">
        <v>54000</v>
      </c>
      <c r="M145">
        <v>-750</v>
      </c>
      <c r="N145">
        <v>116.6284</v>
      </c>
      <c r="O145">
        <v>0.18115833100000001</v>
      </c>
      <c r="P145">
        <v>14113.177729999999</v>
      </c>
      <c r="Q145">
        <v>26.81</v>
      </c>
      <c r="R145">
        <v>7.93</v>
      </c>
      <c r="S145">
        <v>83.35</v>
      </c>
      <c r="T145">
        <v>24</v>
      </c>
      <c r="U145" s="1" t="s">
        <v>42</v>
      </c>
      <c r="V145">
        <v>-1.48</v>
      </c>
    </row>
    <row r="146" spans="1:22" x14ac:dyDescent="0.3">
      <c r="A146" s="2">
        <v>44007</v>
      </c>
      <c r="B146">
        <v>50000</v>
      </c>
      <c r="C146">
        <v>176</v>
      </c>
      <c r="D146">
        <v>6</v>
      </c>
      <c r="E146" s="1" t="s">
        <v>43</v>
      </c>
      <c r="F146">
        <v>3</v>
      </c>
      <c r="G146" s="1" t="s">
        <v>23</v>
      </c>
      <c r="J146">
        <v>50000</v>
      </c>
      <c r="K146">
        <v>54000</v>
      </c>
      <c r="L146">
        <v>69000</v>
      </c>
      <c r="M146">
        <v>0</v>
      </c>
      <c r="N146">
        <v>116.6284</v>
      </c>
      <c r="O146">
        <v>0.18115833100000001</v>
      </c>
      <c r="P146">
        <v>14289.299800000001</v>
      </c>
      <c r="Q146">
        <v>26.74</v>
      </c>
      <c r="R146">
        <v>5.71</v>
      </c>
      <c r="S146">
        <v>83.8</v>
      </c>
      <c r="T146">
        <v>25</v>
      </c>
      <c r="U146" s="1" t="s">
        <v>25</v>
      </c>
      <c r="V146">
        <v>0</v>
      </c>
    </row>
    <row r="147" spans="1:22" x14ac:dyDescent="0.3">
      <c r="A147" s="2">
        <v>44008</v>
      </c>
      <c r="B147">
        <v>48000</v>
      </c>
      <c r="C147">
        <v>177</v>
      </c>
      <c r="D147">
        <v>6</v>
      </c>
      <c r="E147" s="1" t="s">
        <v>43</v>
      </c>
      <c r="F147">
        <v>4</v>
      </c>
      <c r="G147" s="1" t="s">
        <v>23</v>
      </c>
      <c r="J147">
        <v>50000</v>
      </c>
      <c r="K147">
        <v>54000</v>
      </c>
      <c r="L147">
        <v>67000</v>
      </c>
      <c r="M147">
        <v>-2000</v>
      </c>
      <c r="N147">
        <v>116.6284</v>
      </c>
      <c r="O147">
        <v>0.18115833100000001</v>
      </c>
      <c r="P147">
        <v>14376.200199999999</v>
      </c>
      <c r="Q147">
        <v>26.16</v>
      </c>
      <c r="R147">
        <v>8.7200000000000006</v>
      </c>
      <c r="S147">
        <v>82.36</v>
      </c>
      <c r="T147">
        <v>26</v>
      </c>
      <c r="U147" s="1" t="s">
        <v>45</v>
      </c>
      <c r="V147">
        <v>-4</v>
      </c>
    </row>
    <row r="148" spans="1:22" x14ac:dyDescent="0.3">
      <c r="A148" s="2">
        <v>44009</v>
      </c>
      <c r="B148">
        <v>48000</v>
      </c>
      <c r="C148">
        <v>178</v>
      </c>
      <c r="D148">
        <v>6</v>
      </c>
      <c r="E148" s="1" t="s">
        <v>43</v>
      </c>
      <c r="F148">
        <v>5</v>
      </c>
      <c r="G148" s="1" t="s">
        <v>23</v>
      </c>
      <c r="J148">
        <v>48000</v>
      </c>
      <c r="L148">
        <v>67000</v>
      </c>
      <c r="M148">
        <v>0</v>
      </c>
      <c r="N148">
        <v>116.6284</v>
      </c>
      <c r="O148">
        <v>0.18115833100000001</v>
      </c>
      <c r="P148">
        <v>14376.200199999999</v>
      </c>
      <c r="Q148">
        <v>25.54</v>
      </c>
      <c r="R148">
        <v>16.28</v>
      </c>
      <c r="S148">
        <v>81.52</v>
      </c>
      <c r="T148">
        <v>27</v>
      </c>
      <c r="U148" s="1" t="s">
        <v>45</v>
      </c>
      <c r="V148">
        <v>-4</v>
      </c>
    </row>
    <row r="149" spans="1:22" x14ac:dyDescent="0.3">
      <c r="A149" s="2">
        <v>44010</v>
      </c>
      <c r="B149">
        <v>48000</v>
      </c>
      <c r="C149">
        <v>179</v>
      </c>
      <c r="D149">
        <v>6</v>
      </c>
      <c r="E149" s="1" t="s">
        <v>43</v>
      </c>
      <c r="F149">
        <v>6</v>
      </c>
      <c r="G149" s="1" t="s">
        <v>23</v>
      </c>
      <c r="H149">
        <v>49357.142857142855</v>
      </c>
      <c r="J149">
        <v>48000</v>
      </c>
      <c r="L149">
        <v>67000</v>
      </c>
      <c r="M149">
        <v>0</v>
      </c>
      <c r="N149">
        <v>116.6284</v>
      </c>
      <c r="O149">
        <v>0.18115833100000001</v>
      </c>
      <c r="P149">
        <v>14376.200199999999</v>
      </c>
      <c r="Q149">
        <v>26.26</v>
      </c>
      <c r="R149">
        <v>13.51</v>
      </c>
      <c r="S149">
        <v>79.89</v>
      </c>
      <c r="T149">
        <v>28</v>
      </c>
      <c r="U149" s="1" t="s">
        <v>45</v>
      </c>
      <c r="V149">
        <v>-4</v>
      </c>
    </row>
    <row r="150" spans="1:22" x14ac:dyDescent="0.3">
      <c r="A150" s="2">
        <v>44011</v>
      </c>
      <c r="B150">
        <v>46000</v>
      </c>
      <c r="C150">
        <v>180</v>
      </c>
      <c r="D150">
        <v>6</v>
      </c>
      <c r="E150" s="1" t="s">
        <v>43</v>
      </c>
      <c r="F150">
        <v>0</v>
      </c>
      <c r="G150" s="1" t="s">
        <v>23</v>
      </c>
      <c r="H150">
        <v>48678.571428571428</v>
      </c>
      <c r="J150">
        <v>48000</v>
      </c>
      <c r="K150">
        <v>50750</v>
      </c>
      <c r="L150">
        <v>67000</v>
      </c>
      <c r="M150">
        <v>-2000</v>
      </c>
      <c r="N150">
        <v>116.6284</v>
      </c>
      <c r="O150">
        <v>0.18115833100000001</v>
      </c>
      <c r="P150">
        <v>14213</v>
      </c>
      <c r="Q150">
        <v>26.21</v>
      </c>
      <c r="R150">
        <v>8.2899999999999991</v>
      </c>
      <c r="S150">
        <v>84.37</v>
      </c>
      <c r="T150">
        <v>29</v>
      </c>
      <c r="U150" s="1" t="s">
        <v>45</v>
      </c>
      <c r="V150">
        <v>-4.17</v>
      </c>
    </row>
    <row r="151" spans="1:22" x14ac:dyDescent="0.3">
      <c r="A151" s="2">
        <v>44012</v>
      </c>
      <c r="B151">
        <v>47250</v>
      </c>
      <c r="C151">
        <v>181</v>
      </c>
      <c r="D151">
        <v>6</v>
      </c>
      <c r="E151" s="1" t="s">
        <v>43</v>
      </c>
      <c r="F151">
        <v>1</v>
      </c>
      <c r="G151" s="1" t="s">
        <v>23</v>
      </c>
      <c r="H151">
        <v>48178.571428571428</v>
      </c>
      <c r="J151">
        <v>46000</v>
      </c>
      <c r="K151">
        <v>50750</v>
      </c>
      <c r="L151">
        <v>67000</v>
      </c>
      <c r="M151">
        <v>1250</v>
      </c>
      <c r="N151">
        <v>116.6284</v>
      </c>
      <c r="O151">
        <v>0.18115833100000001</v>
      </c>
      <c r="P151">
        <v>14470.200199999999</v>
      </c>
      <c r="Q151">
        <v>26.81</v>
      </c>
      <c r="R151">
        <v>3.68</v>
      </c>
      <c r="S151">
        <v>77.67</v>
      </c>
      <c r="T151">
        <v>30</v>
      </c>
      <c r="U151" s="1" t="s">
        <v>36</v>
      </c>
      <c r="V151">
        <v>2.72</v>
      </c>
    </row>
    <row r="152" spans="1:22" x14ac:dyDescent="0.3">
      <c r="A152" s="2">
        <v>44013</v>
      </c>
      <c r="B152">
        <v>45500</v>
      </c>
      <c r="C152">
        <v>182</v>
      </c>
      <c r="D152">
        <v>7</v>
      </c>
      <c r="E152" s="1" t="s">
        <v>43</v>
      </c>
      <c r="F152">
        <v>2</v>
      </c>
      <c r="G152" s="1" t="s">
        <v>23</v>
      </c>
      <c r="H152">
        <v>47535.714285714283</v>
      </c>
      <c r="J152">
        <v>47250</v>
      </c>
      <c r="K152">
        <v>50000</v>
      </c>
      <c r="M152">
        <v>-1750</v>
      </c>
      <c r="N152">
        <v>116.5063</v>
      </c>
      <c r="O152">
        <v>-0.104691482</v>
      </c>
      <c r="P152">
        <v>14194.05078</v>
      </c>
      <c r="Q152">
        <v>26.22</v>
      </c>
      <c r="R152">
        <v>13.3</v>
      </c>
      <c r="S152">
        <v>81.48</v>
      </c>
      <c r="T152">
        <v>1</v>
      </c>
      <c r="U152" s="1" t="s">
        <v>54</v>
      </c>
      <c r="V152">
        <v>-3.7</v>
      </c>
    </row>
    <row r="153" spans="1:22" x14ac:dyDescent="0.3">
      <c r="A153" s="2">
        <v>44014</v>
      </c>
      <c r="B153">
        <v>43500</v>
      </c>
      <c r="C153">
        <v>183</v>
      </c>
      <c r="D153">
        <v>7</v>
      </c>
      <c r="E153" s="1" t="s">
        <v>43</v>
      </c>
      <c r="F153">
        <v>3</v>
      </c>
      <c r="G153" s="1" t="s">
        <v>23</v>
      </c>
      <c r="H153">
        <v>46607.142857142855</v>
      </c>
      <c r="J153">
        <v>45500</v>
      </c>
      <c r="K153">
        <v>50000</v>
      </c>
      <c r="L153">
        <v>80000</v>
      </c>
      <c r="M153">
        <v>-2000</v>
      </c>
      <c r="N153">
        <v>116.5063</v>
      </c>
      <c r="O153">
        <v>-0.104691482</v>
      </c>
      <c r="P153">
        <v>14187.858399999999</v>
      </c>
      <c r="Q153">
        <v>25.6</v>
      </c>
      <c r="R153">
        <v>13.1</v>
      </c>
      <c r="S153">
        <v>84.93</v>
      </c>
      <c r="T153">
        <v>2</v>
      </c>
      <c r="U153" s="1" t="s">
        <v>45</v>
      </c>
      <c r="V153">
        <v>-4.4000000000000004</v>
      </c>
    </row>
    <row r="154" spans="1:22" x14ac:dyDescent="0.3">
      <c r="A154" s="2">
        <v>44015</v>
      </c>
      <c r="B154">
        <v>43750</v>
      </c>
      <c r="C154">
        <v>184</v>
      </c>
      <c r="D154">
        <v>7</v>
      </c>
      <c r="E154" s="1" t="s">
        <v>43</v>
      </c>
      <c r="F154">
        <v>4</v>
      </c>
      <c r="G154" s="1" t="s">
        <v>23</v>
      </c>
      <c r="H154">
        <v>46000</v>
      </c>
      <c r="J154">
        <v>43500</v>
      </c>
      <c r="K154">
        <v>48000</v>
      </c>
      <c r="L154">
        <v>80000</v>
      </c>
      <c r="M154">
        <v>250</v>
      </c>
      <c r="N154">
        <v>116.5063</v>
      </c>
      <c r="O154">
        <v>-0.104691482</v>
      </c>
      <c r="P154">
        <v>14298.7793</v>
      </c>
      <c r="Q154">
        <v>25.93</v>
      </c>
      <c r="R154">
        <v>8.7100000000000009</v>
      </c>
      <c r="S154">
        <v>83.83</v>
      </c>
      <c r="T154">
        <v>3</v>
      </c>
      <c r="U154" s="1" t="s">
        <v>34</v>
      </c>
      <c r="V154">
        <v>0.56999999999999995</v>
      </c>
    </row>
    <row r="155" spans="1:22" x14ac:dyDescent="0.3">
      <c r="A155" s="2">
        <v>44016</v>
      </c>
      <c r="B155">
        <v>43750</v>
      </c>
      <c r="C155">
        <v>185</v>
      </c>
      <c r="D155">
        <v>7</v>
      </c>
      <c r="E155" s="1" t="s">
        <v>43</v>
      </c>
      <c r="F155">
        <v>5</v>
      </c>
      <c r="G155" s="1" t="s">
        <v>23</v>
      </c>
      <c r="H155">
        <v>45392.857142857145</v>
      </c>
      <c r="J155">
        <v>43750</v>
      </c>
      <c r="K155">
        <v>48000</v>
      </c>
      <c r="L155">
        <v>75000</v>
      </c>
      <c r="M155">
        <v>0</v>
      </c>
      <c r="N155">
        <v>116.5063</v>
      </c>
      <c r="O155">
        <v>-0.104691482</v>
      </c>
      <c r="P155">
        <v>14298.7793</v>
      </c>
      <c r="Q155">
        <v>26.27</v>
      </c>
      <c r="R155">
        <v>3.87</v>
      </c>
      <c r="S155">
        <v>81.11</v>
      </c>
      <c r="T155">
        <v>4</v>
      </c>
      <c r="U155" s="1" t="s">
        <v>34</v>
      </c>
      <c r="V155">
        <v>0.56999999999999995</v>
      </c>
    </row>
    <row r="156" spans="1:22" x14ac:dyDescent="0.3">
      <c r="A156" s="2">
        <v>44017</v>
      </c>
      <c r="B156">
        <v>43750</v>
      </c>
      <c r="C156">
        <v>186</v>
      </c>
      <c r="D156">
        <v>7</v>
      </c>
      <c r="E156" s="1" t="s">
        <v>43</v>
      </c>
      <c r="F156">
        <v>6</v>
      </c>
      <c r="G156" s="1" t="s">
        <v>23</v>
      </c>
      <c r="H156">
        <v>44785.714285714283</v>
      </c>
      <c r="J156">
        <v>43750</v>
      </c>
      <c r="K156">
        <v>48000</v>
      </c>
      <c r="L156">
        <v>75000</v>
      </c>
      <c r="M156">
        <v>0</v>
      </c>
      <c r="N156">
        <v>116.5063</v>
      </c>
      <c r="O156">
        <v>-0.104691482</v>
      </c>
      <c r="P156">
        <v>14298.7793</v>
      </c>
      <c r="Q156">
        <v>26.29</v>
      </c>
      <c r="R156">
        <v>1.64</v>
      </c>
      <c r="S156">
        <v>81.819999999999993</v>
      </c>
      <c r="T156">
        <v>5</v>
      </c>
      <c r="U156" s="1" t="s">
        <v>34</v>
      </c>
      <c r="V156">
        <v>0.56999999999999995</v>
      </c>
    </row>
    <row r="157" spans="1:22" x14ac:dyDescent="0.3">
      <c r="A157" s="2">
        <v>44018</v>
      </c>
      <c r="B157">
        <v>43500</v>
      </c>
      <c r="C157">
        <v>187</v>
      </c>
      <c r="D157">
        <v>7</v>
      </c>
      <c r="E157" s="1" t="s">
        <v>43</v>
      </c>
      <c r="F157">
        <v>0</v>
      </c>
      <c r="G157" s="1" t="s">
        <v>23</v>
      </c>
      <c r="H157">
        <v>44428.571428571428</v>
      </c>
      <c r="J157">
        <v>43750</v>
      </c>
      <c r="K157">
        <v>46000</v>
      </c>
      <c r="L157">
        <v>75000</v>
      </c>
      <c r="M157">
        <v>-250</v>
      </c>
      <c r="N157">
        <v>116.5063</v>
      </c>
      <c r="O157">
        <v>-0.104691482</v>
      </c>
      <c r="P157">
        <v>14503</v>
      </c>
      <c r="Q157">
        <v>25.93</v>
      </c>
      <c r="R157">
        <v>3.2</v>
      </c>
      <c r="S157">
        <v>84.78</v>
      </c>
      <c r="T157">
        <v>6</v>
      </c>
      <c r="U157" s="1"/>
      <c r="V157">
        <v>0</v>
      </c>
    </row>
    <row r="158" spans="1:22" x14ac:dyDescent="0.3">
      <c r="A158" s="2">
        <v>44019</v>
      </c>
      <c r="B158">
        <v>43500</v>
      </c>
      <c r="C158">
        <v>188</v>
      </c>
      <c r="D158">
        <v>7</v>
      </c>
      <c r="E158" s="1" t="s">
        <v>43</v>
      </c>
      <c r="F158">
        <v>1</v>
      </c>
      <c r="G158" s="1" t="s">
        <v>23</v>
      </c>
      <c r="H158">
        <v>43892.857142857145</v>
      </c>
      <c r="J158">
        <v>43500</v>
      </c>
      <c r="K158">
        <v>47250</v>
      </c>
      <c r="L158">
        <v>75000</v>
      </c>
      <c r="M158">
        <v>0</v>
      </c>
      <c r="N158">
        <v>116.5063</v>
      </c>
      <c r="O158">
        <v>-0.104691482</v>
      </c>
      <c r="P158">
        <v>14206.50879</v>
      </c>
      <c r="Q158">
        <v>26.38</v>
      </c>
      <c r="R158">
        <v>6.72</v>
      </c>
      <c r="S158">
        <v>83.75</v>
      </c>
      <c r="T158">
        <v>7</v>
      </c>
      <c r="U158" s="1" t="s">
        <v>25</v>
      </c>
      <c r="V158">
        <v>0</v>
      </c>
    </row>
    <row r="159" spans="1:22" x14ac:dyDescent="0.3">
      <c r="A159" s="2">
        <v>44020</v>
      </c>
      <c r="B159">
        <v>43250</v>
      </c>
      <c r="C159">
        <v>189</v>
      </c>
      <c r="D159">
        <v>7</v>
      </c>
      <c r="E159" s="1" t="s">
        <v>43</v>
      </c>
      <c r="F159">
        <v>2</v>
      </c>
      <c r="G159" s="1" t="s">
        <v>23</v>
      </c>
      <c r="H159">
        <v>43571.428571428572</v>
      </c>
      <c r="J159">
        <v>43500</v>
      </c>
      <c r="K159">
        <v>45500</v>
      </c>
      <c r="L159">
        <v>72000</v>
      </c>
      <c r="M159">
        <v>-250</v>
      </c>
      <c r="N159">
        <v>116.5063</v>
      </c>
      <c r="O159">
        <v>-0.104691482</v>
      </c>
      <c r="P159">
        <v>14483.5</v>
      </c>
      <c r="Q159">
        <v>26.55</v>
      </c>
      <c r="R159">
        <v>6.23</v>
      </c>
      <c r="S159">
        <v>80.819999999999993</v>
      </c>
      <c r="T159">
        <v>8</v>
      </c>
      <c r="U159" s="1" t="s">
        <v>35</v>
      </c>
      <c r="V159">
        <v>-0.56999999999999995</v>
      </c>
    </row>
    <row r="160" spans="1:22" x14ac:dyDescent="0.3">
      <c r="A160" s="2">
        <v>44021</v>
      </c>
      <c r="B160">
        <v>42000</v>
      </c>
      <c r="C160">
        <v>190</v>
      </c>
      <c r="D160">
        <v>7</v>
      </c>
      <c r="E160" s="1" t="s">
        <v>43</v>
      </c>
      <c r="F160">
        <v>3</v>
      </c>
      <c r="G160" s="1" t="s">
        <v>23</v>
      </c>
      <c r="H160">
        <v>43357.142857142855</v>
      </c>
      <c r="J160">
        <v>43250</v>
      </c>
      <c r="K160">
        <v>43500</v>
      </c>
      <c r="L160">
        <v>69500</v>
      </c>
      <c r="M160">
        <v>-1250</v>
      </c>
      <c r="N160">
        <v>116.5063</v>
      </c>
      <c r="O160">
        <v>-0.104691482</v>
      </c>
      <c r="P160">
        <v>14349.565430000001</v>
      </c>
      <c r="Q160">
        <v>26.18</v>
      </c>
      <c r="R160">
        <v>5.14</v>
      </c>
      <c r="S160">
        <v>84.22</v>
      </c>
      <c r="T160">
        <v>9</v>
      </c>
      <c r="U160" s="1" t="s">
        <v>40</v>
      </c>
      <c r="V160">
        <v>-2.89</v>
      </c>
    </row>
    <row r="161" spans="1:22" x14ac:dyDescent="0.3">
      <c r="A161" s="2">
        <v>44022</v>
      </c>
      <c r="B161">
        <v>42000</v>
      </c>
      <c r="C161">
        <v>191</v>
      </c>
      <c r="D161">
        <v>7</v>
      </c>
      <c r="E161" s="1" t="s">
        <v>43</v>
      </c>
      <c r="F161">
        <v>4</v>
      </c>
      <c r="G161" s="1" t="s">
        <v>23</v>
      </c>
      <c r="H161">
        <v>43107.142857142855</v>
      </c>
      <c r="J161">
        <v>42000</v>
      </c>
      <c r="K161">
        <v>43750</v>
      </c>
      <c r="L161">
        <v>65750</v>
      </c>
      <c r="M161">
        <v>0</v>
      </c>
      <c r="N161">
        <v>116.5063</v>
      </c>
      <c r="O161">
        <v>-0.104691482</v>
      </c>
      <c r="P161">
        <v>14545.700199999999</v>
      </c>
      <c r="Q161">
        <v>25.85</v>
      </c>
      <c r="R161">
        <v>8.7200000000000006</v>
      </c>
      <c r="S161">
        <v>85.3</v>
      </c>
      <c r="T161">
        <v>10</v>
      </c>
      <c r="U161" s="1" t="s">
        <v>25</v>
      </c>
      <c r="V161">
        <v>0</v>
      </c>
    </row>
    <row r="162" spans="1:22" x14ac:dyDescent="0.3">
      <c r="A162" s="2">
        <v>44023</v>
      </c>
      <c r="B162">
        <v>42000</v>
      </c>
      <c r="C162">
        <v>192</v>
      </c>
      <c r="D162">
        <v>7</v>
      </c>
      <c r="E162" s="1" t="s">
        <v>43</v>
      </c>
      <c r="F162">
        <v>5</v>
      </c>
      <c r="G162" s="1" t="s">
        <v>23</v>
      </c>
      <c r="H162">
        <v>42857.142857142855</v>
      </c>
      <c r="J162">
        <v>42000</v>
      </c>
      <c r="K162">
        <v>43750</v>
      </c>
      <c r="L162">
        <v>66500</v>
      </c>
      <c r="M162">
        <v>0</v>
      </c>
      <c r="N162">
        <v>116.5063</v>
      </c>
      <c r="O162">
        <v>-0.104691482</v>
      </c>
      <c r="P162">
        <v>14545.700199999999</v>
      </c>
      <c r="Q162">
        <v>26.49</v>
      </c>
      <c r="R162">
        <v>8.33</v>
      </c>
      <c r="S162">
        <v>78.27</v>
      </c>
      <c r="T162">
        <v>11</v>
      </c>
      <c r="U162" s="1" t="s">
        <v>25</v>
      </c>
      <c r="V162">
        <v>0</v>
      </c>
    </row>
    <row r="163" spans="1:22" x14ac:dyDescent="0.3">
      <c r="A163" s="2">
        <v>44024</v>
      </c>
      <c r="B163">
        <v>42000</v>
      </c>
      <c r="C163">
        <v>193</v>
      </c>
      <c r="D163">
        <v>7</v>
      </c>
      <c r="E163" s="1" t="s">
        <v>43</v>
      </c>
      <c r="F163">
        <v>6</v>
      </c>
      <c r="G163" s="1" t="s">
        <v>23</v>
      </c>
      <c r="H163">
        <v>42607.142857142855</v>
      </c>
      <c r="J163">
        <v>42000</v>
      </c>
      <c r="K163">
        <v>43750</v>
      </c>
      <c r="L163">
        <v>65500</v>
      </c>
      <c r="M163">
        <v>0</v>
      </c>
      <c r="N163">
        <v>116.5063</v>
      </c>
      <c r="O163">
        <v>-0.104691482</v>
      </c>
      <c r="P163">
        <v>14545.700199999999</v>
      </c>
      <c r="Q163">
        <v>26.85</v>
      </c>
      <c r="R163">
        <v>4</v>
      </c>
      <c r="S163">
        <v>77.28</v>
      </c>
      <c r="T163">
        <v>12</v>
      </c>
      <c r="U163" s="1" t="s">
        <v>25</v>
      </c>
      <c r="V163">
        <v>0</v>
      </c>
    </row>
    <row r="164" spans="1:22" x14ac:dyDescent="0.3">
      <c r="A164" s="2">
        <v>44025</v>
      </c>
      <c r="B164">
        <v>40000</v>
      </c>
      <c r="C164">
        <v>194</v>
      </c>
      <c r="D164">
        <v>7</v>
      </c>
      <c r="E164" s="1" t="s">
        <v>43</v>
      </c>
      <c r="F164">
        <v>0</v>
      </c>
      <c r="G164" s="1" t="s">
        <v>23</v>
      </c>
      <c r="H164">
        <v>42107.142857142855</v>
      </c>
      <c r="J164">
        <v>42000</v>
      </c>
      <c r="K164">
        <v>43500</v>
      </c>
      <c r="L164">
        <v>65500</v>
      </c>
      <c r="M164">
        <v>-2000</v>
      </c>
      <c r="N164">
        <v>116.5063</v>
      </c>
      <c r="O164">
        <v>-0.104691482</v>
      </c>
      <c r="P164">
        <v>14428</v>
      </c>
      <c r="Q164">
        <v>26.64</v>
      </c>
      <c r="R164">
        <v>13.79</v>
      </c>
      <c r="S164">
        <v>79.349999999999994</v>
      </c>
      <c r="T164">
        <v>13</v>
      </c>
      <c r="U164" s="1" t="s">
        <v>45</v>
      </c>
      <c r="V164">
        <v>-4.76</v>
      </c>
    </row>
    <row r="165" spans="1:22" x14ac:dyDescent="0.3">
      <c r="A165" s="2">
        <v>44026</v>
      </c>
      <c r="B165">
        <v>40000</v>
      </c>
      <c r="C165">
        <v>195</v>
      </c>
      <c r="D165">
        <v>7</v>
      </c>
      <c r="E165" s="1" t="s">
        <v>43</v>
      </c>
      <c r="F165">
        <v>1</v>
      </c>
      <c r="G165" s="1" t="s">
        <v>23</v>
      </c>
      <c r="H165">
        <v>41607.142857142855</v>
      </c>
      <c r="J165">
        <v>40000</v>
      </c>
      <c r="K165">
        <v>43500</v>
      </c>
      <c r="L165">
        <v>65500</v>
      </c>
      <c r="M165">
        <v>0</v>
      </c>
      <c r="N165">
        <v>116.5063</v>
      </c>
      <c r="O165">
        <v>-0.104691482</v>
      </c>
      <c r="P165">
        <v>14584</v>
      </c>
      <c r="Q165">
        <v>26.18</v>
      </c>
      <c r="R165">
        <v>7.93</v>
      </c>
      <c r="S165">
        <v>83.62</v>
      </c>
      <c r="T165">
        <v>14</v>
      </c>
      <c r="U165" s="1" t="s">
        <v>25</v>
      </c>
      <c r="V165">
        <v>0</v>
      </c>
    </row>
    <row r="166" spans="1:22" x14ac:dyDescent="0.3">
      <c r="A166" s="2">
        <v>44027</v>
      </c>
      <c r="B166">
        <v>40000</v>
      </c>
      <c r="C166">
        <v>196</v>
      </c>
      <c r="D166">
        <v>7</v>
      </c>
      <c r="E166" s="1" t="s">
        <v>43</v>
      </c>
      <c r="F166">
        <v>2</v>
      </c>
      <c r="G166" s="1" t="s">
        <v>23</v>
      </c>
      <c r="H166">
        <v>41142.857142857145</v>
      </c>
      <c r="J166">
        <v>40000</v>
      </c>
      <c r="K166">
        <v>43250</v>
      </c>
      <c r="L166">
        <v>62500</v>
      </c>
      <c r="M166">
        <v>0</v>
      </c>
      <c r="N166">
        <v>116.5063</v>
      </c>
      <c r="O166">
        <v>-0.104691482</v>
      </c>
      <c r="P166">
        <v>14715.400390000001</v>
      </c>
      <c r="Q166">
        <v>26.39</v>
      </c>
      <c r="R166">
        <v>7.12</v>
      </c>
      <c r="S166">
        <v>82.03</v>
      </c>
      <c r="T166">
        <v>15</v>
      </c>
      <c r="U166" s="1" t="s">
        <v>25</v>
      </c>
      <c r="V166">
        <v>0</v>
      </c>
    </row>
    <row r="167" spans="1:22" x14ac:dyDescent="0.3">
      <c r="A167" s="2">
        <v>44028</v>
      </c>
      <c r="B167">
        <v>40000</v>
      </c>
      <c r="C167">
        <v>197</v>
      </c>
      <c r="D167">
        <v>7</v>
      </c>
      <c r="E167" s="1" t="s">
        <v>43</v>
      </c>
      <c r="F167">
        <v>3</v>
      </c>
      <c r="G167" s="1" t="s">
        <v>23</v>
      </c>
      <c r="H167">
        <v>40857.142857142855</v>
      </c>
      <c r="J167">
        <v>40000</v>
      </c>
      <c r="K167">
        <v>42000</v>
      </c>
      <c r="L167">
        <v>59000</v>
      </c>
      <c r="M167">
        <v>0</v>
      </c>
      <c r="N167">
        <v>116.5063</v>
      </c>
      <c r="O167">
        <v>-0.104691482</v>
      </c>
      <c r="P167">
        <v>14561.17188</v>
      </c>
      <c r="Q167">
        <v>27.06</v>
      </c>
      <c r="R167">
        <v>2.95</v>
      </c>
      <c r="S167">
        <v>77.959999999999994</v>
      </c>
      <c r="T167">
        <v>16</v>
      </c>
      <c r="U167" s="1" t="s">
        <v>25</v>
      </c>
      <c r="V167">
        <v>0</v>
      </c>
    </row>
    <row r="168" spans="1:22" x14ac:dyDescent="0.3">
      <c r="A168" s="2">
        <v>44029</v>
      </c>
      <c r="B168">
        <v>40000</v>
      </c>
      <c r="C168">
        <v>198</v>
      </c>
      <c r="D168">
        <v>7</v>
      </c>
      <c r="E168" s="1" t="s">
        <v>43</v>
      </c>
      <c r="F168">
        <v>4</v>
      </c>
      <c r="G168" s="1" t="s">
        <v>23</v>
      </c>
      <c r="H168">
        <v>40571.428571428572</v>
      </c>
      <c r="J168">
        <v>40000</v>
      </c>
      <c r="K168">
        <v>42000</v>
      </c>
      <c r="L168">
        <v>54000</v>
      </c>
      <c r="M168">
        <v>0</v>
      </c>
      <c r="N168">
        <v>116.5063</v>
      </c>
      <c r="O168">
        <v>-0.104691482</v>
      </c>
      <c r="P168">
        <v>14552.20996</v>
      </c>
      <c r="Q168">
        <v>27.22</v>
      </c>
      <c r="R168">
        <v>1.37</v>
      </c>
      <c r="S168">
        <v>76.73</v>
      </c>
      <c r="T168">
        <v>17</v>
      </c>
      <c r="U168" s="1" t="s">
        <v>25</v>
      </c>
      <c r="V168">
        <v>0</v>
      </c>
    </row>
    <row r="169" spans="1:22" x14ac:dyDescent="0.3">
      <c r="A169" s="2">
        <v>44032</v>
      </c>
      <c r="B169">
        <v>40000</v>
      </c>
      <c r="C169">
        <v>201</v>
      </c>
      <c r="D169">
        <v>7</v>
      </c>
      <c r="E169" s="1" t="s">
        <v>43</v>
      </c>
      <c r="F169">
        <v>0</v>
      </c>
      <c r="G169" s="1" t="s">
        <v>23</v>
      </c>
      <c r="K169">
        <v>40000</v>
      </c>
      <c r="N169">
        <v>116.5063</v>
      </c>
      <c r="O169">
        <v>-0.104691482</v>
      </c>
      <c r="P169">
        <v>14688</v>
      </c>
      <c r="Q169">
        <v>27.21</v>
      </c>
      <c r="R169">
        <v>3.36</v>
      </c>
      <c r="S169">
        <v>82.59</v>
      </c>
      <c r="T169">
        <v>20</v>
      </c>
      <c r="U169" s="1" t="s">
        <v>25</v>
      </c>
      <c r="V169">
        <v>0</v>
      </c>
    </row>
    <row r="170" spans="1:22" x14ac:dyDescent="0.3">
      <c r="A170" s="2">
        <v>44033</v>
      </c>
      <c r="B170">
        <v>40000</v>
      </c>
      <c r="C170">
        <v>202</v>
      </c>
      <c r="D170">
        <v>7</v>
      </c>
      <c r="E170" s="1" t="s">
        <v>43</v>
      </c>
      <c r="F170">
        <v>1</v>
      </c>
      <c r="G170" s="1" t="s">
        <v>23</v>
      </c>
      <c r="J170">
        <v>40000</v>
      </c>
      <c r="K170">
        <v>40000</v>
      </c>
      <c r="M170">
        <v>0</v>
      </c>
      <c r="N170">
        <v>116.5063</v>
      </c>
      <c r="O170">
        <v>-0.104691482</v>
      </c>
      <c r="P170">
        <v>14949.299800000001</v>
      </c>
      <c r="Q170">
        <v>26.4</v>
      </c>
      <c r="R170">
        <v>5.13</v>
      </c>
      <c r="S170">
        <v>85.96</v>
      </c>
      <c r="T170">
        <v>21</v>
      </c>
      <c r="U170" s="1" t="s">
        <v>25</v>
      </c>
      <c r="V170">
        <v>0</v>
      </c>
    </row>
    <row r="171" spans="1:22" x14ac:dyDescent="0.3">
      <c r="A171" s="2">
        <v>44034</v>
      </c>
      <c r="B171">
        <v>40000</v>
      </c>
      <c r="C171">
        <v>203</v>
      </c>
      <c r="D171">
        <v>7</v>
      </c>
      <c r="E171" s="1" t="s">
        <v>43</v>
      </c>
      <c r="F171">
        <v>2</v>
      </c>
      <c r="G171" s="1" t="s">
        <v>23</v>
      </c>
      <c r="J171">
        <v>40000</v>
      </c>
      <c r="K171">
        <v>40000</v>
      </c>
      <c r="L171">
        <v>50750</v>
      </c>
      <c r="M171">
        <v>0</v>
      </c>
      <c r="N171">
        <v>116.5063</v>
      </c>
      <c r="O171">
        <v>-0.104691482</v>
      </c>
      <c r="P171">
        <v>14626.862300000001</v>
      </c>
      <c r="Q171">
        <v>26.24</v>
      </c>
      <c r="R171">
        <v>17.079999999999998</v>
      </c>
      <c r="S171">
        <v>86.58</v>
      </c>
      <c r="T171">
        <v>22</v>
      </c>
      <c r="U171" s="1" t="s">
        <v>25</v>
      </c>
      <c r="V171">
        <v>0</v>
      </c>
    </row>
    <row r="172" spans="1:22" x14ac:dyDescent="0.3">
      <c r="A172" s="2">
        <v>44035</v>
      </c>
      <c r="B172">
        <v>40000</v>
      </c>
      <c r="C172">
        <v>204</v>
      </c>
      <c r="D172">
        <v>7</v>
      </c>
      <c r="E172" s="1" t="s">
        <v>43</v>
      </c>
      <c r="F172">
        <v>3</v>
      </c>
      <c r="G172" s="1" t="s">
        <v>23</v>
      </c>
      <c r="J172">
        <v>40000</v>
      </c>
      <c r="K172">
        <v>40000</v>
      </c>
      <c r="L172">
        <v>50750</v>
      </c>
      <c r="M172">
        <v>0</v>
      </c>
      <c r="N172">
        <v>116.5063</v>
      </c>
      <c r="O172">
        <v>-0.104691482</v>
      </c>
      <c r="P172">
        <v>14630</v>
      </c>
      <c r="Q172">
        <v>26.57</v>
      </c>
      <c r="R172">
        <v>16.61</v>
      </c>
      <c r="S172">
        <v>80</v>
      </c>
      <c r="T172">
        <v>23</v>
      </c>
      <c r="U172" s="1" t="s">
        <v>25</v>
      </c>
      <c r="V172">
        <v>0</v>
      </c>
    </row>
    <row r="173" spans="1:22" x14ac:dyDescent="0.3">
      <c r="A173" s="2">
        <v>44036</v>
      </c>
      <c r="B173">
        <v>39000</v>
      </c>
      <c r="C173">
        <v>205</v>
      </c>
      <c r="D173">
        <v>7</v>
      </c>
      <c r="E173" s="1" t="s">
        <v>43</v>
      </c>
      <c r="F173">
        <v>4</v>
      </c>
      <c r="G173" s="1" t="s">
        <v>23</v>
      </c>
      <c r="J173">
        <v>40000</v>
      </c>
      <c r="K173">
        <v>40000</v>
      </c>
      <c r="L173">
        <v>50000</v>
      </c>
      <c r="M173">
        <v>-1000</v>
      </c>
      <c r="N173">
        <v>116.5063</v>
      </c>
      <c r="O173">
        <v>-0.104691482</v>
      </c>
      <c r="P173">
        <v>14578.9043</v>
      </c>
      <c r="Q173">
        <v>26.91</v>
      </c>
      <c r="R173">
        <v>6.22</v>
      </c>
      <c r="S173">
        <v>81.96</v>
      </c>
      <c r="T173">
        <v>24</v>
      </c>
      <c r="U173" s="1" t="s">
        <v>30</v>
      </c>
      <c r="V173">
        <v>-2.5</v>
      </c>
    </row>
    <row r="174" spans="1:22" x14ac:dyDescent="0.3">
      <c r="A174" s="2">
        <v>44039</v>
      </c>
      <c r="B174">
        <v>36750</v>
      </c>
      <c r="C174">
        <v>208</v>
      </c>
      <c r="D174">
        <v>7</v>
      </c>
      <c r="E174" s="1" t="s">
        <v>43</v>
      </c>
      <c r="F174">
        <v>0</v>
      </c>
      <c r="G174" s="1" t="s">
        <v>23</v>
      </c>
      <c r="K174">
        <v>40000</v>
      </c>
      <c r="L174">
        <v>48000</v>
      </c>
      <c r="N174">
        <v>116.5063</v>
      </c>
      <c r="O174">
        <v>-0.104691482</v>
      </c>
      <c r="P174">
        <v>14603</v>
      </c>
      <c r="Q174">
        <v>26.1</v>
      </c>
      <c r="R174">
        <v>4.67</v>
      </c>
      <c r="S174">
        <v>83.25</v>
      </c>
      <c r="T174">
        <v>27</v>
      </c>
      <c r="U174" s="1" t="s">
        <v>38</v>
      </c>
      <c r="V174">
        <v>-5.77</v>
      </c>
    </row>
    <row r="175" spans="1:22" x14ac:dyDescent="0.3">
      <c r="A175" s="2">
        <v>44040</v>
      </c>
      <c r="B175">
        <v>36750</v>
      </c>
      <c r="C175">
        <v>209</v>
      </c>
      <c r="D175">
        <v>7</v>
      </c>
      <c r="E175" s="1" t="s">
        <v>43</v>
      </c>
      <c r="F175">
        <v>1</v>
      </c>
      <c r="G175" s="1" t="s">
        <v>23</v>
      </c>
      <c r="J175">
        <v>36750</v>
      </c>
      <c r="K175">
        <v>40000</v>
      </c>
      <c r="L175">
        <v>48000</v>
      </c>
      <c r="M175">
        <v>0</v>
      </c>
      <c r="N175">
        <v>116.5063</v>
      </c>
      <c r="O175">
        <v>-0.104691482</v>
      </c>
      <c r="P175">
        <v>14614.5</v>
      </c>
      <c r="Q175">
        <v>26.6</v>
      </c>
      <c r="R175">
        <v>3.41</v>
      </c>
      <c r="S175">
        <v>81.23</v>
      </c>
      <c r="T175">
        <v>28</v>
      </c>
      <c r="U175" s="1" t="s">
        <v>25</v>
      </c>
      <c r="V175">
        <v>0</v>
      </c>
    </row>
    <row r="176" spans="1:22" x14ac:dyDescent="0.3">
      <c r="A176" s="2">
        <v>44041</v>
      </c>
      <c r="B176">
        <v>35750</v>
      </c>
      <c r="C176">
        <v>210</v>
      </c>
      <c r="D176">
        <v>7</v>
      </c>
      <c r="E176" s="1" t="s">
        <v>43</v>
      </c>
      <c r="F176">
        <v>2</v>
      </c>
      <c r="G176" s="1" t="s">
        <v>23</v>
      </c>
      <c r="J176">
        <v>36750</v>
      </c>
      <c r="K176">
        <v>40000</v>
      </c>
      <c r="L176">
        <v>46000</v>
      </c>
      <c r="M176">
        <v>-1000</v>
      </c>
      <c r="N176">
        <v>116.5063</v>
      </c>
      <c r="O176">
        <v>-0.104691482</v>
      </c>
      <c r="P176">
        <v>14633.5</v>
      </c>
      <c r="Q176">
        <v>25.94</v>
      </c>
      <c r="R176">
        <v>20.83</v>
      </c>
      <c r="S176">
        <v>86.46</v>
      </c>
      <c r="T176">
        <v>29</v>
      </c>
      <c r="U176" s="1" t="s">
        <v>30</v>
      </c>
      <c r="V176">
        <v>-2.72</v>
      </c>
    </row>
    <row r="177" spans="1:22" x14ac:dyDescent="0.3">
      <c r="A177" s="2">
        <v>44042</v>
      </c>
      <c r="B177">
        <v>35750</v>
      </c>
      <c r="C177">
        <v>211</v>
      </c>
      <c r="D177">
        <v>7</v>
      </c>
      <c r="E177" s="1" t="s">
        <v>43</v>
      </c>
      <c r="F177">
        <v>3</v>
      </c>
      <c r="G177" s="1" t="s">
        <v>23</v>
      </c>
      <c r="J177">
        <v>35750</v>
      </c>
      <c r="K177">
        <v>40000</v>
      </c>
      <c r="L177">
        <v>47250</v>
      </c>
      <c r="M177">
        <v>0</v>
      </c>
      <c r="N177">
        <v>116.5063</v>
      </c>
      <c r="O177">
        <v>-0.104691482</v>
      </c>
      <c r="P177">
        <v>14458.344730000001</v>
      </c>
      <c r="Q177">
        <v>25.99</v>
      </c>
      <c r="R177">
        <v>7.5</v>
      </c>
      <c r="S177">
        <v>87.02</v>
      </c>
      <c r="T177">
        <v>30</v>
      </c>
      <c r="U177" s="1" t="s">
        <v>25</v>
      </c>
      <c r="V177">
        <v>0</v>
      </c>
    </row>
    <row r="178" spans="1:22" x14ac:dyDescent="0.3">
      <c r="A178" s="2">
        <v>44046</v>
      </c>
      <c r="B178">
        <v>34750</v>
      </c>
      <c r="C178">
        <v>215</v>
      </c>
      <c r="D178">
        <v>8</v>
      </c>
      <c r="E178" s="1" t="s">
        <v>43</v>
      </c>
      <c r="F178">
        <v>0</v>
      </c>
      <c r="G178" s="1" t="s">
        <v>23</v>
      </c>
      <c r="K178">
        <v>36750</v>
      </c>
      <c r="L178">
        <v>43750</v>
      </c>
      <c r="N178">
        <v>116.4508</v>
      </c>
      <c r="O178">
        <v>-4.7636908999999998E-2</v>
      </c>
      <c r="P178">
        <v>14593</v>
      </c>
      <c r="Q178">
        <v>26.29</v>
      </c>
      <c r="R178">
        <v>3.3</v>
      </c>
      <c r="S178">
        <v>84.74</v>
      </c>
      <c r="T178">
        <v>3</v>
      </c>
      <c r="U178" s="1"/>
      <c r="V178">
        <v>0</v>
      </c>
    </row>
    <row r="179" spans="1:22" x14ac:dyDescent="0.3">
      <c r="A179" s="2">
        <v>44047</v>
      </c>
      <c r="B179">
        <v>34750</v>
      </c>
      <c r="C179">
        <v>216</v>
      </c>
      <c r="D179">
        <v>8</v>
      </c>
      <c r="E179" s="1" t="s">
        <v>43</v>
      </c>
      <c r="F179">
        <v>1</v>
      </c>
      <c r="G179" s="1" t="s">
        <v>23</v>
      </c>
      <c r="J179">
        <v>34750</v>
      </c>
      <c r="K179">
        <v>36750</v>
      </c>
      <c r="L179">
        <v>43750</v>
      </c>
      <c r="M179">
        <v>0</v>
      </c>
      <c r="N179">
        <v>116.4508</v>
      </c>
      <c r="O179">
        <v>-4.7636908999999998E-2</v>
      </c>
      <c r="P179">
        <v>14540.920899999999</v>
      </c>
      <c r="Q179">
        <v>26.37</v>
      </c>
      <c r="R179">
        <v>12.14</v>
      </c>
      <c r="S179">
        <v>85.15</v>
      </c>
      <c r="T179">
        <v>4</v>
      </c>
      <c r="U179" s="1" t="s">
        <v>25</v>
      </c>
      <c r="V179">
        <v>0</v>
      </c>
    </row>
    <row r="180" spans="1:22" x14ac:dyDescent="0.3">
      <c r="A180" s="2">
        <v>44048</v>
      </c>
      <c r="B180">
        <v>33250</v>
      </c>
      <c r="C180">
        <v>217</v>
      </c>
      <c r="D180">
        <v>8</v>
      </c>
      <c r="E180" s="1" t="s">
        <v>43</v>
      </c>
      <c r="F180">
        <v>2</v>
      </c>
      <c r="G180" s="1" t="s">
        <v>23</v>
      </c>
      <c r="J180">
        <v>34750</v>
      </c>
      <c r="K180">
        <v>35750</v>
      </c>
      <c r="L180">
        <v>43500</v>
      </c>
      <c r="M180">
        <v>-1500</v>
      </c>
      <c r="N180">
        <v>116.4508</v>
      </c>
      <c r="O180">
        <v>-4.7636908999999998E-2</v>
      </c>
      <c r="P180">
        <v>14720</v>
      </c>
      <c r="Q180">
        <v>26.52</v>
      </c>
      <c r="R180">
        <v>1.94</v>
      </c>
      <c r="S180">
        <v>83.74</v>
      </c>
      <c r="T180">
        <v>5</v>
      </c>
      <c r="U180" s="1" t="s">
        <v>37</v>
      </c>
      <c r="V180">
        <v>-4.32</v>
      </c>
    </row>
    <row r="181" spans="1:22" x14ac:dyDescent="0.3">
      <c r="A181" s="2">
        <v>44049</v>
      </c>
      <c r="B181">
        <v>33250</v>
      </c>
      <c r="C181">
        <v>218</v>
      </c>
      <c r="D181">
        <v>8</v>
      </c>
      <c r="E181" s="1" t="s">
        <v>43</v>
      </c>
      <c r="F181">
        <v>3</v>
      </c>
      <c r="G181" s="1" t="s">
        <v>23</v>
      </c>
      <c r="J181">
        <v>33250</v>
      </c>
      <c r="K181">
        <v>35750</v>
      </c>
      <c r="L181">
        <v>43500</v>
      </c>
      <c r="M181">
        <v>0</v>
      </c>
      <c r="N181">
        <v>116.4508</v>
      </c>
      <c r="O181">
        <v>-4.7636908999999998E-2</v>
      </c>
      <c r="P181">
        <v>14307.64258</v>
      </c>
      <c r="Q181">
        <v>26.62</v>
      </c>
      <c r="R181">
        <v>0.59</v>
      </c>
      <c r="S181">
        <v>81.58</v>
      </c>
      <c r="T181">
        <v>6</v>
      </c>
      <c r="U181" s="1" t="s">
        <v>25</v>
      </c>
      <c r="V181">
        <v>0</v>
      </c>
    </row>
    <row r="182" spans="1:22" x14ac:dyDescent="0.3">
      <c r="A182" s="2">
        <v>44050</v>
      </c>
      <c r="B182">
        <v>33250</v>
      </c>
      <c r="C182">
        <v>219</v>
      </c>
      <c r="D182">
        <v>8</v>
      </c>
      <c r="E182" s="1" t="s">
        <v>43</v>
      </c>
      <c r="F182">
        <v>4</v>
      </c>
      <c r="G182" s="1" t="s">
        <v>23</v>
      </c>
      <c r="J182">
        <v>33250</v>
      </c>
      <c r="L182">
        <v>43250</v>
      </c>
      <c r="M182">
        <v>0</v>
      </c>
      <c r="N182">
        <v>116.4508</v>
      </c>
      <c r="O182">
        <v>-4.7636908999999998E-2</v>
      </c>
      <c r="P182">
        <v>14568.45703</v>
      </c>
      <c r="Q182">
        <v>26.58</v>
      </c>
      <c r="R182">
        <v>2.81</v>
      </c>
      <c r="S182">
        <v>81.040000000000006</v>
      </c>
      <c r="T182">
        <v>7</v>
      </c>
      <c r="U182" s="1" t="s">
        <v>25</v>
      </c>
      <c r="V182">
        <v>0</v>
      </c>
    </row>
    <row r="183" spans="1:22" x14ac:dyDescent="0.3">
      <c r="A183" s="2">
        <v>44051</v>
      </c>
      <c r="B183">
        <v>33250</v>
      </c>
      <c r="C183">
        <v>220</v>
      </c>
      <c r="D183">
        <v>8</v>
      </c>
      <c r="E183" s="1" t="s">
        <v>43</v>
      </c>
      <c r="F183">
        <v>5</v>
      </c>
      <c r="G183" s="1" t="s">
        <v>23</v>
      </c>
      <c r="J183">
        <v>33250</v>
      </c>
      <c r="L183">
        <v>42000</v>
      </c>
      <c r="M183">
        <v>0</v>
      </c>
      <c r="N183">
        <v>116.4508</v>
      </c>
      <c r="O183">
        <v>-4.7636908999999998E-2</v>
      </c>
      <c r="P183">
        <v>14568.45703</v>
      </c>
      <c r="Q183">
        <v>26.49</v>
      </c>
      <c r="R183">
        <v>0.8</v>
      </c>
      <c r="S183">
        <v>83.8</v>
      </c>
      <c r="T183">
        <v>8</v>
      </c>
      <c r="U183" s="1" t="s">
        <v>25</v>
      </c>
      <c r="V183">
        <v>0</v>
      </c>
    </row>
    <row r="184" spans="1:22" x14ac:dyDescent="0.3">
      <c r="A184" s="2">
        <v>44052</v>
      </c>
      <c r="B184">
        <v>33250</v>
      </c>
      <c r="C184">
        <v>221</v>
      </c>
      <c r="D184">
        <v>8</v>
      </c>
      <c r="E184" s="1" t="s">
        <v>43</v>
      </c>
      <c r="F184">
        <v>6</v>
      </c>
      <c r="G184" s="1" t="s">
        <v>23</v>
      </c>
      <c r="H184">
        <v>33678.571428571428</v>
      </c>
      <c r="J184">
        <v>33250</v>
      </c>
      <c r="L184">
        <v>42000</v>
      </c>
      <c r="M184">
        <v>0</v>
      </c>
      <c r="N184">
        <v>116.4508</v>
      </c>
      <c r="O184">
        <v>-4.7636908999999998E-2</v>
      </c>
      <c r="P184">
        <v>14568.45703</v>
      </c>
      <c r="Q184">
        <v>26.76</v>
      </c>
      <c r="R184">
        <v>0.82</v>
      </c>
      <c r="S184">
        <v>83</v>
      </c>
      <c r="T184">
        <v>9</v>
      </c>
      <c r="U184" s="1" t="s">
        <v>25</v>
      </c>
      <c r="V184">
        <v>0</v>
      </c>
    </row>
    <row r="185" spans="1:22" x14ac:dyDescent="0.3">
      <c r="A185" s="2">
        <v>44053</v>
      </c>
      <c r="B185">
        <v>35500</v>
      </c>
      <c r="C185">
        <v>222</v>
      </c>
      <c r="D185">
        <v>8</v>
      </c>
      <c r="E185" s="1" t="s">
        <v>43</v>
      </c>
      <c r="F185">
        <v>0</v>
      </c>
      <c r="G185" s="1" t="s">
        <v>23</v>
      </c>
      <c r="H185">
        <v>33785.714285714283</v>
      </c>
      <c r="J185">
        <v>33250</v>
      </c>
      <c r="K185">
        <v>34750</v>
      </c>
      <c r="L185">
        <v>42000</v>
      </c>
      <c r="M185">
        <v>2250</v>
      </c>
      <c r="N185">
        <v>116.4508</v>
      </c>
      <c r="O185">
        <v>-4.7636908999999998E-2</v>
      </c>
      <c r="P185">
        <v>14618</v>
      </c>
      <c r="Q185">
        <v>26.41</v>
      </c>
      <c r="R185">
        <v>1.67</v>
      </c>
      <c r="S185">
        <v>81.94</v>
      </c>
      <c r="T185">
        <v>10</v>
      </c>
      <c r="U185" s="1" t="s">
        <v>55</v>
      </c>
      <c r="V185">
        <v>6.77</v>
      </c>
    </row>
    <row r="186" spans="1:22" x14ac:dyDescent="0.3">
      <c r="A186" s="2">
        <v>44054</v>
      </c>
      <c r="B186">
        <v>35500</v>
      </c>
      <c r="C186">
        <v>223</v>
      </c>
      <c r="D186">
        <v>8</v>
      </c>
      <c r="E186" s="1" t="s">
        <v>43</v>
      </c>
      <c r="F186">
        <v>1</v>
      </c>
      <c r="G186" s="1" t="s">
        <v>23</v>
      </c>
      <c r="H186">
        <v>33892.857142857145</v>
      </c>
      <c r="J186">
        <v>35500</v>
      </c>
      <c r="K186">
        <v>34750</v>
      </c>
      <c r="L186">
        <v>42000</v>
      </c>
      <c r="M186">
        <v>0</v>
      </c>
      <c r="N186">
        <v>116.4508</v>
      </c>
      <c r="O186">
        <v>-4.7636908999999998E-2</v>
      </c>
      <c r="P186">
        <v>14823.799800000001</v>
      </c>
      <c r="Q186">
        <v>26.46</v>
      </c>
      <c r="R186">
        <v>3.17</v>
      </c>
      <c r="S186">
        <v>82.9</v>
      </c>
      <c r="T186">
        <v>11</v>
      </c>
      <c r="U186" s="1" t="s">
        <v>25</v>
      </c>
      <c r="V186">
        <v>0</v>
      </c>
    </row>
    <row r="187" spans="1:22" x14ac:dyDescent="0.3">
      <c r="A187" s="2">
        <v>44055</v>
      </c>
      <c r="B187">
        <v>38000</v>
      </c>
      <c r="C187">
        <v>224</v>
      </c>
      <c r="D187">
        <v>8</v>
      </c>
      <c r="E187" s="1" t="s">
        <v>43</v>
      </c>
      <c r="F187">
        <v>2</v>
      </c>
      <c r="G187" s="1" t="s">
        <v>23</v>
      </c>
      <c r="H187">
        <v>34571.428571428572</v>
      </c>
      <c r="J187">
        <v>35500</v>
      </c>
      <c r="K187">
        <v>33250</v>
      </c>
      <c r="L187">
        <v>40000</v>
      </c>
      <c r="M187">
        <v>2500</v>
      </c>
      <c r="N187">
        <v>116.4508</v>
      </c>
      <c r="O187">
        <v>-4.7636908999999998E-2</v>
      </c>
      <c r="P187">
        <v>14858.5</v>
      </c>
      <c r="Q187">
        <v>27.1</v>
      </c>
      <c r="R187">
        <v>0.77</v>
      </c>
      <c r="S187">
        <v>79.89</v>
      </c>
      <c r="T187">
        <v>12</v>
      </c>
      <c r="U187" s="1" t="s">
        <v>56</v>
      </c>
      <c r="V187">
        <v>7.04</v>
      </c>
    </row>
    <row r="188" spans="1:22" x14ac:dyDescent="0.3">
      <c r="A188" s="2">
        <v>44056</v>
      </c>
      <c r="B188">
        <v>37500</v>
      </c>
      <c r="C188">
        <v>225</v>
      </c>
      <c r="D188">
        <v>8</v>
      </c>
      <c r="E188" s="1" t="s">
        <v>43</v>
      </c>
      <c r="F188">
        <v>3</v>
      </c>
      <c r="G188" s="1" t="s">
        <v>23</v>
      </c>
      <c r="H188">
        <v>35178.571428571428</v>
      </c>
      <c r="J188">
        <v>38000</v>
      </c>
      <c r="K188">
        <v>33250</v>
      </c>
      <c r="L188">
        <v>40000</v>
      </c>
      <c r="M188">
        <v>-500</v>
      </c>
      <c r="N188">
        <v>116.4508</v>
      </c>
      <c r="O188">
        <v>-4.7636908999999998E-2</v>
      </c>
      <c r="P188">
        <v>14670.809569999999</v>
      </c>
      <c r="Q188">
        <v>27.33</v>
      </c>
      <c r="R188">
        <v>1.1000000000000001</v>
      </c>
      <c r="S188">
        <v>77.88</v>
      </c>
      <c r="T188">
        <v>13</v>
      </c>
      <c r="U188" s="1" t="s">
        <v>24</v>
      </c>
      <c r="V188">
        <v>-1.32</v>
      </c>
    </row>
    <row r="189" spans="1:22" x14ac:dyDescent="0.3">
      <c r="A189" s="2">
        <v>44057</v>
      </c>
      <c r="B189">
        <v>39500</v>
      </c>
      <c r="C189">
        <v>226</v>
      </c>
      <c r="D189">
        <v>8</v>
      </c>
      <c r="E189" s="1" t="s">
        <v>43</v>
      </c>
      <c r="F189">
        <v>4</v>
      </c>
      <c r="G189" s="1" t="s">
        <v>23</v>
      </c>
      <c r="H189">
        <v>36071.428571428572</v>
      </c>
      <c r="J189">
        <v>37500</v>
      </c>
      <c r="K189">
        <v>33250</v>
      </c>
      <c r="L189">
        <v>40000</v>
      </c>
      <c r="M189">
        <v>2000</v>
      </c>
      <c r="N189">
        <v>116.4508</v>
      </c>
      <c r="O189">
        <v>-4.7636908999999998E-2</v>
      </c>
      <c r="P189">
        <v>14673.497069999999</v>
      </c>
      <c r="Q189">
        <v>26.49</v>
      </c>
      <c r="R189">
        <v>1.19</v>
      </c>
      <c r="S189">
        <v>80.260000000000005</v>
      </c>
      <c r="T189">
        <v>14</v>
      </c>
      <c r="U189" s="1" t="s">
        <v>47</v>
      </c>
      <c r="V189">
        <v>5.33</v>
      </c>
    </row>
    <row r="190" spans="1:22" x14ac:dyDescent="0.3">
      <c r="A190" s="2">
        <v>44061</v>
      </c>
      <c r="B190">
        <v>40000</v>
      </c>
      <c r="C190">
        <v>230</v>
      </c>
      <c r="D190">
        <v>8</v>
      </c>
      <c r="E190" s="1" t="s">
        <v>43</v>
      </c>
      <c r="F190">
        <v>1</v>
      </c>
      <c r="G190" s="1" t="s">
        <v>23</v>
      </c>
      <c r="K190">
        <v>35500</v>
      </c>
      <c r="N190">
        <v>116.4508</v>
      </c>
      <c r="O190">
        <v>-4.7636908999999998E-2</v>
      </c>
      <c r="P190">
        <v>14969.400390000001</v>
      </c>
      <c r="Q190">
        <v>26.75</v>
      </c>
      <c r="R190">
        <v>0.51</v>
      </c>
      <c r="S190">
        <v>79.11</v>
      </c>
      <c r="T190">
        <v>18</v>
      </c>
      <c r="U190" s="1"/>
      <c r="V190">
        <v>0</v>
      </c>
    </row>
    <row r="191" spans="1:22" x14ac:dyDescent="0.3">
      <c r="A191" s="2">
        <v>44062</v>
      </c>
      <c r="B191">
        <v>40000</v>
      </c>
      <c r="C191">
        <v>231</v>
      </c>
      <c r="D191">
        <v>8</v>
      </c>
      <c r="E191" s="1" t="s">
        <v>43</v>
      </c>
      <c r="F191">
        <v>2</v>
      </c>
      <c r="G191" s="1" t="s">
        <v>23</v>
      </c>
      <c r="J191">
        <v>40000</v>
      </c>
      <c r="K191">
        <v>38000</v>
      </c>
      <c r="L191">
        <v>40000</v>
      </c>
      <c r="M191">
        <v>0</v>
      </c>
      <c r="N191">
        <v>116.4508</v>
      </c>
      <c r="O191">
        <v>-4.7636908999999998E-2</v>
      </c>
      <c r="P191">
        <v>14598.072270000001</v>
      </c>
      <c r="Q191">
        <v>26.96</v>
      </c>
      <c r="R191">
        <v>0.23</v>
      </c>
      <c r="S191">
        <v>76</v>
      </c>
      <c r="T191">
        <v>19</v>
      </c>
      <c r="U191" s="1" t="s">
        <v>25</v>
      </c>
      <c r="V191">
        <v>0</v>
      </c>
    </row>
    <row r="192" spans="1:22" x14ac:dyDescent="0.3">
      <c r="A192" s="2">
        <v>44067</v>
      </c>
      <c r="B192">
        <v>36500</v>
      </c>
      <c r="C192">
        <v>236</v>
      </c>
      <c r="D192">
        <v>8</v>
      </c>
      <c r="E192" s="1" t="s">
        <v>43</v>
      </c>
      <c r="F192">
        <v>0</v>
      </c>
      <c r="G192" s="1" t="s">
        <v>23</v>
      </c>
      <c r="N192">
        <v>116.4508</v>
      </c>
      <c r="O192">
        <v>-4.7636908999999998E-2</v>
      </c>
      <c r="P192">
        <v>14764</v>
      </c>
      <c r="Q192">
        <v>26.71</v>
      </c>
      <c r="R192">
        <v>0.72</v>
      </c>
      <c r="S192">
        <v>82.33</v>
      </c>
      <c r="T192">
        <v>24</v>
      </c>
      <c r="U192" s="1"/>
      <c r="V192">
        <v>0</v>
      </c>
    </row>
    <row r="193" spans="1:22" x14ac:dyDescent="0.3">
      <c r="A193" s="2">
        <v>44068</v>
      </c>
      <c r="B193">
        <v>35500</v>
      </c>
      <c r="C193">
        <v>237</v>
      </c>
      <c r="D193">
        <v>8</v>
      </c>
      <c r="E193" s="1" t="s">
        <v>43</v>
      </c>
      <c r="F193">
        <v>1</v>
      </c>
      <c r="G193" s="1" t="s">
        <v>23</v>
      </c>
      <c r="J193">
        <v>36500</v>
      </c>
      <c r="K193">
        <v>40000</v>
      </c>
      <c r="M193">
        <v>-1000</v>
      </c>
      <c r="N193">
        <v>116.4508</v>
      </c>
      <c r="O193">
        <v>-4.7636908999999998E-2</v>
      </c>
      <c r="P193">
        <v>14629.400390000001</v>
      </c>
      <c r="Q193">
        <v>26.36</v>
      </c>
      <c r="R193">
        <v>0.89</v>
      </c>
      <c r="S193">
        <v>84.86</v>
      </c>
      <c r="T193">
        <v>25</v>
      </c>
      <c r="U193" s="1" t="s">
        <v>30</v>
      </c>
      <c r="V193">
        <v>-2.74</v>
      </c>
    </row>
    <row r="194" spans="1:22" x14ac:dyDescent="0.3">
      <c r="A194" s="2">
        <v>44069</v>
      </c>
      <c r="B194">
        <v>35000</v>
      </c>
      <c r="C194">
        <v>238</v>
      </c>
      <c r="D194">
        <v>8</v>
      </c>
      <c r="E194" s="1" t="s">
        <v>43</v>
      </c>
      <c r="F194">
        <v>2</v>
      </c>
      <c r="G194" s="1" t="s">
        <v>23</v>
      </c>
      <c r="J194">
        <v>35500</v>
      </c>
      <c r="K194">
        <v>40000</v>
      </c>
      <c r="L194">
        <v>36750</v>
      </c>
      <c r="M194">
        <v>-500</v>
      </c>
      <c r="N194">
        <v>116.4508</v>
      </c>
      <c r="O194">
        <v>-4.7636908999999998E-2</v>
      </c>
      <c r="P194">
        <v>14607.700199999999</v>
      </c>
      <c r="Q194">
        <v>26.6</v>
      </c>
      <c r="R194">
        <v>0.63</v>
      </c>
      <c r="S194">
        <v>81.86</v>
      </c>
      <c r="T194">
        <v>26</v>
      </c>
      <c r="U194" s="1" t="s">
        <v>24</v>
      </c>
      <c r="V194">
        <v>-1.41</v>
      </c>
    </row>
    <row r="195" spans="1:22" x14ac:dyDescent="0.3">
      <c r="A195" s="2">
        <v>44070</v>
      </c>
      <c r="B195">
        <v>35000</v>
      </c>
      <c r="C195">
        <v>239</v>
      </c>
      <c r="D195">
        <v>8</v>
      </c>
      <c r="E195" s="1" t="s">
        <v>43</v>
      </c>
      <c r="F195">
        <v>3</v>
      </c>
      <c r="G195" s="1" t="s">
        <v>23</v>
      </c>
      <c r="J195">
        <v>35000</v>
      </c>
      <c r="L195">
        <v>36750</v>
      </c>
      <c r="M195">
        <v>0</v>
      </c>
      <c r="N195">
        <v>116.4508</v>
      </c>
      <c r="O195">
        <v>-4.7636908999999998E-2</v>
      </c>
      <c r="P195">
        <v>14447.382809999999</v>
      </c>
      <c r="Q195">
        <v>26.41</v>
      </c>
      <c r="R195">
        <v>0.35</v>
      </c>
      <c r="S195">
        <v>83.78</v>
      </c>
      <c r="T195">
        <v>27</v>
      </c>
      <c r="U195" s="1" t="s">
        <v>25</v>
      </c>
      <c r="V195">
        <v>0</v>
      </c>
    </row>
    <row r="196" spans="1:22" x14ac:dyDescent="0.3">
      <c r="A196" s="2">
        <v>44071</v>
      </c>
      <c r="B196">
        <v>35000</v>
      </c>
      <c r="C196">
        <v>240</v>
      </c>
      <c r="D196">
        <v>8</v>
      </c>
      <c r="E196" s="1" t="s">
        <v>43</v>
      </c>
      <c r="F196">
        <v>4</v>
      </c>
      <c r="G196" s="1" t="s">
        <v>23</v>
      </c>
      <c r="J196">
        <v>35000</v>
      </c>
      <c r="L196">
        <v>35750</v>
      </c>
      <c r="M196">
        <v>0</v>
      </c>
      <c r="N196">
        <v>116.4508</v>
      </c>
      <c r="O196">
        <v>-4.7636908999999998E-2</v>
      </c>
      <c r="P196">
        <v>14446.003909999999</v>
      </c>
      <c r="Q196">
        <v>26.8</v>
      </c>
      <c r="R196">
        <v>1.42</v>
      </c>
      <c r="S196">
        <v>82.31</v>
      </c>
      <c r="T196">
        <v>28</v>
      </c>
      <c r="U196" s="1" t="s">
        <v>25</v>
      </c>
      <c r="V196">
        <v>0</v>
      </c>
    </row>
    <row r="197" spans="1:22" x14ac:dyDescent="0.3">
      <c r="A197" s="2">
        <v>44072</v>
      </c>
      <c r="B197">
        <v>35000</v>
      </c>
      <c r="C197">
        <v>241</v>
      </c>
      <c r="D197">
        <v>8</v>
      </c>
      <c r="E197" s="1" t="s">
        <v>43</v>
      </c>
      <c r="F197">
        <v>5</v>
      </c>
      <c r="G197" s="1" t="s">
        <v>23</v>
      </c>
      <c r="J197">
        <v>35000</v>
      </c>
      <c r="L197">
        <v>35750</v>
      </c>
      <c r="M197">
        <v>0</v>
      </c>
      <c r="N197">
        <v>116.4508</v>
      </c>
      <c r="O197">
        <v>-4.7636908999999998E-2</v>
      </c>
      <c r="P197">
        <v>14446.003909999999</v>
      </c>
      <c r="Q197">
        <v>26.53</v>
      </c>
      <c r="R197">
        <v>5.0199999999999996</v>
      </c>
      <c r="S197">
        <v>84.07</v>
      </c>
      <c r="T197">
        <v>29</v>
      </c>
      <c r="U197" s="1" t="s">
        <v>25</v>
      </c>
      <c r="V197">
        <v>0</v>
      </c>
    </row>
    <row r="198" spans="1:22" x14ac:dyDescent="0.3">
      <c r="A198" s="2">
        <v>44073</v>
      </c>
      <c r="B198">
        <v>35000</v>
      </c>
      <c r="C198">
        <v>242</v>
      </c>
      <c r="D198">
        <v>8</v>
      </c>
      <c r="E198" s="1" t="s">
        <v>43</v>
      </c>
      <c r="F198">
        <v>6</v>
      </c>
      <c r="G198" s="1" t="s">
        <v>23</v>
      </c>
      <c r="H198">
        <v>35285.714285714283</v>
      </c>
      <c r="J198">
        <v>35000</v>
      </c>
      <c r="M198">
        <v>0</v>
      </c>
      <c r="N198">
        <v>116.4508</v>
      </c>
      <c r="O198">
        <v>-4.7636908999999998E-2</v>
      </c>
      <c r="P198">
        <v>14446.003909999999</v>
      </c>
      <c r="Q198">
        <v>26.55</v>
      </c>
      <c r="R198">
        <v>5.72</v>
      </c>
      <c r="S198">
        <v>82.09</v>
      </c>
      <c r="T198">
        <v>30</v>
      </c>
      <c r="U198" s="1" t="s">
        <v>25</v>
      </c>
      <c r="V198">
        <v>0</v>
      </c>
    </row>
    <row r="199" spans="1:22" x14ac:dyDescent="0.3">
      <c r="A199" s="2">
        <v>44074</v>
      </c>
      <c r="B199">
        <v>34000</v>
      </c>
      <c r="C199">
        <v>243</v>
      </c>
      <c r="D199">
        <v>8</v>
      </c>
      <c r="E199" s="1" t="s">
        <v>43</v>
      </c>
      <c r="F199">
        <v>0</v>
      </c>
      <c r="G199" s="1" t="s">
        <v>23</v>
      </c>
      <c r="H199">
        <v>34928.571428571428</v>
      </c>
      <c r="J199">
        <v>35000</v>
      </c>
      <c r="K199">
        <v>36500</v>
      </c>
      <c r="M199">
        <v>-1000</v>
      </c>
      <c r="N199">
        <v>116.4508</v>
      </c>
      <c r="O199">
        <v>-4.7636908999999998E-2</v>
      </c>
      <c r="P199">
        <v>14618</v>
      </c>
      <c r="Q199">
        <v>26.07</v>
      </c>
      <c r="R199">
        <v>6.68</v>
      </c>
      <c r="S199">
        <v>85</v>
      </c>
      <c r="T199">
        <v>31</v>
      </c>
      <c r="U199" s="1" t="s">
        <v>30</v>
      </c>
      <c r="V199">
        <v>-2.86</v>
      </c>
    </row>
    <row r="200" spans="1:22" x14ac:dyDescent="0.3">
      <c r="A200" s="2">
        <v>44075</v>
      </c>
      <c r="B200">
        <v>34000</v>
      </c>
      <c r="C200">
        <v>244</v>
      </c>
      <c r="D200">
        <v>9</v>
      </c>
      <c r="E200" s="1" t="s">
        <v>43</v>
      </c>
      <c r="F200">
        <v>1</v>
      </c>
      <c r="G200" s="1" t="s">
        <v>23</v>
      </c>
      <c r="H200">
        <v>34714.285714285717</v>
      </c>
      <c r="J200">
        <v>34000</v>
      </c>
      <c r="K200">
        <v>35500</v>
      </c>
      <c r="M200">
        <v>0</v>
      </c>
      <c r="N200">
        <v>116.39530000000001</v>
      </c>
      <c r="O200">
        <v>-4.7659611999999997E-2</v>
      </c>
      <c r="P200">
        <v>14599.700199999999</v>
      </c>
      <c r="Q200">
        <v>26.77</v>
      </c>
      <c r="R200">
        <v>2.41</v>
      </c>
      <c r="S200">
        <v>83.61</v>
      </c>
      <c r="T200">
        <v>1</v>
      </c>
      <c r="U200" s="1" t="s">
        <v>25</v>
      </c>
      <c r="V200">
        <v>0</v>
      </c>
    </row>
    <row r="201" spans="1:22" x14ac:dyDescent="0.3">
      <c r="A201" s="2">
        <v>44076</v>
      </c>
      <c r="B201">
        <v>34000</v>
      </c>
      <c r="C201">
        <v>245</v>
      </c>
      <c r="D201">
        <v>9</v>
      </c>
      <c r="E201" s="1" t="s">
        <v>43</v>
      </c>
      <c r="F201">
        <v>2</v>
      </c>
      <c r="G201" s="1" t="s">
        <v>23</v>
      </c>
      <c r="H201">
        <v>34571.428571428572</v>
      </c>
      <c r="J201">
        <v>34000</v>
      </c>
      <c r="K201">
        <v>35000</v>
      </c>
      <c r="L201">
        <v>34750</v>
      </c>
      <c r="M201">
        <v>0</v>
      </c>
      <c r="N201">
        <v>116.39530000000001</v>
      </c>
      <c r="O201">
        <v>-4.7659611999999997E-2</v>
      </c>
      <c r="P201">
        <v>14818.599609999999</v>
      </c>
      <c r="Q201">
        <v>26.3</v>
      </c>
      <c r="R201">
        <v>9.4</v>
      </c>
      <c r="S201">
        <v>82.69</v>
      </c>
      <c r="T201">
        <v>2</v>
      </c>
      <c r="U201" s="1" t="s">
        <v>25</v>
      </c>
      <c r="V201">
        <v>0</v>
      </c>
    </row>
    <row r="202" spans="1:22" x14ac:dyDescent="0.3">
      <c r="A202" s="2">
        <v>44077</v>
      </c>
      <c r="B202">
        <v>32000</v>
      </c>
      <c r="C202">
        <v>246</v>
      </c>
      <c r="D202">
        <v>9</v>
      </c>
      <c r="E202" s="1" t="s">
        <v>43</v>
      </c>
      <c r="F202">
        <v>3</v>
      </c>
      <c r="G202" s="1" t="s">
        <v>23</v>
      </c>
      <c r="H202">
        <v>34142.857142857145</v>
      </c>
      <c r="J202">
        <v>34000</v>
      </c>
      <c r="K202">
        <v>35000</v>
      </c>
      <c r="L202">
        <v>34750</v>
      </c>
      <c r="M202">
        <v>-2000</v>
      </c>
      <c r="N202">
        <v>116.39530000000001</v>
      </c>
      <c r="O202">
        <v>-4.7659611999999997E-2</v>
      </c>
      <c r="P202">
        <v>14565.14746</v>
      </c>
      <c r="Q202">
        <v>25.64</v>
      </c>
      <c r="R202">
        <v>3.29</v>
      </c>
      <c r="S202">
        <v>85</v>
      </c>
      <c r="T202">
        <v>3</v>
      </c>
      <c r="U202" s="1" t="s">
        <v>45</v>
      </c>
      <c r="V202">
        <v>-5.88</v>
      </c>
    </row>
    <row r="203" spans="1:22" x14ac:dyDescent="0.3">
      <c r="A203" s="2">
        <v>44078</v>
      </c>
      <c r="B203">
        <v>33000</v>
      </c>
      <c r="C203">
        <v>247</v>
      </c>
      <c r="D203">
        <v>9</v>
      </c>
      <c r="E203" s="1" t="s">
        <v>43</v>
      </c>
      <c r="F203">
        <v>4</v>
      </c>
      <c r="G203" s="1" t="s">
        <v>23</v>
      </c>
      <c r="H203">
        <v>33857.142857142855</v>
      </c>
      <c r="J203">
        <v>32000</v>
      </c>
      <c r="K203">
        <v>35000</v>
      </c>
      <c r="L203">
        <v>33250</v>
      </c>
      <c r="M203">
        <v>1000</v>
      </c>
      <c r="N203">
        <v>116.39530000000001</v>
      </c>
      <c r="O203">
        <v>-4.7659611999999997E-2</v>
      </c>
      <c r="P203">
        <v>14545.987300000001</v>
      </c>
      <c r="Q203">
        <v>26.24</v>
      </c>
      <c r="R203">
        <v>0.72</v>
      </c>
      <c r="S203">
        <v>84.11</v>
      </c>
      <c r="T203">
        <v>4</v>
      </c>
      <c r="U203" s="1" t="s">
        <v>29</v>
      </c>
      <c r="V203">
        <v>3.13</v>
      </c>
    </row>
    <row r="204" spans="1:22" x14ac:dyDescent="0.3">
      <c r="A204" s="2">
        <v>44079</v>
      </c>
      <c r="B204">
        <v>33000</v>
      </c>
      <c r="C204">
        <v>248</v>
      </c>
      <c r="D204">
        <v>9</v>
      </c>
      <c r="E204" s="1" t="s">
        <v>43</v>
      </c>
      <c r="F204">
        <v>5</v>
      </c>
      <c r="G204" s="1" t="s">
        <v>23</v>
      </c>
      <c r="H204">
        <v>33571.428571428572</v>
      </c>
      <c r="J204">
        <v>33000</v>
      </c>
      <c r="K204">
        <v>35000</v>
      </c>
      <c r="L204">
        <v>33250</v>
      </c>
      <c r="M204">
        <v>0</v>
      </c>
      <c r="N204">
        <v>116.39530000000001</v>
      </c>
      <c r="O204">
        <v>-4.7659611999999997E-2</v>
      </c>
      <c r="P204">
        <v>14545.987300000001</v>
      </c>
      <c r="Q204">
        <v>27.07</v>
      </c>
      <c r="R204">
        <v>0.5</v>
      </c>
      <c r="S204">
        <v>81.680000000000007</v>
      </c>
      <c r="T204">
        <v>5</v>
      </c>
      <c r="U204" s="1" t="s">
        <v>29</v>
      </c>
      <c r="V204">
        <v>3.13</v>
      </c>
    </row>
    <row r="205" spans="1:22" x14ac:dyDescent="0.3">
      <c r="A205" s="2">
        <v>44080</v>
      </c>
      <c r="B205">
        <v>33000</v>
      </c>
      <c r="C205">
        <v>249</v>
      </c>
      <c r="D205">
        <v>9</v>
      </c>
      <c r="E205" s="1" t="s">
        <v>43</v>
      </c>
      <c r="F205">
        <v>6</v>
      </c>
      <c r="G205" s="1" t="s">
        <v>23</v>
      </c>
      <c r="H205">
        <v>33285.714285714283</v>
      </c>
      <c r="J205">
        <v>33000</v>
      </c>
      <c r="K205">
        <v>35000</v>
      </c>
      <c r="L205">
        <v>33250</v>
      </c>
      <c r="M205">
        <v>0</v>
      </c>
      <c r="N205">
        <v>116.39530000000001</v>
      </c>
      <c r="O205">
        <v>-4.7659611999999997E-2</v>
      </c>
      <c r="P205">
        <v>14545.987300000001</v>
      </c>
      <c r="Q205">
        <v>27.09</v>
      </c>
      <c r="R205">
        <v>3.93</v>
      </c>
      <c r="S205">
        <v>82.09</v>
      </c>
      <c r="T205">
        <v>6</v>
      </c>
      <c r="U205" s="1" t="s">
        <v>29</v>
      </c>
      <c r="V205">
        <v>3.13</v>
      </c>
    </row>
    <row r="206" spans="1:22" x14ac:dyDescent="0.3">
      <c r="A206" s="2">
        <v>44081</v>
      </c>
      <c r="B206">
        <v>34750</v>
      </c>
      <c r="C206">
        <v>250</v>
      </c>
      <c r="D206">
        <v>9</v>
      </c>
      <c r="E206" s="1" t="s">
        <v>43</v>
      </c>
      <c r="F206">
        <v>0</v>
      </c>
      <c r="G206" s="1" t="s">
        <v>23</v>
      </c>
      <c r="H206">
        <v>33392.857142857145</v>
      </c>
      <c r="J206">
        <v>33000</v>
      </c>
      <c r="K206">
        <v>34000</v>
      </c>
      <c r="L206">
        <v>33250</v>
      </c>
      <c r="M206">
        <v>1750</v>
      </c>
      <c r="N206">
        <v>116.39530000000001</v>
      </c>
      <c r="O206">
        <v>-4.7659611999999997E-2</v>
      </c>
      <c r="P206">
        <v>14741</v>
      </c>
      <c r="Q206">
        <v>26.71</v>
      </c>
      <c r="R206">
        <v>7.24</v>
      </c>
      <c r="S206">
        <v>83.8</v>
      </c>
      <c r="T206">
        <v>7</v>
      </c>
      <c r="U206" s="1" t="s">
        <v>41</v>
      </c>
      <c r="V206">
        <v>5.3</v>
      </c>
    </row>
    <row r="207" spans="1:22" x14ac:dyDescent="0.3">
      <c r="A207" s="2">
        <v>44082</v>
      </c>
      <c r="B207">
        <v>35500</v>
      </c>
      <c r="C207">
        <v>251</v>
      </c>
      <c r="D207">
        <v>9</v>
      </c>
      <c r="E207" s="1" t="s">
        <v>43</v>
      </c>
      <c r="F207">
        <v>1</v>
      </c>
      <c r="G207" s="1" t="s">
        <v>23</v>
      </c>
      <c r="H207">
        <v>33607.142857142855</v>
      </c>
      <c r="J207">
        <v>34750</v>
      </c>
      <c r="K207">
        <v>34000</v>
      </c>
      <c r="L207">
        <v>33250</v>
      </c>
      <c r="M207">
        <v>750</v>
      </c>
      <c r="N207">
        <v>116.39530000000001</v>
      </c>
      <c r="O207">
        <v>-4.7659611999999997E-2</v>
      </c>
      <c r="P207">
        <v>14795</v>
      </c>
      <c r="Q207">
        <v>26.45</v>
      </c>
      <c r="R207">
        <v>4.28</v>
      </c>
      <c r="S207">
        <v>81.78</v>
      </c>
      <c r="T207">
        <v>8</v>
      </c>
      <c r="U207" s="1" t="s">
        <v>52</v>
      </c>
      <c r="V207">
        <v>2.16</v>
      </c>
    </row>
    <row r="208" spans="1:22" x14ac:dyDescent="0.3">
      <c r="A208" s="2">
        <v>44083</v>
      </c>
      <c r="B208">
        <v>36000</v>
      </c>
      <c r="C208">
        <v>252</v>
      </c>
      <c r="D208">
        <v>9</v>
      </c>
      <c r="E208" s="1" t="s">
        <v>43</v>
      </c>
      <c r="F208">
        <v>2</v>
      </c>
      <c r="G208" s="1" t="s">
        <v>23</v>
      </c>
      <c r="H208">
        <v>33892.857142857145</v>
      </c>
      <c r="J208">
        <v>35500</v>
      </c>
      <c r="K208">
        <v>34000</v>
      </c>
      <c r="L208">
        <v>35500</v>
      </c>
      <c r="M208">
        <v>500</v>
      </c>
      <c r="N208">
        <v>116.39530000000001</v>
      </c>
      <c r="O208">
        <v>-4.7659611999999997E-2</v>
      </c>
      <c r="P208">
        <v>14915.200199999999</v>
      </c>
      <c r="Q208">
        <v>26.68</v>
      </c>
      <c r="R208">
        <v>2.54</v>
      </c>
      <c r="S208">
        <v>80.47</v>
      </c>
      <c r="T208">
        <v>9</v>
      </c>
      <c r="U208" s="1" t="s">
        <v>26</v>
      </c>
      <c r="V208">
        <v>1.41</v>
      </c>
    </row>
    <row r="209" spans="1:22" x14ac:dyDescent="0.3">
      <c r="A209" s="2">
        <v>44084</v>
      </c>
      <c r="B209">
        <v>36000</v>
      </c>
      <c r="C209">
        <v>253</v>
      </c>
      <c r="D209">
        <v>9</v>
      </c>
      <c r="E209" s="1" t="s">
        <v>43</v>
      </c>
      <c r="F209">
        <v>3</v>
      </c>
      <c r="G209" s="1" t="s">
        <v>23</v>
      </c>
      <c r="H209">
        <v>34464.285714285717</v>
      </c>
      <c r="J209">
        <v>36000</v>
      </c>
      <c r="K209">
        <v>32000</v>
      </c>
      <c r="L209">
        <v>35500</v>
      </c>
      <c r="M209">
        <v>0</v>
      </c>
      <c r="N209">
        <v>116.39530000000001</v>
      </c>
      <c r="O209">
        <v>-4.7659611999999997E-2</v>
      </c>
      <c r="P209">
        <v>14874.200199999999</v>
      </c>
      <c r="Q209">
        <v>27.32</v>
      </c>
      <c r="R209">
        <v>2.2799999999999998</v>
      </c>
      <c r="S209">
        <v>78.28</v>
      </c>
      <c r="T209">
        <v>10</v>
      </c>
      <c r="U209" s="1" t="s">
        <v>25</v>
      </c>
      <c r="V209">
        <v>0</v>
      </c>
    </row>
    <row r="210" spans="1:22" x14ac:dyDescent="0.3">
      <c r="A210" s="2">
        <v>44085</v>
      </c>
      <c r="B210">
        <v>36500</v>
      </c>
      <c r="C210">
        <v>254</v>
      </c>
      <c r="D210">
        <v>9</v>
      </c>
      <c r="E210" s="1" t="s">
        <v>43</v>
      </c>
      <c r="F210">
        <v>4</v>
      </c>
      <c r="G210" s="1" t="s">
        <v>23</v>
      </c>
      <c r="H210">
        <v>34964.285714285717</v>
      </c>
      <c r="J210">
        <v>36000</v>
      </c>
      <c r="K210">
        <v>33000</v>
      </c>
      <c r="L210">
        <v>38000</v>
      </c>
      <c r="M210">
        <v>500</v>
      </c>
      <c r="N210">
        <v>116.39530000000001</v>
      </c>
      <c r="O210">
        <v>-4.7659611999999997E-2</v>
      </c>
      <c r="P210">
        <v>14857.4707</v>
      </c>
      <c r="Q210">
        <v>26.55</v>
      </c>
      <c r="R210">
        <v>2.81</v>
      </c>
      <c r="S210">
        <v>84.91</v>
      </c>
      <c r="T210">
        <v>11</v>
      </c>
      <c r="U210" s="1" t="s">
        <v>26</v>
      </c>
      <c r="V210">
        <v>1.39</v>
      </c>
    </row>
    <row r="211" spans="1:22" x14ac:dyDescent="0.3">
      <c r="A211" s="2">
        <v>44086</v>
      </c>
      <c r="B211">
        <v>36500</v>
      </c>
      <c r="C211">
        <v>255</v>
      </c>
      <c r="D211">
        <v>9</v>
      </c>
      <c r="E211" s="1" t="s">
        <v>43</v>
      </c>
      <c r="F211">
        <v>5</v>
      </c>
      <c r="G211" s="1" t="s">
        <v>23</v>
      </c>
      <c r="H211">
        <v>35464.285714285717</v>
      </c>
      <c r="J211">
        <v>36500</v>
      </c>
      <c r="K211">
        <v>33000</v>
      </c>
      <c r="L211">
        <v>37500</v>
      </c>
      <c r="M211">
        <v>0</v>
      </c>
      <c r="N211">
        <v>116.39530000000001</v>
      </c>
      <c r="O211">
        <v>-4.7659611999999997E-2</v>
      </c>
      <c r="P211">
        <v>14857.4707</v>
      </c>
      <c r="Q211">
        <v>26.64</v>
      </c>
      <c r="R211">
        <v>3.75</v>
      </c>
      <c r="S211">
        <v>85.07</v>
      </c>
      <c r="T211">
        <v>12</v>
      </c>
      <c r="U211" s="1" t="s">
        <v>26</v>
      </c>
      <c r="V211">
        <v>1.39</v>
      </c>
    </row>
    <row r="212" spans="1:22" x14ac:dyDescent="0.3">
      <c r="A212" s="2">
        <v>44087</v>
      </c>
      <c r="B212">
        <v>36500</v>
      </c>
      <c r="C212">
        <v>256</v>
      </c>
      <c r="D212">
        <v>9</v>
      </c>
      <c r="E212" s="1" t="s">
        <v>43</v>
      </c>
      <c r="F212">
        <v>6</v>
      </c>
      <c r="G212" s="1" t="s">
        <v>23</v>
      </c>
      <c r="H212">
        <v>35964.285714285717</v>
      </c>
      <c r="J212">
        <v>36500</v>
      </c>
      <c r="K212">
        <v>33000</v>
      </c>
      <c r="L212">
        <v>39500</v>
      </c>
      <c r="M212">
        <v>0</v>
      </c>
      <c r="N212">
        <v>116.39530000000001</v>
      </c>
      <c r="O212">
        <v>-4.7659611999999997E-2</v>
      </c>
      <c r="P212">
        <v>14857.4707</v>
      </c>
      <c r="Q212">
        <v>26.26</v>
      </c>
      <c r="R212">
        <v>29.38</v>
      </c>
      <c r="S212">
        <v>83.7</v>
      </c>
      <c r="T212">
        <v>13</v>
      </c>
      <c r="U212" s="1" t="s">
        <v>26</v>
      </c>
      <c r="V212">
        <v>1.39</v>
      </c>
    </row>
    <row r="213" spans="1:22" x14ac:dyDescent="0.3">
      <c r="A213" s="2">
        <v>44088</v>
      </c>
      <c r="B213">
        <v>35750</v>
      </c>
      <c r="C213">
        <v>257</v>
      </c>
      <c r="D213">
        <v>9</v>
      </c>
      <c r="E213" s="1" t="s">
        <v>43</v>
      </c>
      <c r="F213">
        <v>0</v>
      </c>
      <c r="G213" s="1" t="s">
        <v>23</v>
      </c>
      <c r="H213">
        <v>36107.142857142855</v>
      </c>
      <c r="J213">
        <v>36500</v>
      </c>
      <c r="K213">
        <v>34750</v>
      </c>
      <c r="M213">
        <v>-750</v>
      </c>
      <c r="N213">
        <v>116.39530000000001</v>
      </c>
      <c r="O213">
        <v>-4.7659611999999997E-2</v>
      </c>
      <c r="P213">
        <v>14883</v>
      </c>
      <c r="Q213">
        <v>26.6</v>
      </c>
      <c r="R213">
        <v>17.55</v>
      </c>
      <c r="S213">
        <v>82.69</v>
      </c>
      <c r="T213">
        <v>14</v>
      </c>
      <c r="U213" s="1" t="s">
        <v>42</v>
      </c>
      <c r="V213">
        <v>-2.0499999999999998</v>
      </c>
    </row>
    <row r="214" spans="1:22" x14ac:dyDescent="0.3">
      <c r="A214" s="2">
        <v>44089</v>
      </c>
      <c r="B214">
        <v>36000</v>
      </c>
      <c r="C214">
        <v>258</v>
      </c>
      <c r="D214">
        <v>9</v>
      </c>
      <c r="E214" s="1" t="s">
        <v>43</v>
      </c>
      <c r="F214">
        <v>1</v>
      </c>
      <c r="G214" s="1" t="s">
        <v>23</v>
      </c>
      <c r="H214">
        <v>36178.571428571428</v>
      </c>
      <c r="J214">
        <v>35750</v>
      </c>
      <c r="K214">
        <v>35500</v>
      </c>
      <c r="M214">
        <v>250</v>
      </c>
      <c r="N214">
        <v>116.39530000000001</v>
      </c>
      <c r="O214">
        <v>-4.7659611999999997E-2</v>
      </c>
      <c r="P214">
        <v>14983.5</v>
      </c>
      <c r="Q214">
        <v>26.34</v>
      </c>
      <c r="R214">
        <v>5.62</v>
      </c>
      <c r="S214">
        <v>83.5</v>
      </c>
      <c r="T214">
        <v>15</v>
      </c>
      <c r="U214" s="1" t="s">
        <v>34</v>
      </c>
      <c r="V214">
        <v>0.7</v>
      </c>
    </row>
    <row r="215" spans="1:22" x14ac:dyDescent="0.3">
      <c r="A215" s="2">
        <v>44090</v>
      </c>
      <c r="B215">
        <v>36000</v>
      </c>
      <c r="C215">
        <v>259</v>
      </c>
      <c r="D215">
        <v>9</v>
      </c>
      <c r="E215" s="1" t="s">
        <v>43</v>
      </c>
      <c r="F215">
        <v>2</v>
      </c>
      <c r="G215" s="1" t="s">
        <v>23</v>
      </c>
      <c r="H215">
        <v>36178.571428571428</v>
      </c>
      <c r="J215">
        <v>36000</v>
      </c>
      <c r="K215">
        <v>36000</v>
      </c>
      <c r="M215">
        <v>0</v>
      </c>
      <c r="N215">
        <v>116.39530000000001</v>
      </c>
      <c r="O215">
        <v>-4.7659611999999997E-2</v>
      </c>
      <c r="P215">
        <v>14869.599609999999</v>
      </c>
      <c r="Q215">
        <v>26.13</v>
      </c>
      <c r="R215">
        <v>9.07</v>
      </c>
      <c r="S215">
        <v>79.150000000000006</v>
      </c>
      <c r="T215">
        <v>16</v>
      </c>
      <c r="U215" s="1" t="s">
        <v>25</v>
      </c>
      <c r="V215">
        <v>0</v>
      </c>
    </row>
    <row r="216" spans="1:22" x14ac:dyDescent="0.3">
      <c r="A216" s="2">
        <v>44091</v>
      </c>
      <c r="B216">
        <v>35000</v>
      </c>
      <c r="C216">
        <v>260</v>
      </c>
      <c r="D216">
        <v>9</v>
      </c>
      <c r="E216" s="1" t="s">
        <v>43</v>
      </c>
      <c r="F216">
        <v>3</v>
      </c>
      <c r="G216" s="1" t="s">
        <v>23</v>
      </c>
      <c r="H216">
        <v>36035.714285714283</v>
      </c>
      <c r="J216">
        <v>36000</v>
      </c>
      <c r="K216">
        <v>36000</v>
      </c>
      <c r="L216">
        <v>40000</v>
      </c>
      <c r="M216">
        <v>-1000</v>
      </c>
      <c r="N216">
        <v>116.39530000000001</v>
      </c>
      <c r="O216">
        <v>-4.7659611999999997E-2</v>
      </c>
      <c r="P216">
        <v>14812.58691</v>
      </c>
      <c r="Q216">
        <v>26.83</v>
      </c>
      <c r="R216">
        <v>0.44</v>
      </c>
      <c r="S216">
        <v>74.28</v>
      </c>
      <c r="T216">
        <v>17</v>
      </c>
      <c r="U216" s="1" t="s">
        <v>30</v>
      </c>
      <c r="V216">
        <v>-2.78</v>
      </c>
    </row>
    <row r="217" spans="1:22" x14ac:dyDescent="0.3">
      <c r="A217" s="2">
        <v>44092</v>
      </c>
      <c r="B217">
        <v>35000</v>
      </c>
      <c r="C217">
        <v>261</v>
      </c>
      <c r="D217">
        <v>9</v>
      </c>
      <c r="E217" s="1" t="s">
        <v>43</v>
      </c>
      <c r="F217">
        <v>4</v>
      </c>
      <c r="G217" s="1" t="s">
        <v>23</v>
      </c>
      <c r="H217">
        <v>35821.428571428572</v>
      </c>
      <c r="J217">
        <v>35000</v>
      </c>
      <c r="K217">
        <v>36500</v>
      </c>
      <c r="L217">
        <v>40000</v>
      </c>
      <c r="M217">
        <v>0</v>
      </c>
      <c r="N217">
        <v>116.39530000000001</v>
      </c>
      <c r="O217">
        <v>-4.7659611999999997E-2</v>
      </c>
      <c r="P217">
        <v>14788</v>
      </c>
      <c r="Q217">
        <v>26.62</v>
      </c>
      <c r="R217">
        <v>1.22</v>
      </c>
      <c r="S217">
        <v>82.55</v>
      </c>
      <c r="T217">
        <v>18</v>
      </c>
      <c r="U217" s="1" t="s">
        <v>25</v>
      </c>
      <c r="V217">
        <v>0</v>
      </c>
    </row>
    <row r="218" spans="1:22" x14ac:dyDescent="0.3">
      <c r="A218" s="2">
        <v>44095</v>
      </c>
      <c r="B218">
        <v>33000</v>
      </c>
      <c r="C218">
        <v>264</v>
      </c>
      <c r="D218">
        <v>9</v>
      </c>
      <c r="E218" s="1" t="s">
        <v>43</v>
      </c>
      <c r="F218">
        <v>0</v>
      </c>
      <c r="G218" s="1" t="s">
        <v>23</v>
      </c>
      <c r="K218">
        <v>35750</v>
      </c>
      <c r="N218">
        <v>116.39530000000001</v>
      </c>
      <c r="O218">
        <v>-4.7659611999999997E-2</v>
      </c>
      <c r="P218">
        <v>14728</v>
      </c>
      <c r="Q218">
        <v>27.79</v>
      </c>
      <c r="R218">
        <v>0.47</v>
      </c>
      <c r="S218">
        <v>78.290000000000006</v>
      </c>
      <c r="T218">
        <v>21</v>
      </c>
      <c r="U218" s="1" t="s">
        <v>45</v>
      </c>
      <c r="V218">
        <v>-5.71</v>
      </c>
    </row>
    <row r="219" spans="1:22" x14ac:dyDescent="0.3">
      <c r="A219" s="2">
        <v>44096</v>
      </c>
      <c r="B219">
        <v>33000</v>
      </c>
      <c r="C219">
        <v>265</v>
      </c>
      <c r="D219">
        <v>9</v>
      </c>
      <c r="E219" s="1" t="s">
        <v>43</v>
      </c>
      <c r="F219">
        <v>1</v>
      </c>
      <c r="G219" s="1" t="s">
        <v>23</v>
      </c>
      <c r="J219">
        <v>33000</v>
      </c>
      <c r="K219">
        <v>36000</v>
      </c>
      <c r="M219">
        <v>0</v>
      </c>
      <c r="N219">
        <v>116.39530000000001</v>
      </c>
      <c r="O219">
        <v>-4.7659611999999997E-2</v>
      </c>
      <c r="P219">
        <v>14839.200199999999</v>
      </c>
      <c r="Q219">
        <v>27.39</v>
      </c>
      <c r="R219">
        <v>3.86</v>
      </c>
      <c r="S219">
        <v>81.27</v>
      </c>
      <c r="T219">
        <v>22</v>
      </c>
      <c r="U219" s="1" t="s">
        <v>25</v>
      </c>
      <c r="V219">
        <v>0</v>
      </c>
    </row>
    <row r="220" spans="1:22" x14ac:dyDescent="0.3">
      <c r="A220" s="2">
        <v>44097</v>
      </c>
      <c r="B220">
        <v>32500</v>
      </c>
      <c r="C220">
        <v>266</v>
      </c>
      <c r="D220">
        <v>9</v>
      </c>
      <c r="E220" s="1" t="s">
        <v>43</v>
      </c>
      <c r="F220">
        <v>2</v>
      </c>
      <c r="G220" s="1" t="s">
        <v>23</v>
      </c>
      <c r="J220">
        <v>33000</v>
      </c>
      <c r="K220">
        <v>36000</v>
      </c>
      <c r="L220">
        <v>36500</v>
      </c>
      <c r="M220">
        <v>-500</v>
      </c>
      <c r="N220">
        <v>116.39530000000001</v>
      </c>
      <c r="O220">
        <v>-4.7659611999999997E-2</v>
      </c>
      <c r="P220">
        <v>14742.585940000001</v>
      </c>
      <c r="Q220">
        <v>26.78</v>
      </c>
      <c r="R220">
        <v>5.2</v>
      </c>
      <c r="S220">
        <v>83.22</v>
      </c>
      <c r="T220">
        <v>23</v>
      </c>
      <c r="U220" s="1" t="s">
        <v>24</v>
      </c>
      <c r="V220">
        <v>-1.52</v>
      </c>
    </row>
    <row r="221" spans="1:22" x14ac:dyDescent="0.3">
      <c r="A221" s="2">
        <v>44098</v>
      </c>
      <c r="B221">
        <v>32500</v>
      </c>
      <c r="C221">
        <v>267</v>
      </c>
      <c r="D221">
        <v>9</v>
      </c>
      <c r="E221" s="1" t="s">
        <v>43</v>
      </c>
      <c r="F221">
        <v>3</v>
      </c>
      <c r="G221" s="1" t="s">
        <v>23</v>
      </c>
      <c r="J221">
        <v>32500</v>
      </c>
      <c r="K221">
        <v>35000</v>
      </c>
      <c r="L221">
        <v>35500</v>
      </c>
      <c r="M221">
        <v>0</v>
      </c>
      <c r="N221">
        <v>116.39530000000001</v>
      </c>
      <c r="O221">
        <v>-4.7659611999999997E-2</v>
      </c>
      <c r="P221">
        <v>14803.985350000001</v>
      </c>
      <c r="Q221">
        <v>26.77</v>
      </c>
      <c r="R221">
        <v>12.71</v>
      </c>
      <c r="S221">
        <v>79.09</v>
      </c>
      <c r="T221">
        <v>24</v>
      </c>
      <c r="U221" s="1" t="s">
        <v>25</v>
      </c>
      <c r="V221">
        <v>0</v>
      </c>
    </row>
    <row r="222" spans="1:22" x14ac:dyDescent="0.3">
      <c r="A222" s="2">
        <v>44099</v>
      </c>
      <c r="B222">
        <v>32500</v>
      </c>
      <c r="C222">
        <v>268</v>
      </c>
      <c r="D222">
        <v>9</v>
      </c>
      <c r="E222" s="1" t="s">
        <v>43</v>
      </c>
      <c r="F222">
        <v>4</v>
      </c>
      <c r="G222" s="1" t="s">
        <v>23</v>
      </c>
      <c r="J222">
        <v>32500</v>
      </c>
      <c r="K222">
        <v>35000</v>
      </c>
      <c r="L222">
        <v>35000</v>
      </c>
      <c r="M222">
        <v>0</v>
      </c>
      <c r="N222">
        <v>116.39530000000001</v>
      </c>
      <c r="O222">
        <v>-4.7659611999999997E-2</v>
      </c>
      <c r="P222">
        <v>14839.57813</v>
      </c>
      <c r="Q222">
        <v>26.94</v>
      </c>
      <c r="R222">
        <v>20.239999999999998</v>
      </c>
      <c r="S222">
        <v>77.87</v>
      </c>
      <c r="T222">
        <v>25</v>
      </c>
      <c r="U222" s="1" t="s">
        <v>25</v>
      </c>
      <c r="V222">
        <v>0</v>
      </c>
    </row>
    <row r="223" spans="1:22" x14ac:dyDescent="0.3">
      <c r="A223" s="2">
        <v>44100</v>
      </c>
      <c r="B223">
        <v>32500</v>
      </c>
      <c r="C223">
        <v>269</v>
      </c>
      <c r="D223">
        <v>9</v>
      </c>
      <c r="E223" s="1" t="s">
        <v>43</v>
      </c>
      <c r="F223">
        <v>5</v>
      </c>
      <c r="G223" s="1" t="s">
        <v>23</v>
      </c>
      <c r="J223">
        <v>32500</v>
      </c>
      <c r="L223">
        <v>35000</v>
      </c>
      <c r="M223">
        <v>0</v>
      </c>
      <c r="N223">
        <v>116.39530000000001</v>
      </c>
      <c r="O223">
        <v>-4.7659611999999997E-2</v>
      </c>
      <c r="P223">
        <v>14839.57813</v>
      </c>
      <c r="Q223">
        <v>26.65</v>
      </c>
      <c r="R223">
        <v>3.21</v>
      </c>
      <c r="S223">
        <v>81.99</v>
      </c>
      <c r="T223">
        <v>26</v>
      </c>
      <c r="U223" s="1" t="s">
        <v>25</v>
      </c>
      <c r="V223">
        <v>0</v>
      </c>
    </row>
    <row r="224" spans="1:22" x14ac:dyDescent="0.3">
      <c r="A224" s="2">
        <v>44101</v>
      </c>
      <c r="B224">
        <v>32500</v>
      </c>
      <c r="C224">
        <v>270</v>
      </c>
      <c r="D224">
        <v>9</v>
      </c>
      <c r="E224" s="1" t="s">
        <v>43</v>
      </c>
      <c r="F224">
        <v>6</v>
      </c>
      <c r="G224" s="1" t="s">
        <v>23</v>
      </c>
      <c r="H224">
        <v>32642.857142857141</v>
      </c>
      <c r="J224">
        <v>32500</v>
      </c>
      <c r="L224">
        <v>35000</v>
      </c>
      <c r="M224">
        <v>0</v>
      </c>
      <c r="N224">
        <v>116.39530000000001</v>
      </c>
      <c r="O224">
        <v>-4.7659611999999997E-2</v>
      </c>
      <c r="P224">
        <v>14839.57813</v>
      </c>
      <c r="Q224">
        <v>26.9</v>
      </c>
      <c r="R224">
        <v>1.71</v>
      </c>
      <c r="S224">
        <v>80.31</v>
      </c>
      <c r="T224">
        <v>27</v>
      </c>
      <c r="U224" s="1" t="s">
        <v>25</v>
      </c>
      <c r="V224">
        <v>0</v>
      </c>
    </row>
    <row r="225" spans="1:22" x14ac:dyDescent="0.3">
      <c r="A225" s="2">
        <v>44102</v>
      </c>
      <c r="B225">
        <v>32000</v>
      </c>
      <c r="C225">
        <v>271</v>
      </c>
      <c r="D225">
        <v>9</v>
      </c>
      <c r="E225" s="1" t="s">
        <v>43</v>
      </c>
      <c r="F225">
        <v>0</v>
      </c>
      <c r="G225" s="1" t="s">
        <v>23</v>
      </c>
      <c r="H225">
        <v>32500</v>
      </c>
      <c r="J225">
        <v>32500</v>
      </c>
      <c r="K225">
        <v>33000</v>
      </c>
      <c r="L225">
        <v>35000</v>
      </c>
      <c r="M225">
        <v>-500</v>
      </c>
      <c r="N225">
        <v>116.39530000000001</v>
      </c>
      <c r="O225">
        <v>-4.7659611999999997E-2</v>
      </c>
      <c r="P225">
        <v>14863</v>
      </c>
      <c r="Q225">
        <v>27.2</v>
      </c>
      <c r="R225">
        <v>3.57</v>
      </c>
      <c r="S225">
        <v>81.08</v>
      </c>
      <c r="T225">
        <v>28</v>
      </c>
      <c r="U225" s="1" t="s">
        <v>24</v>
      </c>
      <c r="V225">
        <v>-1.54</v>
      </c>
    </row>
    <row r="226" spans="1:22" x14ac:dyDescent="0.3">
      <c r="A226" s="2">
        <v>44103</v>
      </c>
      <c r="B226">
        <v>32000</v>
      </c>
      <c r="C226">
        <v>272</v>
      </c>
      <c r="D226">
        <v>9</v>
      </c>
      <c r="E226" s="1" t="s">
        <v>43</v>
      </c>
      <c r="F226">
        <v>1</v>
      </c>
      <c r="G226" s="1" t="s">
        <v>23</v>
      </c>
      <c r="H226">
        <v>32357.142857142859</v>
      </c>
      <c r="J226">
        <v>32000</v>
      </c>
      <c r="K226">
        <v>33000</v>
      </c>
      <c r="L226">
        <v>35000</v>
      </c>
      <c r="M226">
        <v>0</v>
      </c>
      <c r="N226">
        <v>116.39530000000001</v>
      </c>
      <c r="O226">
        <v>-4.7659611999999997E-2</v>
      </c>
      <c r="P226">
        <v>14893.599609999999</v>
      </c>
      <c r="Q226">
        <v>26.41</v>
      </c>
      <c r="R226">
        <v>9.49</v>
      </c>
      <c r="S226">
        <v>87.68</v>
      </c>
      <c r="T226">
        <v>29</v>
      </c>
      <c r="U226" s="1" t="s">
        <v>25</v>
      </c>
      <c r="V226">
        <v>0</v>
      </c>
    </row>
    <row r="227" spans="1:22" x14ac:dyDescent="0.3">
      <c r="A227" s="2">
        <v>44104</v>
      </c>
      <c r="B227">
        <v>30500</v>
      </c>
      <c r="C227">
        <v>273</v>
      </c>
      <c r="D227">
        <v>9</v>
      </c>
      <c r="E227" s="1" t="s">
        <v>43</v>
      </c>
      <c r="F227">
        <v>2</v>
      </c>
      <c r="G227" s="1" t="s">
        <v>23</v>
      </c>
      <c r="H227">
        <v>32071.428571428572</v>
      </c>
      <c r="J227">
        <v>32000</v>
      </c>
      <c r="K227">
        <v>32500</v>
      </c>
      <c r="L227">
        <v>34000</v>
      </c>
      <c r="M227">
        <v>-1500</v>
      </c>
      <c r="N227">
        <v>116.39530000000001</v>
      </c>
      <c r="O227">
        <v>-4.7659611999999997E-2</v>
      </c>
      <c r="P227">
        <v>14910</v>
      </c>
      <c r="Q227">
        <v>26.48</v>
      </c>
      <c r="R227">
        <v>2.84</v>
      </c>
      <c r="S227">
        <v>81.78</v>
      </c>
      <c r="T227">
        <v>30</v>
      </c>
      <c r="U227" s="1" t="s">
        <v>37</v>
      </c>
      <c r="V227">
        <v>-4.6900000000000004</v>
      </c>
    </row>
    <row r="228" spans="1:22" x14ac:dyDescent="0.3">
      <c r="A228" s="2">
        <v>44105</v>
      </c>
      <c r="B228">
        <v>30500</v>
      </c>
      <c r="C228">
        <v>274</v>
      </c>
      <c r="D228">
        <v>10</v>
      </c>
      <c r="E228" s="1" t="s">
        <v>22</v>
      </c>
      <c r="F228">
        <v>3</v>
      </c>
      <c r="G228" s="1" t="s">
        <v>23</v>
      </c>
      <c r="H228">
        <v>31785.714285714286</v>
      </c>
      <c r="J228">
        <v>30500</v>
      </c>
      <c r="K228">
        <v>32500</v>
      </c>
      <c r="L228">
        <v>34000</v>
      </c>
      <c r="M228">
        <v>0</v>
      </c>
      <c r="N228">
        <v>116.473</v>
      </c>
      <c r="O228">
        <v>6.6755273000000004E-2</v>
      </c>
      <c r="P228">
        <v>14879</v>
      </c>
      <c r="Q228">
        <v>27.07</v>
      </c>
      <c r="R228">
        <v>1.03</v>
      </c>
      <c r="S228">
        <v>80.849999999999994</v>
      </c>
      <c r="T228">
        <v>1</v>
      </c>
      <c r="U228" s="1" t="s">
        <v>25</v>
      </c>
      <c r="V228">
        <v>0</v>
      </c>
    </row>
    <row r="229" spans="1:22" x14ac:dyDescent="0.3">
      <c r="A229" s="2">
        <v>44106</v>
      </c>
      <c r="B229">
        <v>30500</v>
      </c>
      <c r="C229">
        <v>275</v>
      </c>
      <c r="D229">
        <v>10</v>
      </c>
      <c r="E229" s="1" t="s">
        <v>22</v>
      </c>
      <c r="F229">
        <v>4</v>
      </c>
      <c r="G229" s="1" t="s">
        <v>23</v>
      </c>
      <c r="H229">
        <v>31500</v>
      </c>
      <c r="J229">
        <v>30500</v>
      </c>
      <c r="K229">
        <v>32500</v>
      </c>
      <c r="L229">
        <v>34000</v>
      </c>
      <c r="M229">
        <v>0</v>
      </c>
      <c r="N229">
        <v>116.473</v>
      </c>
      <c r="O229">
        <v>6.6755273000000004E-2</v>
      </c>
      <c r="P229">
        <v>14817.558590000001</v>
      </c>
      <c r="Q229">
        <v>27.08</v>
      </c>
      <c r="R229">
        <v>5.09</v>
      </c>
      <c r="S229">
        <v>82.08</v>
      </c>
      <c r="T229">
        <v>2</v>
      </c>
      <c r="U229" s="1" t="s">
        <v>25</v>
      </c>
      <c r="V229">
        <v>0</v>
      </c>
    </row>
    <row r="230" spans="1:22" x14ac:dyDescent="0.3">
      <c r="A230" s="2">
        <v>44107</v>
      </c>
      <c r="B230">
        <v>30500</v>
      </c>
      <c r="C230">
        <v>276</v>
      </c>
      <c r="D230">
        <v>10</v>
      </c>
      <c r="E230" s="1" t="s">
        <v>22</v>
      </c>
      <c r="F230">
        <v>5</v>
      </c>
      <c r="G230" s="1" t="s">
        <v>23</v>
      </c>
      <c r="H230">
        <v>31214.285714285714</v>
      </c>
      <c r="J230">
        <v>30500</v>
      </c>
      <c r="K230">
        <v>32500</v>
      </c>
      <c r="L230">
        <v>32000</v>
      </c>
      <c r="M230">
        <v>0</v>
      </c>
      <c r="N230">
        <v>116.473</v>
      </c>
      <c r="O230">
        <v>6.6755273000000004E-2</v>
      </c>
      <c r="P230">
        <v>14817.558590000001</v>
      </c>
      <c r="Q230">
        <v>26.15</v>
      </c>
      <c r="R230">
        <v>4.3899999999999997</v>
      </c>
      <c r="S230">
        <v>82.8</v>
      </c>
      <c r="T230">
        <v>3</v>
      </c>
      <c r="U230" s="1" t="s">
        <v>25</v>
      </c>
      <c r="V230">
        <v>0</v>
      </c>
    </row>
    <row r="231" spans="1:22" x14ac:dyDescent="0.3">
      <c r="A231" s="2">
        <v>44108</v>
      </c>
      <c r="B231">
        <v>30500</v>
      </c>
      <c r="C231">
        <v>277</v>
      </c>
      <c r="D231">
        <v>10</v>
      </c>
      <c r="E231" s="1" t="s">
        <v>22</v>
      </c>
      <c r="F231">
        <v>6</v>
      </c>
      <c r="G231" s="1" t="s">
        <v>23</v>
      </c>
      <c r="H231">
        <v>30928.571428571428</v>
      </c>
      <c r="J231">
        <v>30500</v>
      </c>
      <c r="K231">
        <v>32500</v>
      </c>
      <c r="L231">
        <v>33000</v>
      </c>
      <c r="M231">
        <v>0</v>
      </c>
      <c r="N231">
        <v>116.473</v>
      </c>
      <c r="O231">
        <v>6.6755273000000004E-2</v>
      </c>
      <c r="P231">
        <v>14817.558590000001</v>
      </c>
      <c r="Q231">
        <v>26.75</v>
      </c>
      <c r="R231">
        <v>7.96</v>
      </c>
      <c r="S231">
        <v>80.92</v>
      </c>
      <c r="T231">
        <v>4</v>
      </c>
      <c r="U231" s="1" t="s">
        <v>25</v>
      </c>
      <c r="V231">
        <v>0</v>
      </c>
    </row>
    <row r="232" spans="1:22" x14ac:dyDescent="0.3">
      <c r="A232" s="2">
        <v>44109</v>
      </c>
      <c r="B232">
        <v>32000</v>
      </c>
      <c r="C232">
        <v>278</v>
      </c>
      <c r="D232">
        <v>10</v>
      </c>
      <c r="E232" s="1" t="s">
        <v>22</v>
      </c>
      <c r="F232">
        <v>0</v>
      </c>
      <c r="G232" s="1" t="s">
        <v>23</v>
      </c>
      <c r="H232">
        <v>30928.571428571428</v>
      </c>
      <c r="J232">
        <v>30500</v>
      </c>
      <c r="K232">
        <v>32000</v>
      </c>
      <c r="L232">
        <v>33000</v>
      </c>
      <c r="M232">
        <v>1500</v>
      </c>
      <c r="N232">
        <v>116.473</v>
      </c>
      <c r="O232">
        <v>6.6755273000000004E-2</v>
      </c>
      <c r="P232">
        <v>14853</v>
      </c>
      <c r="Q232">
        <v>27.24</v>
      </c>
      <c r="R232">
        <v>27.13</v>
      </c>
      <c r="S232">
        <v>80.81</v>
      </c>
      <c r="T232">
        <v>5</v>
      </c>
      <c r="U232" s="1" t="s">
        <v>31</v>
      </c>
      <c r="V232">
        <v>4.92</v>
      </c>
    </row>
    <row r="233" spans="1:22" x14ac:dyDescent="0.3">
      <c r="A233" s="2">
        <v>44110</v>
      </c>
      <c r="B233">
        <v>32500</v>
      </c>
      <c r="C233">
        <v>279</v>
      </c>
      <c r="D233">
        <v>10</v>
      </c>
      <c r="E233" s="1" t="s">
        <v>22</v>
      </c>
      <c r="F233">
        <v>1</v>
      </c>
      <c r="G233" s="1" t="s">
        <v>23</v>
      </c>
      <c r="H233">
        <v>31000</v>
      </c>
      <c r="J233">
        <v>32000</v>
      </c>
      <c r="K233">
        <v>32000</v>
      </c>
      <c r="L233">
        <v>33000</v>
      </c>
      <c r="M233">
        <v>500</v>
      </c>
      <c r="N233">
        <v>116.473</v>
      </c>
      <c r="O233">
        <v>6.6755273000000004E-2</v>
      </c>
      <c r="P233">
        <v>14780.18262</v>
      </c>
      <c r="Q233">
        <v>26.88</v>
      </c>
      <c r="R233">
        <v>3.49</v>
      </c>
      <c r="S233">
        <v>82.45</v>
      </c>
      <c r="T233">
        <v>6</v>
      </c>
      <c r="U233" s="1" t="s">
        <v>26</v>
      </c>
      <c r="V233">
        <v>1.56</v>
      </c>
    </row>
    <row r="234" spans="1:22" x14ac:dyDescent="0.3">
      <c r="A234" s="2">
        <v>44111</v>
      </c>
      <c r="B234">
        <v>33500</v>
      </c>
      <c r="C234">
        <v>280</v>
      </c>
      <c r="D234">
        <v>10</v>
      </c>
      <c r="E234" s="1" t="s">
        <v>22</v>
      </c>
      <c r="F234">
        <v>2</v>
      </c>
      <c r="G234" s="1" t="s">
        <v>23</v>
      </c>
      <c r="H234">
        <v>31428.571428571428</v>
      </c>
      <c r="J234">
        <v>32500</v>
      </c>
      <c r="K234">
        <v>30500</v>
      </c>
      <c r="L234">
        <v>34750</v>
      </c>
      <c r="M234">
        <v>1000</v>
      </c>
      <c r="N234">
        <v>116.473</v>
      </c>
      <c r="O234">
        <v>6.6755273000000004E-2</v>
      </c>
      <c r="P234">
        <v>14773</v>
      </c>
      <c r="Q234">
        <v>25.99</v>
      </c>
      <c r="R234">
        <v>6.59</v>
      </c>
      <c r="S234">
        <v>83.72</v>
      </c>
      <c r="T234">
        <v>7</v>
      </c>
      <c r="U234" s="1" t="s">
        <v>29</v>
      </c>
      <c r="V234">
        <v>3.08</v>
      </c>
    </row>
    <row r="235" spans="1:22" x14ac:dyDescent="0.3">
      <c r="A235" s="2">
        <v>44112</v>
      </c>
      <c r="B235">
        <v>33500</v>
      </c>
      <c r="C235">
        <v>281</v>
      </c>
      <c r="D235">
        <v>10</v>
      </c>
      <c r="E235" s="1" t="s">
        <v>22</v>
      </c>
      <c r="F235">
        <v>3</v>
      </c>
      <c r="G235" s="1" t="s">
        <v>23</v>
      </c>
      <c r="H235">
        <v>31857.142857142859</v>
      </c>
      <c r="J235">
        <v>33500</v>
      </c>
      <c r="K235">
        <v>30500</v>
      </c>
      <c r="L235">
        <v>35500</v>
      </c>
      <c r="M235">
        <v>0</v>
      </c>
      <c r="N235">
        <v>116.473</v>
      </c>
      <c r="O235">
        <v>6.6755273000000004E-2</v>
      </c>
      <c r="P235">
        <v>14715.5</v>
      </c>
      <c r="Q235">
        <v>26.43</v>
      </c>
      <c r="R235">
        <v>2.4500000000000002</v>
      </c>
      <c r="S235">
        <v>81.89</v>
      </c>
      <c r="T235">
        <v>8</v>
      </c>
      <c r="U235" s="1" t="s">
        <v>25</v>
      </c>
      <c r="V235">
        <v>0</v>
      </c>
    </row>
    <row r="236" spans="1:22" x14ac:dyDescent="0.3">
      <c r="A236" s="2">
        <v>44113</v>
      </c>
      <c r="B236">
        <v>35500</v>
      </c>
      <c r="C236">
        <v>282</v>
      </c>
      <c r="D236">
        <v>10</v>
      </c>
      <c r="E236" s="1" t="s">
        <v>22</v>
      </c>
      <c r="F236">
        <v>4</v>
      </c>
      <c r="G236" s="1" t="s">
        <v>23</v>
      </c>
      <c r="H236">
        <v>32571.428571428572</v>
      </c>
      <c r="J236">
        <v>33500</v>
      </c>
      <c r="K236">
        <v>30500</v>
      </c>
      <c r="L236">
        <v>36000</v>
      </c>
      <c r="M236">
        <v>2000</v>
      </c>
      <c r="N236">
        <v>116.473</v>
      </c>
      <c r="O236">
        <v>6.6755273000000004E-2</v>
      </c>
      <c r="P236">
        <v>14676.996090000001</v>
      </c>
      <c r="Q236">
        <v>27.39</v>
      </c>
      <c r="R236">
        <v>9.83</v>
      </c>
      <c r="S236">
        <v>77.91</v>
      </c>
      <c r="T236">
        <v>9</v>
      </c>
      <c r="U236" s="1" t="s">
        <v>47</v>
      </c>
      <c r="V236">
        <v>5.97</v>
      </c>
    </row>
    <row r="237" spans="1:22" x14ac:dyDescent="0.3">
      <c r="A237" s="2">
        <v>44114</v>
      </c>
      <c r="B237">
        <v>35500</v>
      </c>
      <c r="C237">
        <v>283</v>
      </c>
      <c r="D237">
        <v>10</v>
      </c>
      <c r="E237" s="1" t="s">
        <v>22</v>
      </c>
      <c r="F237">
        <v>5</v>
      </c>
      <c r="G237" s="1" t="s">
        <v>23</v>
      </c>
      <c r="H237">
        <v>33285.714285714283</v>
      </c>
      <c r="J237">
        <v>35500</v>
      </c>
      <c r="K237">
        <v>30500</v>
      </c>
      <c r="L237">
        <v>36000</v>
      </c>
      <c r="M237">
        <v>0</v>
      </c>
      <c r="N237">
        <v>116.473</v>
      </c>
      <c r="O237">
        <v>6.6755273000000004E-2</v>
      </c>
      <c r="P237">
        <v>14676.996090000001</v>
      </c>
      <c r="Q237">
        <v>27.42</v>
      </c>
      <c r="R237">
        <v>4.83</v>
      </c>
      <c r="S237">
        <v>80.459999999999994</v>
      </c>
      <c r="T237">
        <v>10</v>
      </c>
      <c r="U237" s="1" t="s">
        <v>47</v>
      </c>
      <c r="V237">
        <v>5.97</v>
      </c>
    </row>
    <row r="238" spans="1:22" x14ac:dyDescent="0.3">
      <c r="A238" s="2">
        <v>44115</v>
      </c>
      <c r="B238">
        <v>35500</v>
      </c>
      <c r="C238">
        <v>284</v>
      </c>
      <c r="D238">
        <v>10</v>
      </c>
      <c r="E238" s="1" t="s">
        <v>22</v>
      </c>
      <c r="F238">
        <v>6</v>
      </c>
      <c r="G238" s="1" t="s">
        <v>23</v>
      </c>
      <c r="H238">
        <v>34000</v>
      </c>
      <c r="J238">
        <v>35500</v>
      </c>
      <c r="K238">
        <v>30500</v>
      </c>
      <c r="L238">
        <v>36500</v>
      </c>
      <c r="M238">
        <v>0</v>
      </c>
      <c r="N238">
        <v>116.473</v>
      </c>
      <c r="O238">
        <v>6.6755273000000004E-2</v>
      </c>
      <c r="P238">
        <v>14676.996090000001</v>
      </c>
      <c r="Q238">
        <v>26.84</v>
      </c>
      <c r="R238">
        <v>25.57</v>
      </c>
      <c r="S238">
        <v>85.22</v>
      </c>
      <c r="T238">
        <v>11</v>
      </c>
      <c r="U238" s="1" t="s">
        <v>47</v>
      </c>
      <c r="V238">
        <v>5.97</v>
      </c>
    </row>
    <row r="239" spans="1:22" x14ac:dyDescent="0.3">
      <c r="A239" s="2">
        <v>44116</v>
      </c>
      <c r="B239">
        <v>40000</v>
      </c>
      <c r="C239">
        <v>285</v>
      </c>
      <c r="D239">
        <v>10</v>
      </c>
      <c r="E239" s="1" t="s">
        <v>22</v>
      </c>
      <c r="F239">
        <v>0</v>
      </c>
      <c r="G239" s="1" t="s">
        <v>23</v>
      </c>
      <c r="H239">
        <v>35142.857142857145</v>
      </c>
      <c r="J239">
        <v>35500</v>
      </c>
      <c r="K239">
        <v>32000</v>
      </c>
      <c r="L239">
        <v>36500</v>
      </c>
      <c r="M239">
        <v>4500</v>
      </c>
      <c r="N239">
        <v>116.473</v>
      </c>
      <c r="O239">
        <v>6.6755273000000004E-2</v>
      </c>
      <c r="P239">
        <v>14693</v>
      </c>
      <c r="Q239">
        <v>26.93</v>
      </c>
      <c r="R239">
        <v>8.56</v>
      </c>
      <c r="S239">
        <v>82.08</v>
      </c>
      <c r="T239">
        <v>12</v>
      </c>
      <c r="U239" s="1" t="s">
        <v>57</v>
      </c>
      <c r="V239">
        <v>12.68</v>
      </c>
    </row>
    <row r="240" spans="1:22" x14ac:dyDescent="0.3">
      <c r="A240" s="2">
        <v>44117</v>
      </c>
      <c r="B240">
        <v>40000</v>
      </c>
      <c r="C240">
        <v>286</v>
      </c>
      <c r="D240">
        <v>10</v>
      </c>
      <c r="E240" s="1" t="s">
        <v>22</v>
      </c>
      <c r="F240">
        <v>1</v>
      </c>
      <c r="G240" s="1" t="s">
        <v>23</v>
      </c>
      <c r="H240">
        <v>36214.285714285717</v>
      </c>
      <c r="J240">
        <v>40000</v>
      </c>
      <c r="K240">
        <v>32500</v>
      </c>
      <c r="L240">
        <v>36500</v>
      </c>
      <c r="M240">
        <v>0</v>
      </c>
      <c r="N240">
        <v>116.473</v>
      </c>
      <c r="O240">
        <v>6.6755273000000004E-2</v>
      </c>
      <c r="P240">
        <v>14484.992190000001</v>
      </c>
      <c r="Q240">
        <v>26.68</v>
      </c>
      <c r="R240">
        <v>5.4</v>
      </c>
      <c r="S240">
        <v>83.28</v>
      </c>
      <c r="T240">
        <v>13</v>
      </c>
      <c r="U240" s="1" t="s">
        <v>25</v>
      </c>
      <c r="V240">
        <v>0</v>
      </c>
    </row>
    <row r="241" spans="1:22" x14ac:dyDescent="0.3">
      <c r="A241" s="2">
        <v>44118</v>
      </c>
      <c r="B241">
        <v>40000</v>
      </c>
      <c r="C241">
        <v>287</v>
      </c>
      <c r="D241">
        <v>10</v>
      </c>
      <c r="E241" s="1" t="s">
        <v>22</v>
      </c>
      <c r="F241">
        <v>2</v>
      </c>
      <c r="G241" s="1" t="s">
        <v>23</v>
      </c>
      <c r="H241">
        <v>37142.857142857145</v>
      </c>
      <c r="J241">
        <v>40000</v>
      </c>
      <c r="K241">
        <v>33500</v>
      </c>
      <c r="L241">
        <v>35750</v>
      </c>
      <c r="M241">
        <v>0</v>
      </c>
      <c r="N241">
        <v>116.473</v>
      </c>
      <c r="O241">
        <v>6.6755273000000004E-2</v>
      </c>
      <c r="P241">
        <v>14793</v>
      </c>
      <c r="Q241">
        <v>27.12</v>
      </c>
      <c r="R241">
        <v>11.21</v>
      </c>
      <c r="S241">
        <v>77.650000000000006</v>
      </c>
      <c r="T241">
        <v>14</v>
      </c>
      <c r="U241" s="1" t="s">
        <v>25</v>
      </c>
      <c r="V241">
        <v>0</v>
      </c>
    </row>
    <row r="242" spans="1:22" x14ac:dyDescent="0.3">
      <c r="A242" s="2">
        <v>44119</v>
      </c>
      <c r="B242">
        <v>40000</v>
      </c>
      <c r="C242">
        <v>288</v>
      </c>
      <c r="D242">
        <v>10</v>
      </c>
      <c r="E242" s="1" t="s">
        <v>22</v>
      </c>
      <c r="F242">
        <v>3</v>
      </c>
      <c r="G242" s="1" t="s">
        <v>23</v>
      </c>
      <c r="H242">
        <v>38071.428571428572</v>
      </c>
      <c r="J242">
        <v>40000</v>
      </c>
      <c r="K242">
        <v>33500</v>
      </c>
      <c r="L242">
        <v>36000</v>
      </c>
      <c r="M242">
        <v>0</v>
      </c>
      <c r="N242">
        <v>116.473</v>
      </c>
      <c r="O242">
        <v>6.6755273000000004E-2</v>
      </c>
      <c r="P242">
        <v>14681.462890000001</v>
      </c>
      <c r="Q242">
        <v>26.8</v>
      </c>
      <c r="R242">
        <v>6.81</v>
      </c>
      <c r="S242">
        <v>82.43</v>
      </c>
      <c r="T242">
        <v>15</v>
      </c>
      <c r="U242" s="1" t="s">
        <v>25</v>
      </c>
      <c r="V242">
        <v>0</v>
      </c>
    </row>
    <row r="243" spans="1:22" x14ac:dyDescent="0.3">
      <c r="A243" s="2">
        <v>44120</v>
      </c>
      <c r="B243">
        <v>40000</v>
      </c>
      <c r="C243">
        <v>289</v>
      </c>
      <c r="D243">
        <v>10</v>
      </c>
      <c r="E243" s="1" t="s">
        <v>22</v>
      </c>
      <c r="F243">
        <v>4</v>
      </c>
      <c r="G243" s="1" t="s">
        <v>23</v>
      </c>
      <c r="H243">
        <v>38714.285714285717</v>
      </c>
      <c r="J243">
        <v>40000</v>
      </c>
      <c r="K243">
        <v>35500</v>
      </c>
      <c r="L243">
        <v>36000</v>
      </c>
      <c r="M243">
        <v>0</v>
      </c>
      <c r="N243">
        <v>116.473</v>
      </c>
      <c r="O243">
        <v>6.6755273000000004E-2</v>
      </c>
      <c r="P243">
        <v>14652.5</v>
      </c>
      <c r="Q243">
        <v>27.15</v>
      </c>
      <c r="R243">
        <v>10.11</v>
      </c>
      <c r="S243">
        <v>77.760000000000005</v>
      </c>
      <c r="T243">
        <v>16</v>
      </c>
      <c r="U243" s="1" t="s">
        <v>25</v>
      </c>
      <c r="V243">
        <v>0</v>
      </c>
    </row>
    <row r="244" spans="1:22" x14ac:dyDescent="0.3">
      <c r="A244" s="2">
        <v>44123</v>
      </c>
      <c r="B244">
        <v>40000</v>
      </c>
      <c r="C244">
        <v>292</v>
      </c>
      <c r="D244">
        <v>10</v>
      </c>
      <c r="E244" s="1" t="s">
        <v>22</v>
      </c>
      <c r="F244">
        <v>0</v>
      </c>
      <c r="G244" s="1" t="s">
        <v>23</v>
      </c>
      <c r="K244">
        <v>40000</v>
      </c>
      <c r="N244">
        <v>116.473</v>
      </c>
      <c r="O244">
        <v>6.6755273000000004E-2</v>
      </c>
      <c r="P244">
        <v>14693</v>
      </c>
      <c r="Q244">
        <v>27.46</v>
      </c>
      <c r="R244">
        <v>4.57</v>
      </c>
      <c r="S244">
        <v>80.290000000000006</v>
      </c>
      <c r="T244">
        <v>19</v>
      </c>
      <c r="U244" s="1" t="s">
        <v>25</v>
      </c>
      <c r="V244">
        <v>0</v>
      </c>
    </row>
    <row r="245" spans="1:22" x14ac:dyDescent="0.3">
      <c r="A245" s="2">
        <v>44124</v>
      </c>
      <c r="B245">
        <v>40000</v>
      </c>
      <c r="C245">
        <v>293</v>
      </c>
      <c r="D245">
        <v>10</v>
      </c>
      <c r="E245" s="1" t="s">
        <v>22</v>
      </c>
      <c r="F245">
        <v>1</v>
      </c>
      <c r="G245" s="1" t="s">
        <v>23</v>
      </c>
      <c r="J245">
        <v>40000</v>
      </c>
      <c r="K245">
        <v>40000</v>
      </c>
      <c r="M245">
        <v>0</v>
      </c>
      <c r="N245">
        <v>116.473</v>
      </c>
      <c r="O245">
        <v>6.6755273000000004E-2</v>
      </c>
      <c r="P245">
        <v>14708</v>
      </c>
      <c r="Q245">
        <v>27.49</v>
      </c>
      <c r="R245">
        <v>3.3</v>
      </c>
      <c r="S245">
        <v>80.64</v>
      </c>
      <c r="T245">
        <v>20</v>
      </c>
      <c r="U245" s="1" t="s">
        <v>25</v>
      </c>
      <c r="V245">
        <v>0</v>
      </c>
    </row>
    <row r="246" spans="1:22" x14ac:dyDescent="0.3">
      <c r="A246" s="2">
        <v>44125</v>
      </c>
      <c r="B246">
        <v>40000</v>
      </c>
      <c r="C246">
        <v>294</v>
      </c>
      <c r="D246">
        <v>10</v>
      </c>
      <c r="E246" s="1" t="s">
        <v>22</v>
      </c>
      <c r="F246">
        <v>2</v>
      </c>
      <c r="G246" s="1" t="s">
        <v>23</v>
      </c>
      <c r="J246">
        <v>40000</v>
      </c>
      <c r="K246">
        <v>40000</v>
      </c>
      <c r="L246">
        <v>33000</v>
      </c>
      <c r="M246">
        <v>0</v>
      </c>
      <c r="N246">
        <v>116.473</v>
      </c>
      <c r="O246">
        <v>6.6755273000000004E-2</v>
      </c>
      <c r="P246">
        <v>14688</v>
      </c>
      <c r="Q246">
        <v>27.49</v>
      </c>
      <c r="R246">
        <v>0.42</v>
      </c>
      <c r="S246">
        <v>78.13</v>
      </c>
      <c r="T246">
        <v>21</v>
      </c>
      <c r="U246" s="1" t="s">
        <v>25</v>
      </c>
      <c r="V246">
        <v>0</v>
      </c>
    </row>
    <row r="247" spans="1:22" x14ac:dyDescent="0.3">
      <c r="A247" s="2">
        <v>44126</v>
      </c>
      <c r="B247">
        <v>40000</v>
      </c>
      <c r="C247">
        <v>295</v>
      </c>
      <c r="D247">
        <v>10</v>
      </c>
      <c r="E247" s="1" t="s">
        <v>22</v>
      </c>
      <c r="F247">
        <v>3</v>
      </c>
      <c r="G247" s="1" t="s">
        <v>23</v>
      </c>
      <c r="J247">
        <v>40000</v>
      </c>
      <c r="K247">
        <v>40000</v>
      </c>
      <c r="L247">
        <v>33000</v>
      </c>
      <c r="M247">
        <v>0</v>
      </c>
      <c r="N247">
        <v>116.473</v>
      </c>
      <c r="O247">
        <v>6.6755273000000004E-2</v>
      </c>
      <c r="P247">
        <v>14639.775390000001</v>
      </c>
      <c r="Q247">
        <v>27.71</v>
      </c>
      <c r="R247">
        <v>0.08</v>
      </c>
      <c r="S247">
        <v>69.36</v>
      </c>
      <c r="T247">
        <v>22</v>
      </c>
      <c r="U247" s="1" t="s">
        <v>25</v>
      </c>
      <c r="V247">
        <v>0</v>
      </c>
    </row>
    <row r="248" spans="1:22" x14ac:dyDescent="0.3">
      <c r="A248" s="2">
        <v>44127</v>
      </c>
      <c r="B248">
        <v>40000</v>
      </c>
      <c r="C248">
        <v>296</v>
      </c>
      <c r="D248">
        <v>10</v>
      </c>
      <c r="E248" s="1" t="s">
        <v>22</v>
      </c>
      <c r="F248">
        <v>4</v>
      </c>
      <c r="G248" s="1" t="s">
        <v>23</v>
      </c>
      <c r="J248">
        <v>40000</v>
      </c>
      <c r="K248">
        <v>40000</v>
      </c>
      <c r="L248">
        <v>32500</v>
      </c>
      <c r="M248">
        <v>0</v>
      </c>
      <c r="N248">
        <v>116.473</v>
      </c>
      <c r="O248">
        <v>6.6755273000000004E-2</v>
      </c>
      <c r="P248">
        <v>14639.85254</v>
      </c>
      <c r="Q248">
        <v>27.4</v>
      </c>
      <c r="R248">
        <v>0.22</v>
      </c>
      <c r="S248">
        <v>75.62</v>
      </c>
      <c r="T248">
        <v>23</v>
      </c>
      <c r="U248" s="1" t="s">
        <v>25</v>
      </c>
      <c r="V248">
        <v>0</v>
      </c>
    </row>
    <row r="249" spans="1:22" x14ac:dyDescent="0.3">
      <c r="A249" s="2">
        <v>44130</v>
      </c>
      <c r="B249">
        <v>41500</v>
      </c>
      <c r="C249">
        <v>299</v>
      </c>
      <c r="D249">
        <v>10</v>
      </c>
      <c r="E249" s="1" t="s">
        <v>22</v>
      </c>
      <c r="F249">
        <v>0</v>
      </c>
      <c r="G249" s="1" t="s">
        <v>23</v>
      </c>
      <c r="K249">
        <v>40000</v>
      </c>
      <c r="L249">
        <v>32500</v>
      </c>
      <c r="N249">
        <v>116.473</v>
      </c>
      <c r="O249">
        <v>6.6755273000000004E-2</v>
      </c>
      <c r="P249">
        <v>14642.782230000001</v>
      </c>
      <c r="Q249">
        <v>27.7</v>
      </c>
      <c r="R249">
        <v>0.99</v>
      </c>
      <c r="S249">
        <v>78.16</v>
      </c>
      <c r="T249">
        <v>26</v>
      </c>
      <c r="U249" s="1" t="s">
        <v>31</v>
      </c>
      <c r="V249">
        <v>3.75</v>
      </c>
    </row>
    <row r="250" spans="1:22" x14ac:dyDescent="0.3">
      <c r="A250" s="2">
        <v>44131</v>
      </c>
      <c r="B250">
        <v>41000</v>
      </c>
      <c r="C250">
        <v>300</v>
      </c>
      <c r="D250">
        <v>10</v>
      </c>
      <c r="E250" s="1" t="s">
        <v>22</v>
      </c>
      <c r="F250">
        <v>1</v>
      </c>
      <c r="G250" s="1" t="s">
        <v>23</v>
      </c>
      <c r="J250">
        <v>41500</v>
      </c>
      <c r="K250">
        <v>40000</v>
      </c>
      <c r="L250">
        <v>32500</v>
      </c>
      <c r="M250">
        <v>-500</v>
      </c>
      <c r="N250">
        <v>116.473</v>
      </c>
      <c r="O250">
        <v>6.6755273000000004E-2</v>
      </c>
      <c r="P250">
        <v>14724.200199999999</v>
      </c>
      <c r="Q250">
        <v>27.48</v>
      </c>
      <c r="R250">
        <v>1.93</v>
      </c>
      <c r="S250">
        <v>81.040000000000006</v>
      </c>
      <c r="T250">
        <v>27</v>
      </c>
      <c r="U250" s="1" t="s">
        <v>24</v>
      </c>
      <c r="V250">
        <v>-1.2</v>
      </c>
    </row>
    <row r="251" spans="1:22" x14ac:dyDescent="0.3">
      <c r="A251" s="2">
        <v>44137</v>
      </c>
      <c r="B251">
        <v>39000</v>
      </c>
      <c r="C251">
        <v>306</v>
      </c>
      <c r="D251">
        <v>11</v>
      </c>
      <c r="E251" s="1" t="s">
        <v>22</v>
      </c>
      <c r="F251">
        <v>0</v>
      </c>
      <c r="G251" s="1" t="s">
        <v>23</v>
      </c>
      <c r="K251">
        <v>41500</v>
      </c>
      <c r="L251">
        <v>30500</v>
      </c>
      <c r="N251">
        <v>116.7949</v>
      </c>
      <c r="O251">
        <v>0.27637306499999997</v>
      </c>
      <c r="P251">
        <v>14586.16992</v>
      </c>
      <c r="Q251">
        <v>27.9</v>
      </c>
      <c r="R251">
        <v>1.19</v>
      </c>
      <c r="S251">
        <v>76.22</v>
      </c>
      <c r="T251">
        <v>2</v>
      </c>
      <c r="U251" s="1"/>
      <c r="V251">
        <v>0</v>
      </c>
    </row>
    <row r="252" spans="1:22" x14ac:dyDescent="0.3">
      <c r="A252" s="2">
        <v>44138</v>
      </c>
      <c r="B252">
        <v>39000</v>
      </c>
      <c r="C252">
        <v>307</v>
      </c>
      <c r="D252">
        <v>11</v>
      </c>
      <c r="E252" s="1" t="s">
        <v>22</v>
      </c>
      <c r="F252">
        <v>1</v>
      </c>
      <c r="G252" s="1" t="s">
        <v>23</v>
      </c>
      <c r="J252">
        <v>39000</v>
      </c>
      <c r="K252">
        <v>41000</v>
      </c>
      <c r="L252">
        <v>30500</v>
      </c>
      <c r="M252">
        <v>0</v>
      </c>
      <c r="N252">
        <v>116.7949</v>
      </c>
      <c r="O252">
        <v>0.27637306499999997</v>
      </c>
      <c r="P252">
        <v>14603.95801</v>
      </c>
      <c r="Q252">
        <v>26.41</v>
      </c>
      <c r="R252">
        <v>17.64</v>
      </c>
      <c r="S252">
        <v>84.63</v>
      </c>
      <c r="T252">
        <v>3</v>
      </c>
      <c r="U252" s="1" t="s">
        <v>25</v>
      </c>
      <c r="V252">
        <v>0</v>
      </c>
    </row>
    <row r="253" spans="1:22" x14ac:dyDescent="0.3">
      <c r="A253" s="2">
        <v>44139</v>
      </c>
      <c r="B253">
        <v>39500</v>
      </c>
      <c r="C253">
        <v>308</v>
      </c>
      <c r="D253">
        <v>11</v>
      </c>
      <c r="E253" s="1" t="s">
        <v>22</v>
      </c>
      <c r="F253">
        <v>2</v>
      </c>
      <c r="G253" s="1" t="s">
        <v>23</v>
      </c>
      <c r="J253">
        <v>39000</v>
      </c>
      <c r="L253">
        <v>32000</v>
      </c>
      <c r="M253">
        <v>500</v>
      </c>
      <c r="N253">
        <v>116.7949</v>
      </c>
      <c r="O253">
        <v>0.27637306499999997</v>
      </c>
      <c r="P253">
        <v>14540.89258</v>
      </c>
      <c r="Q253">
        <v>27.04</v>
      </c>
      <c r="R253">
        <v>6.63</v>
      </c>
      <c r="S253">
        <v>81.81</v>
      </c>
      <c r="T253">
        <v>4</v>
      </c>
      <c r="U253" s="1" t="s">
        <v>26</v>
      </c>
      <c r="V253">
        <v>1.28</v>
      </c>
    </row>
    <row r="254" spans="1:22" x14ac:dyDescent="0.3">
      <c r="A254" s="2">
        <v>44140</v>
      </c>
      <c r="B254">
        <v>39500</v>
      </c>
      <c r="C254">
        <v>309</v>
      </c>
      <c r="D254">
        <v>11</v>
      </c>
      <c r="E254" s="1" t="s">
        <v>22</v>
      </c>
      <c r="F254">
        <v>3</v>
      </c>
      <c r="G254" s="1" t="s">
        <v>23</v>
      </c>
      <c r="J254">
        <v>39500</v>
      </c>
      <c r="L254">
        <v>32500</v>
      </c>
      <c r="M254">
        <v>0</v>
      </c>
      <c r="N254">
        <v>116.7949</v>
      </c>
      <c r="O254">
        <v>0.27637306499999997</v>
      </c>
      <c r="P254">
        <v>14360</v>
      </c>
      <c r="Q254">
        <v>27.41</v>
      </c>
      <c r="R254">
        <v>3.72</v>
      </c>
      <c r="S254">
        <v>79.900000000000006</v>
      </c>
      <c r="T254">
        <v>5</v>
      </c>
      <c r="U254" s="1" t="s">
        <v>25</v>
      </c>
      <c r="V254">
        <v>0</v>
      </c>
    </row>
    <row r="255" spans="1:22" x14ac:dyDescent="0.3">
      <c r="A255" s="2">
        <v>44141</v>
      </c>
      <c r="B255">
        <v>41500</v>
      </c>
      <c r="C255">
        <v>310</v>
      </c>
      <c r="D255">
        <v>11</v>
      </c>
      <c r="E255" s="1" t="s">
        <v>22</v>
      </c>
      <c r="F255">
        <v>4</v>
      </c>
      <c r="G255" s="1" t="s">
        <v>23</v>
      </c>
      <c r="J255">
        <v>39500</v>
      </c>
      <c r="L255">
        <v>33500</v>
      </c>
      <c r="M255">
        <v>2000</v>
      </c>
      <c r="N255">
        <v>116.7949</v>
      </c>
      <c r="O255">
        <v>0.27637306499999997</v>
      </c>
      <c r="P255">
        <v>14256</v>
      </c>
      <c r="Q255">
        <v>27.29</v>
      </c>
      <c r="R255">
        <v>3.84</v>
      </c>
      <c r="S255">
        <v>80.209999999999994</v>
      </c>
      <c r="T255">
        <v>6</v>
      </c>
      <c r="U255" s="1" t="s">
        <v>47</v>
      </c>
      <c r="V255">
        <v>5.0599999999999996</v>
      </c>
    </row>
    <row r="256" spans="1:22" x14ac:dyDescent="0.3">
      <c r="A256" s="2">
        <v>44142</v>
      </c>
      <c r="B256">
        <v>41500</v>
      </c>
      <c r="C256">
        <v>311</v>
      </c>
      <c r="D256">
        <v>11</v>
      </c>
      <c r="E256" s="1" t="s">
        <v>22</v>
      </c>
      <c r="F256">
        <v>5</v>
      </c>
      <c r="G256" s="1" t="s">
        <v>23</v>
      </c>
      <c r="J256">
        <v>41500</v>
      </c>
      <c r="L256">
        <v>33500</v>
      </c>
      <c r="M256">
        <v>0</v>
      </c>
      <c r="N256">
        <v>116.7949</v>
      </c>
      <c r="O256">
        <v>0.27637306499999997</v>
      </c>
      <c r="P256">
        <v>14256</v>
      </c>
      <c r="Q256">
        <v>27.22</v>
      </c>
      <c r="R256">
        <v>5.61</v>
      </c>
      <c r="S256">
        <v>83.14</v>
      </c>
      <c r="T256">
        <v>7</v>
      </c>
      <c r="U256" s="1" t="s">
        <v>47</v>
      </c>
      <c r="V256">
        <v>5.0599999999999996</v>
      </c>
    </row>
    <row r="257" spans="1:22" x14ac:dyDescent="0.3">
      <c r="A257" s="2">
        <v>44143</v>
      </c>
      <c r="B257">
        <v>41500</v>
      </c>
      <c r="C257">
        <v>312</v>
      </c>
      <c r="D257">
        <v>11</v>
      </c>
      <c r="E257" s="1" t="s">
        <v>22</v>
      </c>
      <c r="F257">
        <v>6</v>
      </c>
      <c r="G257" s="1" t="s">
        <v>23</v>
      </c>
      <c r="H257">
        <v>40214.285714285717</v>
      </c>
      <c r="J257">
        <v>41500</v>
      </c>
      <c r="L257">
        <v>35500</v>
      </c>
      <c r="M257">
        <v>0</v>
      </c>
      <c r="N257">
        <v>116.7949</v>
      </c>
      <c r="O257">
        <v>0.27637306499999997</v>
      </c>
      <c r="P257">
        <v>14256</v>
      </c>
      <c r="Q257">
        <v>27.15</v>
      </c>
      <c r="R257">
        <v>22.98</v>
      </c>
      <c r="S257">
        <v>83.58</v>
      </c>
      <c r="T257">
        <v>8</v>
      </c>
      <c r="U257" s="1" t="s">
        <v>47</v>
      </c>
      <c r="V257">
        <v>5.0599999999999996</v>
      </c>
    </row>
    <row r="258" spans="1:22" x14ac:dyDescent="0.3">
      <c r="A258" s="2">
        <v>44144</v>
      </c>
      <c r="B258">
        <v>43000</v>
      </c>
      <c r="C258">
        <v>313</v>
      </c>
      <c r="D258">
        <v>11</v>
      </c>
      <c r="E258" s="1" t="s">
        <v>22</v>
      </c>
      <c r="F258">
        <v>0</v>
      </c>
      <c r="G258" s="1" t="s">
        <v>23</v>
      </c>
      <c r="H258">
        <v>40785.714285714283</v>
      </c>
      <c r="J258">
        <v>41500</v>
      </c>
      <c r="K258">
        <v>39000</v>
      </c>
      <c r="L258">
        <v>35500</v>
      </c>
      <c r="M258">
        <v>1500</v>
      </c>
      <c r="N258">
        <v>116.7949</v>
      </c>
      <c r="O258">
        <v>0.27637306499999997</v>
      </c>
      <c r="P258">
        <v>14198.67188</v>
      </c>
      <c r="Q258">
        <v>27.75</v>
      </c>
      <c r="R258">
        <v>0.78</v>
      </c>
      <c r="S258">
        <v>75.900000000000006</v>
      </c>
      <c r="T258">
        <v>9</v>
      </c>
      <c r="U258" s="1" t="s">
        <v>31</v>
      </c>
      <c r="V258">
        <v>3.61</v>
      </c>
    </row>
    <row r="259" spans="1:22" x14ac:dyDescent="0.3">
      <c r="A259" s="2">
        <v>44145</v>
      </c>
      <c r="B259">
        <v>44000</v>
      </c>
      <c r="C259">
        <v>314</v>
      </c>
      <c r="D259">
        <v>11</v>
      </c>
      <c r="E259" s="1" t="s">
        <v>22</v>
      </c>
      <c r="F259">
        <v>1</v>
      </c>
      <c r="G259" s="1" t="s">
        <v>23</v>
      </c>
      <c r="H259">
        <v>41500</v>
      </c>
      <c r="J259">
        <v>43000</v>
      </c>
      <c r="K259">
        <v>39000</v>
      </c>
      <c r="L259">
        <v>35500</v>
      </c>
      <c r="M259">
        <v>1000</v>
      </c>
      <c r="N259">
        <v>116.7949</v>
      </c>
      <c r="O259">
        <v>0.27637306499999997</v>
      </c>
      <c r="P259">
        <v>14256.360350000001</v>
      </c>
      <c r="Q259">
        <v>27.67</v>
      </c>
      <c r="R259">
        <v>0.12</v>
      </c>
      <c r="S259">
        <v>73.17</v>
      </c>
      <c r="T259">
        <v>10</v>
      </c>
      <c r="U259" s="1" t="s">
        <v>29</v>
      </c>
      <c r="V259">
        <v>2.33</v>
      </c>
    </row>
    <row r="260" spans="1:22" x14ac:dyDescent="0.3">
      <c r="A260" s="2">
        <v>44146</v>
      </c>
      <c r="B260">
        <v>45000</v>
      </c>
      <c r="C260">
        <v>315</v>
      </c>
      <c r="D260">
        <v>11</v>
      </c>
      <c r="E260" s="1" t="s">
        <v>22</v>
      </c>
      <c r="F260">
        <v>2</v>
      </c>
      <c r="G260" s="1" t="s">
        <v>23</v>
      </c>
      <c r="H260">
        <v>42285.714285714283</v>
      </c>
      <c r="J260">
        <v>44000</v>
      </c>
      <c r="K260">
        <v>39500</v>
      </c>
      <c r="L260">
        <v>40000</v>
      </c>
      <c r="M260">
        <v>1000</v>
      </c>
      <c r="N260">
        <v>116.7949</v>
      </c>
      <c r="O260">
        <v>0.27637306499999997</v>
      </c>
      <c r="P260">
        <v>14041.54492</v>
      </c>
      <c r="Q260">
        <v>27.49</v>
      </c>
      <c r="R260">
        <v>3.2</v>
      </c>
      <c r="S260">
        <v>78.77</v>
      </c>
      <c r="T260">
        <v>11</v>
      </c>
      <c r="U260" s="1" t="s">
        <v>29</v>
      </c>
      <c r="V260">
        <v>2.27</v>
      </c>
    </row>
    <row r="261" spans="1:22" x14ac:dyDescent="0.3">
      <c r="A261" s="2">
        <v>44147</v>
      </c>
      <c r="B261">
        <v>45000</v>
      </c>
      <c r="C261">
        <v>316</v>
      </c>
      <c r="D261">
        <v>11</v>
      </c>
      <c r="E261" s="1" t="s">
        <v>22</v>
      </c>
      <c r="F261">
        <v>3</v>
      </c>
      <c r="G261" s="1" t="s">
        <v>23</v>
      </c>
      <c r="H261">
        <v>43071.428571428572</v>
      </c>
      <c r="J261">
        <v>45000</v>
      </c>
      <c r="K261">
        <v>39500</v>
      </c>
      <c r="L261">
        <v>40000</v>
      </c>
      <c r="M261">
        <v>0</v>
      </c>
      <c r="N261">
        <v>116.7949</v>
      </c>
      <c r="O261">
        <v>0.27637306499999997</v>
      </c>
      <c r="P261">
        <v>13878.98926</v>
      </c>
      <c r="Q261">
        <v>27.51</v>
      </c>
      <c r="R261">
        <v>1.95</v>
      </c>
      <c r="S261">
        <v>80.22</v>
      </c>
      <c r="T261">
        <v>12</v>
      </c>
      <c r="U261" s="1" t="s">
        <v>25</v>
      </c>
      <c r="V261">
        <v>0</v>
      </c>
    </row>
    <row r="262" spans="1:22" x14ac:dyDescent="0.3">
      <c r="A262" s="2">
        <v>44148</v>
      </c>
      <c r="B262">
        <v>45000</v>
      </c>
      <c r="C262">
        <v>317</v>
      </c>
      <c r="D262">
        <v>11</v>
      </c>
      <c r="E262" s="1" t="s">
        <v>22</v>
      </c>
      <c r="F262">
        <v>4</v>
      </c>
      <c r="G262" s="1" t="s">
        <v>23</v>
      </c>
      <c r="H262">
        <v>43571.428571428572</v>
      </c>
      <c r="J262">
        <v>45000</v>
      </c>
      <c r="K262">
        <v>41500</v>
      </c>
      <c r="L262">
        <v>40000</v>
      </c>
      <c r="M262">
        <v>0</v>
      </c>
      <c r="N262">
        <v>116.7949</v>
      </c>
      <c r="O262">
        <v>0.27637306499999997</v>
      </c>
      <c r="P262">
        <v>14133.49121</v>
      </c>
      <c r="Q262">
        <v>27.53</v>
      </c>
      <c r="R262">
        <v>0.57999999999999996</v>
      </c>
      <c r="S262">
        <v>81.7</v>
      </c>
      <c r="T262">
        <v>13</v>
      </c>
      <c r="U262" s="1" t="s">
        <v>25</v>
      </c>
      <c r="V262">
        <v>0</v>
      </c>
    </row>
    <row r="263" spans="1:22" x14ac:dyDescent="0.3">
      <c r="A263" s="2">
        <v>44149</v>
      </c>
      <c r="B263">
        <v>45000</v>
      </c>
      <c r="C263">
        <v>318</v>
      </c>
      <c r="D263">
        <v>11</v>
      </c>
      <c r="E263" s="1" t="s">
        <v>22</v>
      </c>
      <c r="F263">
        <v>5</v>
      </c>
      <c r="G263" s="1" t="s">
        <v>23</v>
      </c>
      <c r="H263">
        <v>44071.428571428572</v>
      </c>
      <c r="J263">
        <v>45000</v>
      </c>
      <c r="K263">
        <v>41500</v>
      </c>
      <c r="L263">
        <v>40000</v>
      </c>
      <c r="M263">
        <v>0</v>
      </c>
      <c r="N263">
        <v>116.7949</v>
      </c>
      <c r="O263">
        <v>0.27637306499999997</v>
      </c>
      <c r="P263">
        <v>14133.49121</v>
      </c>
      <c r="Q263">
        <v>27.41</v>
      </c>
      <c r="R263">
        <v>4.6500000000000004</v>
      </c>
      <c r="S263">
        <v>82.6</v>
      </c>
      <c r="T263">
        <v>14</v>
      </c>
      <c r="U263" s="1" t="s">
        <v>25</v>
      </c>
      <c r="V263">
        <v>0</v>
      </c>
    </row>
    <row r="264" spans="1:22" x14ac:dyDescent="0.3">
      <c r="A264" s="2">
        <v>44151</v>
      </c>
      <c r="B264">
        <v>44000</v>
      </c>
      <c r="C264">
        <v>320</v>
      </c>
      <c r="D264">
        <v>11</v>
      </c>
      <c r="E264" s="1" t="s">
        <v>22</v>
      </c>
      <c r="F264">
        <v>0</v>
      </c>
      <c r="G264" s="1" t="s">
        <v>23</v>
      </c>
      <c r="K264">
        <v>43000</v>
      </c>
      <c r="N264">
        <v>116.7949</v>
      </c>
      <c r="O264">
        <v>0.27637306499999997</v>
      </c>
      <c r="P264">
        <v>14135.559569999999</v>
      </c>
      <c r="Q264">
        <v>27.1</v>
      </c>
      <c r="R264">
        <v>3.9</v>
      </c>
      <c r="S264">
        <v>82.45</v>
      </c>
      <c r="T264">
        <v>16</v>
      </c>
      <c r="U264" s="1" t="s">
        <v>30</v>
      </c>
      <c r="V264">
        <v>-2.2200000000000002</v>
      </c>
    </row>
    <row r="265" spans="1:22" x14ac:dyDescent="0.3">
      <c r="A265" s="2">
        <v>44152</v>
      </c>
      <c r="B265">
        <v>44000</v>
      </c>
      <c r="C265">
        <v>321</v>
      </c>
      <c r="D265">
        <v>11</v>
      </c>
      <c r="E265" s="1" t="s">
        <v>22</v>
      </c>
      <c r="F265">
        <v>1</v>
      </c>
      <c r="G265" s="1" t="s">
        <v>23</v>
      </c>
      <c r="J265">
        <v>44000</v>
      </c>
      <c r="K265">
        <v>44000</v>
      </c>
      <c r="M265">
        <v>0</v>
      </c>
      <c r="N265">
        <v>116.7949</v>
      </c>
      <c r="O265">
        <v>0.27637306499999997</v>
      </c>
      <c r="P265">
        <v>14089.200199999999</v>
      </c>
      <c r="Q265">
        <v>26.5</v>
      </c>
      <c r="R265">
        <v>3.07</v>
      </c>
      <c r="S265">
        <v>84.62</v>
      </c>
      <c r="T265">
        <v>17</v>
      </c>
      <c r="U265" s="1" t="s">
        <v>25</v>
      </c>
      <c r="V265">
        <v>0</v>
      </c>
    </row>
    <row r="266" spans="1:22" x14ac:dyDescent="0.3">
      <c r="A266" s="2">
        <v>44153</v>
      </c>
      <c r="B266">
        <v>41000</v>
      </c>
      <c r="C266">
        <v>322</v>
      </c>
      <c r="D266">
        <v>11</v>
      </c>
      <c r="E266" s="1" t="s">
        <v>22</v>
      </c>
      <c r="F266">
        <v>2</v>
      </c>
      <c r="G266" s="1" t="s">
        <v>23</v>
      </c>
      <c r="J266">
        <v>44000</v>
      </c>
      <c r="K266">
        <v>45000</v>
      </c>
      <c r="L266">
        <v>40000</v>
      </c>
      <c r="M266">
        <v>-3000</v>
      </c>
      <c r="N266">
        <v>116.7949</v>
      </c>
      <c r="O266">
        <v>0.27637306499999997</v>
      </c>
      <c r="P266">
        <v>14026.45117</v>
      </c>
      <c r="Q266">
        <v>26.96</v>
      </c>
      <c r="R266">
        <v>3.17</v>
      </c>
      <c r="S266">
        <v>84.23</v>
      </c>
      <c r="T266">
        <v>18</v>
      </c>
      <c r="U266" s="1" t="s">
        <v>50</v>
      </c>
      <c r="V266">
        <v>-6.82</v>
      </c>
    </row>
    <row r="267" spans="1:22" x14ac:dyDescent="0.3">
      <c r="A267" s="2">
        <v>44154</v>
      </c>
      <c r="B267">
        <v>41000</v>
      </c>
      <c r="C267">
        <v>323</v>
      </c>
      <c r="D267">
        <v>11</v>
      </c>
      <c r="E267" s="1" t="s">
        <v>22</v>
      </c>
      <c r="F267">
        <v>3</v>
      </c>
      <c r="G267" s="1" t="s">
        <v>23</v>
      </c>
      <c r="J267">
        <v>41000</v>
      </c>
      <c r="K267">
        <v>45000</v>
      </c>
      <c r="L267">
        <v>40000</v>
      </c>
      <c r="M267">
        <v>0</v>
      </c>
      <c r="N267">
        <v>116.7949</v>
      </c>
      <c r="O267">
        <v>0.27637306499999997</v>
      </c>
      <c r="P267">
        <v>14110.200199999999</v>
      </c>
      <c r="Q267">
        <v>27.53</v>
      </c>
      <c r="R267">
        <v>1.8</v>
      </c>
      <c r="S267">
        <v>73.150000000000006</v>
      </c>
      <c r="T267">
        <v>19</v>
      </c>
      <c r="U267" s="1" t="s">
        <v>25</v>
      </c>
      <c r="V267">
        <v>0</v>
      </c>
    </row>
    <row r="268" spans="1:22" x14ac:dyDescent="0.3">
      <c r="A268" s="2">
        <v>44155</v>
      </c>
      <c r="B268">
        <v>43000</v>
      </c>
      <c r="C268">
        <v>324</v>
      </c>
      <c r="D268">
        <v>11</v>
      </c>
      <c r="E268" s="1" t="s">
        <v>22</v>
      </c>
      <c r="F268">
        <v>4</v>
      </c>
      <c r="G268" s="1" t="s">
        <v>23</v>
      </c>
      <c r="J268">
        <v>41000</v>
      </c>
      <c r="K268">
        <v>45000</v>
      </c>
      <c r="L268">
        <v>40000</v>
      </c>
      <c r="M268">
        <v>2000</v>
      </c>
      <c r="N268">
        <v>116.7949</v>
      </c>
      <c r="O268">
        <v>0.27637306499999997</v>
      </c>
      <c r="P268">
        <v>14189.900390000001</v>
      </c>
      <c r="Q268">
        <v>27.63</v>
      </c>
      <c r="R268">
        <v>2.57</v>
      </c>
      <c r="S268">
        <v>74.39</v>
      </c>
      <c r="T268">
        <v>20</v>
      </c>
      <c r="U268" s="1" t="s">
        <v>47</v>
      </c>
      <c r="V268">
        <v>4.88</v>
      </c>
    </row>
    <row r="269" spans="1:22" x14ac:dyDescent="0.3">
      <c r="A269" s="2">
        <v>44156</v>
      </c>
      <c r="B269">
        <v>43000</v>
      </c>
      <c r="C269">
        <v>325</v>
      </c>
      <c r="D269">
        <v>11</v>
      </c>
      <c r="E269" s="1" t="s">
        <v>22</v>
      </c>
      <c r="F269">
        <v>5</v>
      </c>
      <c r="G269" s="1" t="s">
        <v>23</v>
      </c>
      <c r="J269">
        <v>43000</v>
      </c>
      <c r="K269">
        <v>45000</v>
      </c>
      <c r="L269">
        <v>40000</v>
      </c>
      <c r="M269">
        <v>0</v>
      </c>
      <c r="N269">
        <v>116.7949</v>
      </c>
      <c r="O269">
        <v>0.27637306499999997</v>
      </c>
      <c r="P269">
        <v>14189.900390000001</v>
      </c>
      <c r="Q269">
        <v>27</v>
      </c>
      <c r="R269">
        <v>7.75</v>
      </c>
      <c r="S269">
        <v>82.05</v>
      </c>
      <c r="T269">
        <v>21</v>
      </c>
      <c r="U269" s="1" t="s">
        <v>47</v>
      </c>
      <c r="V269">
        <v>4.88</v>
      </c>
    </row>
    <row r="270" spans="1:22" x14ac:dyDescent="0.3">
      <c r="A270" s="2">
        <v>44157</v>
      </c>
      <c r="B270">
        <v>43000</v>
      </c>
      <c r="C270">
        <v>326</v>
      </c>
      <c r="D270">
        <v>11</v>
      </c>
      <c r="E270" s="1" t="s">
        <v>22</v>
      </c>
      <c r="F270">
        <v>6</v>
      </c>
      <c r="G270" s="1" t="s">
        <v>23</v>
      </c>
      <c r="H270">
        <v>42714.285714285717</v>
      </c>
      <c r="J270">
        <v>43000</v>
      </c>
      <c r="L270">
        <v>40000</v>
      </c>
      <c r="M270">
        <v>0</v>
      </c>
      <c r="N270">
        <v>116.7949</v>
      </c>
      <c r="O270">
        <v>0.27637306499999997</v>
      </c>
      <c r="P270">
        <v>14189.900390000001</v>
      </c>
      <c r="Q270">
        <v>27.16</v>
      </c>
      <c r="R270">
        <v>1.78</v>
      </c>
      <c r="S270">
        <v>80.12</v>
      </c>
      <c r="T270">
        <v>22</v>
      </c>
      <c r="U270" s="1" t="s">
        <v>47</v>
      </c>
      <c r="V270">
        <v>4.88</v>
      </c>
    </row>
    <row r="271" spans="1:22" x14ac:dyDescent="0.3">
      <c r="A271" s="2">
        <v>44158</v>
      </c>
      <c r="B271">
        <v>43500</v>
      </c>
      <c r="C271">
        <v>327</v>
      </c>
      <c r="D271">
        <v>11</v>
      </c>
      <c r="E271" s="1" t="s">
        <v>22</v>
      </c>
      <c r="F271">
        <v>0</v>
      </c>
      <c r="G271" s="1" t="s">
        <v>23</v>
      </c>
      <c r="H271">
        <v>42642.857142857145</v>
      </c>
      <c r="J271">
        <v>43000</v>
      </c>
      <c r="K271">
        <v>44000</v>
      </c>
      <c r="M271">
        <v>500</v>
      </c>
      <c r="N271">
        <v>116.7949</v>
      </c>
      <c r="O271">
        <v>0.27637306499999997</v>
      </c>
      <c r="P271">
        <v>14150.99121</v>
      </c>
      <c r="Q271">
        <v>27.25</v>
      </c>
      <c r="R271">
        <v>6.14</v>
      </c>
      <c r="S271">
        <v>82.37</v>
      </c>
      <c r="T271">
        <v>23</v>
      </c>
      <c r="U271" s="1" t="s">
        <v>26</v>
      </c>
      <c r="V271">
        <v>1.1599999999999999</v>
      </c>
    </row>
    <row r="272" spans="1:22" x14ac:dyDescent="0.3">
      <c r="A272" s="2">
        <v>44159</v>
      </c>
      <c r="B272">
        <v>43500</v>
      </c>
      <c r="C272">
        <v>328</v>
      </c>
      <c r="D272">
        <v>11</v>
      </c>
      <c r="E272" s="1" t="s">
        <v>22</v>
      </c>
      <c r="F272">
        <v>1</v>
      </c>
      <c r="G272" s="1" t="s">
        <v>23</v>
      </c>
      <c r="H272">
        <v>42571.428571428572</v>
      </c>
      <c r="J272">
        <v>43500</v>
      </c>
      <c r="K272">
        <v>44000</v>
      </c>
      <c r="M272">
        <v>0</v>
      </c>
      <c r="N272">
        <v>116.7949</v>
      </c>
      <c r="O272">
        <v>0.27637306499999997</v>
      </c>
      <c r="P272">
        <v>14164.60547</v>
      </c>
      <c r="Q272">
        <v>27.4</v>
      </c>
      <c r="R272">
        <v>17.52</v>
      </c>
      <c r="S272">
        <v>82.13</v>
      </c>
      <c r="T272">
        <v>24</v>
      </c>
      <c r="U272" s="1" t="s">
        <v>25</v>
      </c>
      <c r="V272">
        <v>0</v>
      </c>
    </row>
    <row r="273" spans="1:22" x14ac:dyDescent="0.3">
      <c r="A273" s="2">
        <v>44160</v>
      </c>
      <c r="B273">
        <v>43500</v>
      </c>
      <c r="C273">
        <v>329</v>
      </c>
      <c r="D273">
        <v>11</v>
      </c>
      <c r="E273" s="1" t="s">
        <v>22</v>
      </c>
      <c r="F273">
        <v>2</v>
      </c>
      <c r="G273" s="1" t="s">
        <v>23</v>
      </c>
      <c r="H273">
        <v>42928.571428571428</v>
      </c>
      <c r="J273">
        <v>43500</v>
      </c>
      <c r="K273">
        <v>41000</v>
      </c>
      <c r="L273">
        <v>41500</v>
      </c>
      <c r="M273">
        <v>0</v>
      </c>
      <c r="N273">
        <v>116.7949</v>
      </c>
      <c r="O273">
        <v>0.27637306499999997</v>
      </c>
      <c r="P273">
        <v>14121.799800000001</v>
      </c>
      <c r="Q273">
        <v>27.2</v>
      </c>
      <c r="R273">
        <v>2.14</v>
      </c>
      <c r="S273">
        <v>83.47</v>
      </c>
      <c r="T273">
        <v>25</v>
      </c>
      <c r="U273" s="1" t="s">
        <v>25</v>
      </c>
      <c r="V273">
        <v>0</v>
      </c>
    </row>
    <row r="274" spans="1:22" x14ac:dyDescent="0.3">
      <c r="A274" s="2">
        <v>44161</v>
      </c>
      <c r="B274">
        <v>43500</v>
      </c>
      <c r="C274">
        <v>330</v>
      </c>
      <c r="D274">
        <v>11</v>
      </c>
      <c r="E274" s="1" t="s">
        <v>22</v>
      </c>
      <c r="F274">
        <v>3</v>
      </c>
      <c r="G274" s="1" t="s">
        <v>23</v>
      </c>
      <c r="H274">
        <v>43285.714285714283</v>
      </c>
      <c r="J274">
        <v>43500</v>
      </c>
      <c r="K274">
        <v>41000</v>
      </c>
      <c r="L274">
        <v>41000</v>
      </c>
      <c r="M274">
        <v>0</v>
      </c>
      <c r="N274">
        <v>116.7949</v>
      </c>
      <c r="O274">
        <v>0.27637306499999997</v>
      </c>
      <c r="P274">
        <v>14127.4707</v>
      </c>
      <c r="Q274">
        <v>26.85</v>
      </c>
      <c r="R274">
        <v>2.23</v>
      </c>
      <c r="S274">
        <v>84.42</v>
      </c>
      <c r="T274">
        <v>26</v>
      </c>
      <c r="U274" s="1" t="s">
        <v>25</v>
      </c>
      <c r="V274">
        <v>0</v>
      </c>
    </row>
    <row r="275" spans="1:22" x14ac:dyDescent="0.3">
      <c r="A275" s="2">
        <v>44162</v>
      </c>
      <c r="B275">
        <v>41750</v>
      </c>
      <c r="C275">
        <v>331</v>
      </c>
      <c r="D275">
        <v>11</v>
      </c>
      <c r="E275" s="1" t="s">
        <v>22</v>
      </c>
      <c r="F275">
        <v>4</v>
      </c>
      <c r="G275" s="1" t="s">
        <v>23</v>
      </c>
      <c r="H275">
        <v>43107.142857142855</v>
      </c>
      <c r="J275">
        <v>43500</v>
      </c>
      <c r="K275">
        <v>43000</v>
      </c>
      <c r="M275">
        <v>-1750</v>
      </c>
      <c r="N275">
        <v>116.7949</v>
      </c>
      <c r="O275">
        <v>0.27637306499999997</v>
      </c>
      <c r="P275">
        <v>13897.668949999999</v>
      </c>
      <c r="Q275">
        <v>26.67</v>
      </c>
      <c r="R275">
        <v>5.9</v>
      </c>
      <c r="S275">
        <v>85.94</v>
      </c>
      <c r="T275">
        <v>27</v>
      </c>
      <c r="U275" s="1" t="s">
        <v>54</v>
      </c>
      <c r="V275">
        <v>-4.0199999999999996</v>
      </c>
    </row>
    <row r="276" spans="1:22" x14ac:dyDescent="0.3">
      <c r="A276" s="2">
        <v>44163</v>
      </c>
      <c r="B276">
        <v>41750</v>
      </c>
      <c r="C276">
        <v>332</v>
      </c>
      <c r="D276">
        <v>11</v>
      </c>
      <c r="E276" s="1" t="s">
        <v>22</v>
      </c>
      <c r="F276">
        <v>5</v>
      </c>
      <c r="G276" s="1" t="s">
        <v>23</v>
      </c>
      <c r="H276">
        <v>42928.571428571428</v>
      </c>
      <c r="J276">
        <v>41750</v>
      </c>
      <c r="K276">
        <v>43000</v>
      </c>
      <c r="M276">
        <v>0</v>
      </c>
      <c r="N276">
        <v>116.7949</v>
      </c>
      <c r="O276">
        <v>0.27637306499999997</v>
      </c>
      <c r="P276">
        <v>13897.668949999999</v>
      </c>
      <c r="Q276">
        <v>26.75</v>
      </c>
      <c r="R276">
        <v>5.46</v>
      </c>
      <c r="S276">
        <v>82.37</v>
      </c>
      <c r="T276">
        <v>28</v>
      </c>
      <c r="U276" s="1" t="s">
        <v>54</v>
      </c>
      <c r="V276">
        <v>-4.0199999999999996</v>
      </c>
    </row>
    <row r="277" spans="1:22" x14ac:dyDescent="0.3">
      <c r="A277" s="2">
        <v>44164</v>
      </c>
      <c r="B277">
        <v>41750</v>
      </c>
      <c r="C277">
        <v>333</v>
      </c>
      <c r="D277">
        <v>11</v>
      </c>
      <c r="E277" s="1" t="s">
        <v>22</v>
      </c>
      <c r="F277">
        <v>6</v>
      </c>
      <c r="G277" s="1" t="s">
        <v>23</v>
      </c>
      <c r="H277">
        <v>42750</v>
      </c>
      <c r="J277">
        <v>41750</v>
      </c>
      <c r="K277">
        <v>43000</v>
      </c>
      <c r="M277">
        <v>0</v>
      </c>
      <c r="N277">
        <v>116.7949</v>
      </c>
      <c r="O277">
        <v>0.27637306499999997</v>
      </c>
      <c r="P277">
        <v>13897.668949999999</v>
      </c>
      <c r="Q277">
        <v>26.48</v>
      </c>
      <c r="R277">
        <v>20.45</v>
      </c>
      <c r="S277">
        <v>84.48</v>
      </c>
      <c r="T277">
        <v>29</v>
      </c>
      <c r="U277" s="1" t="s">
        <v>54</v>
      </c>
      <c r="V277">
        <v>-4.0199999999999996</v>
      </c>
    </row>
    <row r="278" spans="1:22" x14ac:dyDescent="0.3">
      <c r="A278" s="2">
        <v>44165</v>
      </c>
      <c r="B278">
        <v>42000</v>
      </c>
      <c r="C278">
        <v>334</v>
      </c>
      <c r="D278">
        <v>11</v>
      </c>
      <c r="E278" s="1" t="s">
        <v>22</v>
      </c>
      <c r="F278">
        <v>0</v>
      </c>
      <c r="G278" s="1" t="s">
        <v>23</v>
      </c>
      <c r="H278">
        <v>42535.714285714283</v>
      </c>
      <c r="J278">
        <v>41750</v>
      </c>
      <c r="K278">
        <v>43500</v>
      </c>
      <c r="M278">
        <v>250</v>
      </c>
      <c r="N278">
        <v>116.7949</v>
      </c>
      <c r="O278">
        <v>0.27637306499999997</v>
      </c>
      <c r="P278">
        <v>14061.64453</v>
      </c>
      <c r="Q278">
        <v>26.74</v>
      </c>
      <c r="R278">
        <v>21.61</v>
      </c>
      <c r="S278">
        <v>84.92</v>
      </c>
      <c r="T278">
        <v>30</v>
      </c>
      <c r="U278" s="1" t="s">
        <v>34</v>
      </c>
      <c r="V278">
        <v>0.6</v>
      </c>
    </row>
    <row r="279" spans="1:22" x14ac:dyDescent="0.3">
      <c r="A279" s="2">
        <v>44166</v>
      </c>
      <c r="B279">
        <v>42000</v>
      </c>
      <c r="C279">
        <v>335</v>
      </c>
      <c r="D279">
        <v>12</v>
      </c>
      <c r="E279" s="1" t="s">
        <v>22</v>
      </c>
      <c r="F279">
        <v>1</v>
      </c>
      <c r="G279" s="1" t="s">
        <v>23</v>
      </c>
      <c r="H279">
        <v>42321.428571428572</v>
      </c>
      <c r="J279">
        <v>42000</v>
      </c>
      <c r="K279">
        <v>43500</v>
      </c>
      <c r="M279">
        <v>0</v>
      </c>
      <c r="N279">
        <v>117.3167</v>
      </c>
      <c r="O279">
        <v>0.44676608299999998</v>
      </c>
      <c r="P279">
        <v>14094.93555</v>
      </c>
      <c r="Q279">
        <v>27.01</v>
      </c>
      <c r="R279">
        <v>12.28</v>
      </c>
      <c r="S279">
        <v>82.6</v>
      </c>
      <c r="T279">
        <v>1</v>
      </c>
      <c r="U279" s="1" t="s">
        <v>25</v>
      </c>
      <c r="V279">
        <v>0</v>
      </c>
    </row>
    <row r="280" spans="1:22" x14ac:dyDescent="0.3">
      <c r="A280" s="2">
        <v>44167</v>
      </c>
      <c r="B280">
        <v>42000</v>
      </c>
      <c r="C280">
        <v>336</v>
      </c>
      <c r="D280">
        <v>12</v>
      </c>
      <c r="E280" s="1" t="s">
        <v>22</v>
      </c>
      <c r="F280">
        <v>2</v>
      </c>
      <c r="G280" s="1" t="s">
        <v>23</v>
      </c>
      <c r="H280">
        <v>42107.142857142855</v>
      </c>
      <c r="J280">
        <v>42000</v>
      </c>
      <c r="K280">
        <v>43500</v>
      </c>
      <c r="L280">
        <v>39000</v>
      </c>
      <c r="M280">
        <v>0</v>
      </c>
      <c r="N280">
        <v>117.3167</v>
      </c>
      <c r="O280">
        <v>0.44676608299999998</v>
      </c>
      <c r="P280">
        <v>14175</v>
      </c>
      <c r="Q280">
        <v>27.35</v>
      </c>
      <c r="R280">
        <v>6.01</v>
      </c>
      <c r="S280">
        <v>80.92</v>
      </c>
      <c r="T280">
        <v>2</v>
      </c>
      <c r="U280" s="1" t="s">
        <v>25</v>
      </c>
      <c r="V280">
        <v>0</v>
      </c>
    </row>
    <row r="281" spans="1:22" x14ac:dyDescent="0.3">
      <c r="A281" s="2">
        <v>44168</v>
      </c>
      <c r="B281">
        <v>42000</v>
      </c>
      <c r="C281">
        <v>337</v>
      </c>
      <c r="D281">
        <v>12</v>
      </c>
      <c r="E281" s="1" t="s">
        <v>22</v>
      </c>
      <c r="F281">
        <v>3</v>
      </c>
      <c r="G281" s="1" t="s">
        <v>23</v>
      </c>
      <c r="H281">
        <v>41892.857142857145</v>
      </c>
      <c r="J281">
        <v>42000</v>
      </c>
      <c r="K281">
        <v>43500</v>
      </c>
      <c r="L281">
        <v>39000</v>
      </c>
      <c r="M281">
        <v>0</v>
      </c>
      <c r="N281">
        <v>117.3167</v>
      </c>
      <c r="O281">
        <v>0.44676608299999998</v>
      </c>
      <c r="P281">
        <v>14076.41992</v>
      </c>
      <c r="Q281">
        <v>27.16</v>
      </c>
      <c r="R281">
        <v>5.53</v>
      </c>
      <c r="S281">
        <v>83.11</v>
      </c>
      <c r="T281">
        <v>3</v>
      </c>
      <c r="U281" s="1" t="s">
        <v>25</v>
      </c>
      <c r="V281">
        <v>0</v>
      </c>
    </row>
    <row r="282" spans="1:22" x14ac:dyDescent="0.3">
      <c r="A282" s="2">
        <v>44169</v>
      </c>
      <c r="B282">
        <v>42000</v>
      </c>
      <c r="C282">
        <v>338</v>
      </c>
      <c r="D282">
        <v>12</v>
      </c>
      <c r="E282" s="1" t="s">
        <v>22</v>
      </c>
      <c r="F282">
        <v>4</v>
      </c>
      <c r="G282" s="1" t="s">
        <v>23</v>
      </c>
      <c r="H282">
        <v>41928.571428571428</v>
      </c>
      <c r="J282">
        <v>42000</v>
      </c>
      <c r="K282">
        <v>41750</v>
      </c>
      <c r="L282">
        <v>39500</v>
      </c>
      <c r="M282">
        <v>0</v>
      </c>
      <c r="N282">
        <v>117.3167</v>
      </c>
      <c r="O282">
        <v>0.44676608299999998</v>
      </c>
      <c r="P282">
        <v>14092.79883</v>
      </c>
      <c r="Q282">
        <v>27.88</v>
      </c>
      <c r="R282">
        <v>1.94</v>
      </c>
      <c r="S282">
        <v>77.91</v>
      </c>
      <c r="T282">
        <v>4</v>
      </c>
      <c r="U282" s="1" t="s">
        <v>25</v>
      </c>
      <c r="V282">
        <v>0</v>
      </c>
    </row>
    <row r="283" spans="1:22" x14ac:dyDescent="0.3">
      <c r="A283" s="2">
        <v>44170</v>
      </c>
      <c r="B283">
        <v>42000</v>
      </c>
      <c r="C283">
        <v>339</v>
      </c>
      <c r="D283">
        <v>12</v>
      </c>
      <c r="E283" s="1" t="s">
        <v>22</v>
      </c>
      <c r="F283">
        <v>5</v>
      </c>
      <c r="G283" s="1" t="s">
        <v>23</v>
      </c>
      <c r="H283">
        <v>41964.285714285717</v>
      </c>
      <c r="J283">
        <v>42000</v>
      </c>
      <c r="K283">
        <v>41750</v>
      </c>
      <c r="L283">
        <v>39500</v>
      </c>
      <c r="M283">
        <v>0</v>
      </c>
      <c r="N283">
        <v>117.3167</v>
      </c>
      <c r="O283">
        <v>0.44676608299999998</v>
      </c>
      <c r="P283">
        <v>14092.79883</v>
      </c>
      <c r="Q283">
        <v>27.3</v>
      </c>
      <c r="R283">
        <v>2.41</v>
      </c>
      <c r="S283">
        <v>82.68</v>
      </c>
      <c r="T283">
        <v>5</v>
      </c>
      <c r="U283" s="1" t="s">
        <v>25</v>
      </c>
      <c r="V283">
        <v>0</v>
      </c>
    </row>
    <row r="284" spans="1:22" x14ac:dyDescent="0.3">
      <c r="A284" s="2">
        <v>44171</v>
      </c>
      <c r="B284">
        <v>42000</v>
      </c>
      <c r="C284">
        <v>340</v>
      </c>
      <c r="D284">
        <v>12</v>
      </c>
      <c r="E284" s="1" t="s">
        <v>22</v>
      </c>
      <c r="F284">
        <v>6</v>
      </c>
      <c r="G284" s="1" t="s">
        <v>23</v>
      </c>
      <c r="H284">
        <v>42000</v>
      </c>
      <c r="J284">
        <v>42000</v>
      </c>
      <c r="K284">
        <v>41750</v>
      </c>
      <c r="L284">
        <v>41500</v>
      </c>
      <c r="M284">
        <v>0</v>
      </c>
      <c r="N284">
        <v>117.3167</v>
      </c>
      <c r="O284">
        <v>0.44676608299999998</v>
      </c>
      <c r="P284">
        <v>14092.79883</v>
      </c>
      <c r="Q284">
        <v>27.2</v>
      </c>
      <c r="R284">
        <v>1.58</v>
      </c>
      <c r="S284">
        <v>83.66</v>
      </c>
      <c r="T284">
        <v>6</v>
      </c>
      <c r="U284" s="1" t="s">
        <v>25</v>
      </c>
      <c r="V284">
        <v>0</v>
      </c>
    </row>
    <row r="285" spans="1:22" x14ac:dyDescent="0.3">
      <c r="A285" s="2">
        <v>44172</v>
      </c>
      <c r="B285">
        <v>42500</v>
      </c>
      <c r="C285">
        <v>341</v>
      </c>
      <c r="D285">
        <v>12</v>
      </c>
      <c r="E285" s="1" t="s">
        <v>22</v>
      </c>
      <c r="F285">
        <v>0</v>
      </c>
      <c r="G285" s="1" t="s">
        <v>23</v>
      </c>
      <c r="H285">
        <v>42071.428571428572</v>
      </c>
      <c r="J285">
        <v>42000</v>
      </c>
      <c r="K285">
        <v>42000</v>
      </c>
      <c r="L285">
        <v>41500</v>
      </c>
      <c r="M285">
        <v>500</v>
      </c>
      <c r="N285">
        <v>117.3167</v>
      </c>
      <c r="O285">
        <v>0.44676608299999998</v>
      </c>
      <c r="P285">
        <v>14076.490229999999</v>
      </c>
      <c r="Q285">
        <v>27.59</v>
      </c>
      <c r="R285">
        <v>4.3099999999999996</v>
      </c>
      <c r="S285">
        <v>79.010000000000005</v>
      </c>
      <c r="T285">
        <v>7</v>
      </c>
      <c r="U285" s="1" t="s">
        <v>26</v>
      </c>
      <c r="V285">
        <v>1.19</v>
      </c>
    </row>
    <row r="286" spans="1:22" x14ac:dyDescent="0.3">
      <c r="A286" s="2">
        <v>44173</v>
      </c>
      <c r="B286">
        <v>42500</v>
      </c>
      <c r="C286">
        <v>342</v>
      </c>
      <c r="D286">
        <v>12</v>
      </c>
      <c r="E286" s="1" t="s">
        <v>22</v>
      </c>
      <c r="F286">
        <v>1</v>
      </c>
      <c r="G286" s="1" t="s">
        <v>23</v>
      </c>
      <c r="H286">
        <v>42142.857142857145</v>
      </c>
      <c r="J286">
        <v>42500</v>
      </c>
      <c r="K286">
        <v>42000</v>
      </c>
      <c r="L286">
        <v>41500</v>
      </c>
      <c r="M286">
        <v>0</v>
      </c>
      <c r="N286">
        <v>117.3167</v>
      </c>
      <c r="O286">
        <v>0.44676608299999998</v>
      </c>
      <c r="P286">
        <v>14143</v>
      </c>
      <c r="Q286">
        <v>26.89</v>
      </c>
      <c r="R286">
        <v>6.39</v>
      </c>
      <c r="S286">
        <v>84.6</v>
      </c>
      <c r="T286">
        <v>8</v>
      </c>
      <c r="U286" s="1" t="s">
        <v>25</v>
      </c>
      <c r="V286">
        <v>0</v>
      </c>
    </row>
    <row r="287" spans="1:22" x14ac:dyDescent="0.3">
      <c r="A287" s="2">
        <v>44175</v>
      </c>
      <c r="B287">
        <v>42500</v>
      </c>
      <c r="C287">
        <v>344</v>
      </c>
      <c r="D287">
        <v>12</v>
      </c>
      <c r="E287" s="1" t="s">
        <v>22</v>
      </c>
      <c r="F287">
        <v>3</v>
      </c>
      <c r="G287" s="1" t="s">
        <v>23</v>
      </c>
      <c r="K287">
        <v>42000</v>
      </c>
      <c r="L287">
        <v>44000</v>
      </c>
      <c r="N287">
        <v>117.3167</v>
      </c>
      <c r="O287">
        <v>0.44676608299999998</v>
      </c>
      <c r="P287">
        <v>14150</v>
      </c>
      <c r="Q287">
        <v>26.93</v>
      </c>
      <c r="R287">
        <v>5.09</v>
      </c>
      <c r="S287">
        <v>81.64</v>
      </c>
      <c r="T287">
        <v>10</v>
      </c>
      <c r="U287" s="1"/>
      <c r="V287">
        <v>0</v>
      </c>
    </row>
    <row r="288" spans="1:22" x14ac:dyDescent="0.3">
      <c r="A288" s="2">
        <v>44176</v>
      </c>
      <c r="B288">
        <v>42500</v>
      </c>
      <c r="C288">
        <v>345</v>
      </c>
      <c r="D288">
        <v>12</v>
      </c>
      <c r="E288" s="1" t="s">
        <v>22</v>
      </c>
      <c r="F288">
        <v>4</v>
      </c>
      <c r="G288" s="1" t="s">
        <v>23</v>
      </c>
      <c r="J288">
        <v>42500</v>
      </c>
      <c r="K288">
        <v>42000</v>
      </c>
      <c r="L288">
        <v>45000</v>
      </c>
      <c r="M288">
        <v>0</v>
      </c>
      <c r="N288">
        <v>117.3167</v>
      </c>
      <c r="O288">
        <v>0.44676608299999998</v>
      </c>
      <c r="P288">
        <v>14082.592769999999</v>
      </c>
      <c r="Q288">
        <v>27.68</v>
      </c>
      <c r="R288">
        <v>0.26</v>
      </c>
      <c r="S288">
        <v>77.569999999999993</v>
      </c>
      <c r="T288">
        <v>11</v>
      </c>
      <c r="U288" s="1" t="s">
        <v>25</v>
      </c>
      <c r="V288">
        <v>0</v>
      </c>
    </row>
    <row r="289" spans="1:22" x14ac:dyDescent="0.3">
      <c r="A289" s="2">
        <v>44177</v>
      </c>
      <c r="B289">
        <v>42500</v>
      </c>
      <c r="C289">
        <v>346</v>
      </c>
      <c r="D289">
        <v>12</v>
      </c>
      <c r="E289" s="1" t="s">
        <v>22</v>
      </c>
      <c r="F289">
        <v>5</v>
      </c>
      <c r="G289" s="1" t="s">
        <v>23</v>
      </c>
      <c r="J289">
        <v>42500</v>
      </c>
      <c r="K289">
        <v>42000</v>
      </c>
      <c r="L289">
        <v>45000</v>
      </c>
      <c r="M289">
        <v>0</v>
      </c>
      <c r="N289">
        <v>117.3167</v>
      </c>
      <c r="O289">
        <v>0.44676608299999998</v>
      </c>
      <c r="P289">
        <v>14082.592769999999</v>
      </c>
      <c r="Q289">
        <v>27.05</v>
      </c>
      <c r="R289">
        <v>4.1500000000000004</v>
      </c>
      <c r="S289">
        <v>83.29</v>
      </c>
      <c r="T289">
        <v>12</v>
      </c>
      <c r="U289" s="1" t="s">
        <v>25</v>
      </c>
      <c r="V289">
        <v>0</v>
      </c>
    </row>
    <row r="290" spans="1:22" x14ac:dyDescent="0.3">
      <c r="A290" s="2">
        <v>44178</v>
      </c>
      <c r="B290">
        <v>42500</v>
      </c>
      <c r="C290">
        <v>347</v>
      </c>
      <c r="D290">
        <v>12</v>
      </c>
      <c r="E290" s="1" t="s">
        <v>22</v>
      </c>
      <c r="F290">
        <v>6</v>
      </c>
      <c r="G290" s="1" t="s">
        <v>23</v>
      </c>
      <c r="J290">
        <v>42500</v>
      </c>
      <c r="K290">
        <v>42000</v>
      </c>
      <c r="L290">
        <v>45000</v>
      </c>
      <c r="M290">
        <v>0</v>
      </c>
      <c r="N290">
        <v>117.3167</v>
      </c>
      <c r="O290">
        <v>0.44676608299999998</v>
      </c>
      <c r="P290">
        <v>14082.592769999999</v>
      </c>
      <c r="Q290">
        <v>27.07</v>
      </c>
      <c r="R290">
        <v>3.22</v>
      </c>
      <c r="S290">
        <v>80.66</v>
      </c>
      <c r="T290">
        <v>13</v>
      </c>
      <c r="U290" s="1" t="s">
        <v>25</v>
      </c>
      <c r="V290">
        <v>0</v>
      </c>
    </row>
    <row r="291" spans="1:22" x14ac:dyDescent="0.3">
      <c r="A291" s="2">
        <v>44179</v>
      </c>
      <c r="B291">
        <v>40500</v>
      </c>
      <c r="C291">
        <v>348</v>
      </c>
      <c r="D291">
        <v>12</v>
      </c>
      <c r="E291" s="1" t="s">
        <v>22</v>
      </c>
      <c r="F291">
        <v>0</v>
      </c>
      <c r="G291" s="1" t="s">
        <v>23</v>
      </c>
      <c r="J291">
        <v>42500</v>
      </c>
      <c r="K291">
        <v>42500</v>
      </c>
      <c r="L291">
        <v>45000</v>
      </c>
      <c r="M291">
        <v>-2000</v>
      </c>
      <c r="N291">
        <v>117.3167</v>
      </c>
      <c r="O291">
        <v>0.44676608299999998</v>
      </c>
      <c r="P291">
        <v>14069.157230000001</v>
      </c>
      <c r="Q291">
        <v>26.09</v>
      </c>
      <c r="R291">
        <v>18.79</v>
      </c>
      <c r="S291">
        <v>87.48</v>
      </c>
      <c r="T291">
        <v>14</v>
      </c>
      <c r="U291" s="1" t="s">
        <v>45</v>
      </c>
      <c r="V291">
        <v>-4.71</v>
      </c>
    </row>
    <row r="292" spans="1:22" x14ac:dyDescent="0.3">
      <c r="A292" s="2">
        <v>44180</v>
      </c>
      <c r="B292">
        <v>40500</v>
      </c>
      <c r="C292">
        <v>349</v>
      </c>
      <c r="D292">
        <v>12</v>
      </c>
      <c r="E292" s="1" t="s">
        <v>22</v>
      </c>
      <c r="F292">
        <v>1</v>
      </c>
      <c r="G292" s="1" t="s">
        <v>23</v>
      </c>
      <c r="J292">
        <v>40500</v>
      </c>
      <c r="K292">
        <v>42500</v>
      </c>
      <c r="M292">
        <v>0</v>
      </c>
      <c r="N292">
        <v>117.3167</v>
      </c>
      <c r="O292">
        <v>0.44676608299999998</v>
      </c>
      <c r="P292">
        <v>14221.900390000001</v>
      </c>
      <c r="Q292">
        <v>26.44</v>
      </c>
      <c r="R292">
        <v>6.61</v>
      </c>
      <c r="S292">
        <v>80.3</v>
      </c>
      <c r="T292">
        <v>15</v>
      </c>
      <c r="U292" s="1" t="s">
        <v>25</v>
      </c>
      <c r="V292">
        <v>0</v>
      </c>
    </row>
    <row r="293" spans="1:22" x14ac:dyDescent="0.3">
      <c r="A293" s="2">
        <v>44181</v>
      </c>
      <c r="B293">
        <v>39500</v>
      </c>
      <c r="C293">
        <v>350</v>
      </c>
      <c r="D293">
        <v>12</v>
      </c>
      <c r="E293" s="1" t="s">
        <v>22</v>
      </c>
      <c r="F293">
        <v>2</v>
      </c>
      <c r="G293" s="1" t="s">
        <v>23</v>
      </c>
      <c r="H293">
        <v>41500</v>
      </c>
      <c r="J293">
        <v>40500</v>
      </c>
      <c r="L293">
        <v>44000</v>
      </c>
      <c r="M293">
        <v>-1000</v>
      </c>
      <c r="N293">
        <v>117.3167</v>
      </c>
      <c r="O293">
        <v>0.44676608299999998</v>
      </c>
      <c r="P293">
        <v>14190</v>
      </c>
      <c r="Q293">
        <v>26.44</v>
      </c>
      <c r="R293">
        <v>6.33</v>
      </c>
      <c r="S293">
        <v>84.26</v>
      </c>
      <c r="T293">
        <v>16</v>
      </c>
      <c r="U293" s="1" t="s">
        <v>30</v>
      </c>
      <c r="V293">
        <v>-2.4700000000000002</v>
      </c>
    </row>
    <row r="294" spans="1:22" x14ac:dyDescent="0.3">
      <c r="A294" s="2">
        <v>44182</v>
      </c>
      <c r="B294">
        <v>42000</v>
      </c>
      <c r="C294">
        <v>351</v>
      </c>
      <c r="D294">
        <v>12</v>
      </c>
      <c r="E294" s="1" t="s">
        <v>22</v>
      </c>
      <c r="F294">
        <v>3</v>
      </c>
      <c r="G294" s="1" t="s">
        <v>23</v>
      </c>
      <c r="H294">
        <v>41428.571428571428</v>
      </c>
      <c r="J294">
        <v>39500</v>
      </c>
      <c r="K294">
        <v>42500</v>
      </c>
      <c r="L294">
        <v>44000</v>
      </c>
      <c r="M294">
        <v>2500</v>
      </c>
      <c r="N294">
        <v>117.3167</v>
      </c>
      <c r="O294">
        <v>0.44676608299999998</v>
      </c>
      <c r="P294">
        <v>14070.537109999999</v>
      </c>
      <c r="Q294">
        <v>26.79</v>
      </c>
      <c r="R294">
        <v>5.51</v>
      </c>
      <c r="S294">
        <v>83.71</v>
      </c>
      <c r="T294">
        <v>17</v>
      </c>
      <c r="U294" s="1" t="s">
        <v>56</v>
      </c>
      <c r="V294">
        <v>6.33</v>
      </c>
    </row>
    <row r="295" spans="1:22" x14ac:dyDescent="0.3">
      <c r="A295" s="2">
        <v>44183</v>
      </c>
      <c r="B295">
        <v>42000</v>
      </c>
      <c r="C295">
        <v>352</v>
      </c>
      <c r="D295">
        <v>12</v>
      </c>
      <c r="E295" s="1" t="s">
        <v>22</v>
      </c>
      <c r="F295">
        <v>4</v>
      </c>
      <c r="G295" s="1" t="s">
        <v>23</v>
      </c>
      <c r="H295">
        <v>41357.142857142855</v>
      </c>
      <c r="J295">
        <v>42000</v>
      </c>
      <c r="K295">
        <v>42500</v>
      </c>
      <c r="L295">
        <v>41000</v>
      </c>
      <c r="M295">
        <v>0</v>
      </c>
      <c r="N295">
        <v>117.3167</v>
      </c>
      <c r="O295">
        <v>0.44676608299999998</v>
      </c>
      <c r="P295">
        <v>14083.85059</v>
      </c>
      <c r="Q295">
        <v>27.24</v>
      </c>
      <c r="R295">
        <v>4.57</v>
      </c>
      <c r="S295">
        <v>83.63</v>
      </c>
      <c r="T295">
        <v>18</v>
      </c>
      <c r="U295" s="1" t="s">
        <v>25</v>
      </c>
      <c r="V295">
        <v>0</v>
      </c>
    </row>
    <row r="296" spans="1:22" x14ac:dyDescent="0.3">
      <c r="A296" s="2">
        <v>44186</v>
      </c>
      <c r="B296">
        <v>40000</v>
      </c>
      <c r="C296">
        <v>355</v>
      </c>
      <c r="D296">
        <v>12</v>
      </c>
      <c r="E296" s="1" t="s">
        <v>22</v>
      </c>
      <c r="F296">
        <v>0</v>
      </c>
      <c r="G296" s="1" t="s">
        <v>23</v>
      </c>
      <c r="K296">
        <v>40500</v>
      </c>
      <c r="L296">
        <v>43000</v>
      </c>
      <c r="N296">
        <v>117.3167</v>
      </c>
      <c r="O296">
        <v>0.44676608299999998</v>
      </c>
      <c r="P296">
        <v>14068.9375</v>
      </c>
      <c r="Q296">
        <v>26.24</v>
      </c>
      <c r="R296">
        <v>12.12</v>
      </c>
      <c r="S296">
        <v>84.77</v>
      </c>
      <c r="T296">
        <v>21</v>
      </c>
      <c r="U296" s="1"/>
      <c r="V296">
        <v>0</v>
      </c>
    </row>
    <row r="297" spans="1:22" x14ac:dyDescent="0.3">
      <c r="A297" s="2">
        <v>44187</v>
      </c>
      <c r="B297">
        <v>40000</v>
      </c>
      <c r="C297">
        <v>356</v>
      </c>
      <c r="D297">
        <v>12</v>
      </c>
      <c r="E297" s="1" t="s">
        <v>22</v>
      </c>
      <c r="F297">
        <v>1</v>
      </c>
      <c r="G297" s="1" t="s">
        <v>23</v>
      </c>
      <c r="J297">
        <v>40000</v>
      </c>
      <c r="K297">
        <v>40500</v>
      </c>
      <c r="L297">
        <v>43000</v>
      </c>
      <c r="M297">
        <v>0</v>
      </c>
      <c r="N297">
        <v>117.3167</v>
      </c>
      <c r="O297">
        <v>0.44676608299999998</v>
      </c>
      <c r="P297">
        <v>14100.731449999999</v>
      </c>
      <c r="Q297">
        <v>26.74</v>
      </c>
      <c r="R297">
        <v>5.61</v>
      </c>
      <c r="S297">
        <v>84.96</v>
      </c>
      <c r="T297">
        <v>22</v>
      </c>
      <c r="U297" s="1" t="s">
        <v>25</v>
      </c>
      <c r="V297">
        <v>0</v>
      </c>
    </row>
    <row r="298" spans="1:22" x14ac:dyDescent="0.3">
      <c r="A298" s="2">
        <v>44188</v>
      </c>
      <c r="B298">
        <v>40000</v>
      </c>
      <c r="C298">
        <v>357</v>
      </c>
      <c r="D298">
        <v>12</v>
      </c>
      <c r="E298" s="1" t="s">
        <v>22</v>
      </c>
      <c r="F298">
        <v>2</v>
      </c>
      <c r="G298" s="1" t="s">
        <v>23</v>
      </c>
      <c r="J298">
        <v>40000</v>
      </c>
      <c r="K298">
        <v>39500</v>
      </c>
      <c r="L298">
        <v>43500</v>
      </c>
      <c r="M298">
        <v>0</v>
      </c>
      <c r="N298">
        <v>117.3167</v>
      </c>
      <c r="O298">
        <v>0.44676608299999998</v>
      </c>
      <c r="P298">
        <v>14324.200199999999</v>
      </c>
      <c r="Q298">
        <v>26.75</v>
      </c>
      <c r="R298">
        <v>9.81</v>
      </c>
      <c r="S298">
        <v>86.23</v>
      </c>
      <c r="T298">
        <v>23</v>
      </c>
      <c r="U298" s="1" t="s">
        <v>25</v>
      </c>
      <c r="V298">
        <v>0</v>
      </c>
    </row>
    <row r="299" spans="1:22" x14ac:dyDescent="0.3">
      <c r="A299" s="2">
        <v>44193</v>
      </c>
      <c r="B299">
        <v>37000</v>
      </c>
      <c r="C299">
        <v>362</v>
      </c>
      <c r="D299">
        <v>12</v>
      </c>
      <c r="E299" s="1" t="s">
        <v>22</v>
      </c>
      <c r="F299">
        <v>0</v>
      </c>
      <c r="G299" s="1" t="s">
        <v>23</v>
      </c>
      <c r="K299">
        <v>40000</v>
      </c>
      <c r="L299">
        <v>41750</v>
      </c>
      <c r="N299">
        <v>117.3167</v>
      </c>
      <c r="O299">
        <v>0.44676608299999998</v>
      </c>
      <c r="P299">
        <v>13911.143550000001</v>
      </c>
      <c r="Q299">
        <v>26.11</v>
      </c>
      <c r="R299">
        <v>11.45</v>
      </c>
      <c r="S299">
        <v>86.09</v>
      </c>
      <c r="T299">
        <v>28</v>
      </c>
      <c r="U299" s="1"/>
      <c r="V299">
        <v>0</v>
      </c>
    </row>
    <row r="300" spans="1:22" x14ac:dyDescent="0.3">
      <c r="A300" s="2">
        <v>44194</v>
      </c>
      <c r="B300">
        <v>37000</v>
      </c>
      <c r="C300">
        <v>363</v>
      </c>
      <c r="D300">
        <v>12</v>
      </c>
      <c r="E300" s="1" t="s">
        <v>22</v>
      </c>
      <c r="F300">
        <v>1</v>
      </c>
      <c r="G300" s="1" t="s">
        <v>23</v>
      </c>
      <c r="J300">
        <v>37000</v>
      </c>
      <c r="K300">
        <v>40000</v>
      </c>
      <c r="L300">
        <v>41750</v>
      </c>
      <c r="M300">
        <v>0</v>
      </c>
      <c r="N300">
        <v>117.3167</v>
      </c>
      <c r="O300">
        <v>0.44676608299999998</v>
      </c>
      <c r="P300">
        <v>14126.12012</v>
      </c>
      <c r="Q300">
        <v>26.41</v>
      </c>
      <c r="R300">
        <v>4.34</v>
      </c>
      <c r="S300">
        <v>83.47</v>
      </c>
      <c r="T300">
        <v>29</v>
      </c>
      <c r="U300" s="1" t="s">
        <v>25</v>
      </c>
      <c r="V300">
        <v>0</v>
      </c>
    </row>
    <row r="301" spans="1:22" x14ac:dyDescent="0.3">
      <c r="A301" s="2">
        <v>44195</v>
      </c>
      <c r="B301">
        <v>36000</v>
      </c>
      <c r="C301">
        <v>364</v>
      </c>
      <c r="D301">
        <v>12</v>
      </c>
      <c r="E301" s="1" t="s">
        <v>22</v>
      </c>
      <c r="F301">
        <v>2</v>
      </c>
      <c r="G301" s="1" t="s">
        <v>23</v>
      </c>
      <c r="J301">
        <v>37000</v>
      </c>
      <c r="K301">
        <v>40000</v>
      </c>
      <c r="L301">
        <v>42000</v>
      </c>
      <c r="M301">
        <v>-1000</v>
      </c>
      <c r="N301">
        <v>117.3167</v>
      </c>
      <c r="O301">
        <v>0.44676608299999998</v>
      </c>
      <c r="P301">
        <v>14069.909180000001</v>
      </c>
      <c r="Q301">
        <v>26.2</v>
      </c>
      <c r="R301">
        <v>4.57</v>
      </c>
      <c r="S301">
        <v>86.35</v>
      </c>
      <c r="T301">
        <v>30</v>
      </c>
      <c r="U301" s="1" t="s">
        <v>30</v>
      </c>
      <c r="V301">
        <v>-2.7</v>
      </c>
    </row>
    <row r="302" spans="1:22" x14ac:dyDescent="0.3">
      <c r="A302" s="2">
        <v>44200</v>
      </c>
      <c r="B302">
        <v>36000</v>
      </c>
      <c r="C302">
        <v>369</v>
      </c>
      <c r="D302">
        <v>1</v>
      </c>
      <c r="E302" s="1" t="s">
        <v>22</v>
      </c>
      <c r="F302">
        <v>0</v>
      </c>
      <c r="G302" s="1" t="s">
        <v>23</v>
      </c>
      <c r="K302">
        <v>37000</v>
      </c>
      <c r="L302">
        <v>42000</v>
      </c>
      <c r="N302">
        <v>117.6164</v>
      </c>
      <c r="O302">
        <v>0.25546235099999998</v>
      </c>
      <c r="P302">
        <v>14022.500980000001</v>
      </c>
      <c r="Q302">
        <v>26</v>
      </c>
      <c r="R302">
        <v>8.6999999999999993</v>
      </c>
      <c r="S302">
        <v>86.37</v>
      </c>
      <c r="T302">
        <v>4</v>
      </c>
      <c r="U302" s="1"/>
      <c r="V302">
        <v>0</v>
      </c>
    </row>
    <row r="303" spans="1:22" x14ac:dyDescent="0.3">
      <c r="A303" s="2">
        <v>44201</v>
      </c>
      <c r="B303">
        <v>34000</v>
      </c>
      <c r="C303">
        <v>370</v>
      </c>
      <c r="D303">
        <v>1</v>
      </c>
      <c r="E303" s="1" t="s">
        <v>22</v>
      </c>
      <c r="F303">
        <v>1</v>
      </c>
      <c r="G303" s="1" t="s">
        <v>23</v>
      </c>
      <c r="J303">
        <v>36000</v>
      </c>
      <c r="K303">
        <v>37000</v>
      </c>
      <c r="L303">
        <v>42000</v>
      </c>
      <c r="M303">
        <v>-2000</v>
      </c>
      <c r="N303">
        <v>117.6164</v>
      </c>
      <c r="O303">
        <v>0.25546235099999998</v>
      </c>
      <c r="P303">
        <v>13931.400390000001</v>
      </c>
      <c r="Q303">
        <v>26.45</v>
      </c>
      <c r="R303">
        <v>8.1</v>
      </c>
      <c r="S303">
        <v>86.87</v>
      </c>
      <c r="T303">
        <v>5</v>
      </c>
      <c r="U303" s="1" t="s">
        <v>45</v>
      </c>
      <c r="V303">
        <v>-5.56</v>
      </c>
    </row>
    <row r="304" spans="1:22" x14ac:dyDescent="0.3">
      <c r="A304" s="2">
        <v>44202</v>
      </c>
      <c r="B304">
        <v>34000</v>
      </c>
      <c r="C304">
        <v>371</v>
      </c>
      <c r="D304">
        <v>1</v>
      </c>
      <c r="E304" s="1" t="s">
        <v>22</v>
      </c>
      <c r="F304">
        <v>2</v>
      </c>
      <c r="G304" s="1" t="s">
        <v>23</v>
      </c>
      <c r="J304">
        <v>34000</v>
      </c>
      <c r="K304">
        <v>36000</v>
      </c>
      <c r="L304">
        <v>42500</v>
      </c>
      <c r="M304">
        <v>0</v>
      </c>
      <c r="N304">
        <v>117.6164</v>
      </c>
      <c r="O304">
        <v>0.25546235099999998</v>
      </c>
      <c r="P304">
        <v>13930</v>
      </c>
      <c r="Q304">
        <v>26.08</v>
      </c>
      <c r="R304">
        <v>29.1</v>
      </c>
      <c r="S304">
        <v>87.36</v>
      </c>
      <c r="T304">
        <v>6</v>
      </c>
      <c r="U304" s="1" t="s">
        <v>25</v>
      </c>
      <c r="V304">
        <v>0</v>
      </c>
    </row>
    <row r="305" spans="1:22" x14ac:dyDescent="0.3">
      <c r="A305" s="2">
        <v>44203</v>
      </c>
      <c r="B305">
        <v>34000</v>
      </c>
      <c r="C305">
        <v>372</v>
      </c>
      <c r="D305">
        <v>1</v>
      </c>
      <c r="E305" s="1" t="s">
        <v>22</v>
      </c>
      <c r="F305">
        <v>3</v>
      </c>
      <c r="G305" s="1" t="s">
        <v>23</v>
      </c>
      <c r="J305">
        <v>34000</v>
      </c>
      <c r="L305">
        <v>42500</v>
      </c>
      <c r="M305">
        <v>0</v>
      </c>
      <c r="N305">
        <v>117.6164</v>
      </c>
      <c r="O305">
        <v>0.25546235099999998</v>
      </c>
      <c r="P305">
        <v>13951.5</v>
      </c>
      <c r="Q305">
        <v>25.73</v>
      </c>
      <c r="R305">
        <v>14</v>
      </c>
      <c r="S305">
        <v>87.15</v>
      </c>
      <c r="T305">
        <v>7</v>
      </c>
      <c r="U305" s="1" t="s">
        <v>25</v>
      </c>
      <c r="V305">
        <v>0</v>
      </c>
    </row>
    <row r="306" spans="1:22" x14ac:dyDescent="0.3">
      <c r="A306" s="2">
        <v>44204</v>
      </c>
      <c r="B306">
        <v>34250</v>
      </c>
      <c r="C306">
        <v>373</v>
      </c>
      <c r="D306">
        <v>1</v>
      </c>
      <c r="E306" s="1" t="s">
        <v>22</v>
      </c>
      <c r="F306">
        <v>4</v>
      </c>
      <c r="G306" s="1" t="s">
        <v>23</v>
      </c>
      <c r="J306">
        <v>34000</v>
      </c>
      <c r="M306">
        <v>250</v>
      </c>
      <c r="N306">
        <v>117.6164</v>
      </c>
      <c r="O306">
        <v>0.25546235099999998</v>
      </c>
      <c r="P306">
        <v>13892.97754</v>
      </c>
      <c r="Q306">
        <v>26.26</v>
      </c>
      <c r="R306">
        <v>3.26</v>
      </c>
      <c r="S306">
        <v>84.45</v>
      </c>
      <c r="T306">
        <v>8</v>
      </c>
      <c r="U306" s="1" t="s">
        <v>34</v>
      </c>
      <c r="V306">
        <v>0.74</v>
      </c>
    </row>
    <row r="307" spans="1:22" x14ac:dyDescent="0.3">
      <c r="A307" s="2">
        <v>44205</v>
      </c>
      <c r="B307">
        <v>34250</v>
      </c>
      <c r="C307">
        <v>374</v>
      </c>
      <c r="D307">
        <v>1</v>
      </c>
      <c r="E307" s="1" t="s">
        <v>22</v>
      </c>
      <c r="F307">
        <v>5</v>
      </c>
      <c r="G307" s="1" t="s">
        <v>23</v>
      </c>
      <c r="J307">
        <v>34250</v>
      </c>
      <c r="L307">
        <v>42500</v>
      </c>
      <c r="M307">
        <v>0</v>
      </c>
      <c r="N307">
        <v>117.6164</v>
      </c>
      <c r="O307">
        <v>0.25546235099999998</v>
      </c>
      <c r="P307">
        <v>13892.97754</v>
      </c>
      <c r="Q307">
        <v>26.59</v>
      </c>
      <c r="R307">
        <v>0.7</v>
      </c>
      <c r="S307">
        <v>84.13</v>
      </c>
      <c r="T307">
        <v>9</v>
      </c>
      <c r="U307" s="1" t="s">
        <v>34</v>
      </c>
      <c r="V307">
        <v>0.74</v>
      </c>
    </row>
    <row r="308" spans="1:22" x14ac:dyDescent="0.3">
      <c r="A308" s="2">
        <v>44206</v>
      </c>
      <c r="B308">
        <v>34250</v>
      </c>
      <c r="C308">
        <v>375</v>
      </c>
      <c r="D308">
        <v>1</v>
      </c>
      <c r="E308" s="1" t="s">
        <v>22</v>
      </c>
      <c r="F308">
        <v>6</v>
      </c>
      <c r="G308" s="1" t="s">
        <v>23</v>
      </c>
      <c r="H308">
        <v>34392.857142857145</v>
      </c>
      <c r="J308">
        <v>34250</v>
      </c>
      <c r="L308">
        <v>42500</v>
      </c>
      <c r="M308">
        <v>0</v>
      </c>
      <c r="N308">
        <v>117.6164</v>
      </c>
      <c r="O308">
        <v>0.25546235099999998</v>
      </c>
      <c r="P308">
        <v>13892.97754</v>
      </c>
      <c r="Q308">
        <v>27.1</v>
      </c>
      <c r="R308">
        <v>0.35</v>
      </c>
      <c r="S308">
        <v>82.78</v>
      </c>
      <c r="T308">
        <v>10</v>
      </c>
      <c r="U308" s="1" t="s">
        <v>34</v>
      </c>
      <c r="V308">
        <v>0.74</v>
      </c>
    </row>
    <row r="309" spans="1:22" x14ac:dyDescent="0.3">
      <c r="A309" s="2">
        <v>44207</v>
      </c>
      <c r="B309">
        <v>34000</v>
      </c>
      <c r="C309">
        <v>376</v>
      </c>
      <c r="D309">
        <v>1</v>
      </c>
      <c r="E309" s="1" t="s">
        <v>22</v>
      </c>
      <c r="F309">
        <v>0</v>
      </c>
      <c r="G309" s="1" t="s">
        <v>23</v>
      </c>
      <c r="H309">
        <v>34107.142857142855</v>
      </c>
      <c r="J309">
        <v>34250</v>
      </c>
      <c r="K309">
        <v>36000</v>
      </c>
      <c r="L309">
        <v>42500</v>
      </c>
      <c r="M309">
        <v>-250</v>
      </c>
      <c r="N309">
        <v>117.6164</v>
      </c>
      <c r="O309">
        <v>0.25546235099999998</v>
      </c>
      <c r="P309">
        <v>13861.39258</v>
      </c>
      <c r="Q309">
        <v>27.24</v>
      </c>
      <c r="R309">
        <v>2.02</v>
      </c>
      <c r="S309">
        <v>81.58</v>
      </c>
      <c r="T309">
        <v>11</v>
      </c>
      <c r="U309" s="1" t="s">
        <v>35</v>
      </c>
      <c r="V309">
        <v>-0.73</v>
      </c>
    </row>
    <row r="310" spans="1:22" x14ac:dyDescent="0.3">
      <c r="A310" s="2">
        <v>44208</v>
      </c>
      <c r="B310">
        <v>34000</v>
      </c>
      <c r="C310">
        <v>377</v>
      </c>
      <c r="D310">
        <v>1</v>
      </c>
      <c r="E310" s="1" t="s">
        <v>22</v>
      </c>
      <c r="F310">
        <v>1</v>
      </c>
      <c r="G310" s="1" t="s">
        <v>23</v>
      </c>
      <c r="H310">
        <v>34107.142857142855</v>
      </c>
      <c r="J310">
        <v>34000</v>
      </c>
      <c r="K310">
        <v>34000</v>
      </c>
      <c r="L310">
        <v>42500</v>
      </c>
      <c r="M310">
        <v>0</v>
      </c>
      <c r="N310">
        <v>117.6164</v>
      </c>
      <c r="O310">
        <v>0.25546235099999998</v>
      </c>
      <c r="P310">
        <v>14088.735350000001</v>
      </c>
      <c r="Q310">
        <v>26.47</v>
      </c>
      <c r="R310">
        <v>5.65</v>
      </c>
      <c r="S310">
        <v>84.68</v>
      </c>
      <c r="T310">
        <v>12</v>
      </c>
      <c r="U310" s="1" t="s">
        <v>25</v>
      </c>
      <c r="V310">
        <v>0</v>
      </c>
    </row>
    <row r="311" spans="1:22" x14ac:dyDescent="0.3">
      <c r="A311" s="2">
        <v>44209</v>
      </c>
      <c r="B311">
        <v>34000</v>
      </c>
      <c r="C311">
        <v>378</v>
      </c>
      <c r="D311">
        <v>1</v>
      </c>
      <c r="E311" s="1" t="s">
        <v>22</v>
      </c>
      <c r="F311">
        <v>2</v>
      </c>
      <c r="G311" s="1" t="s">
        <v>23</v>
      </c>
      <c r="H311">
        <v>34107.142857142855</v>
      </c>
      <c r="J311">
        <v>34000</v>
      </c>
      <c r="K311">
        <v>34000</v>
      </c>
      <c r="L311">
        <v>40500</v>
      </c>
      <c r="M311">
        <v>0</v>
      </c>
      <c r="N311">
        <v>117.6164</v>
      </c>
      <c r="O311">
        <v>0.25546235099999998</v>
      </c>
      <c r="P311">
        <v>14031.07813</v>
      </c>
      <c r="Q311">
        <v>26.64</v>
      </c>
      <c r="R311">
        <v>5.09</v>
      </c>
      <c r="S311">
        <v>84.83</v>
      </c>
      <c r="T311">
        <v>13</v>
      </c>
      <c r="U311" s="1" t="s">
        <v>25</v>
      </c>
      <c r="V311">
        <v>0</v>
      </c>
    </row>
    <row r="312" spans="1:22" x14ac:dyDescent="0.3">
      <c r="A312" s="2">
        <v>44210</v>
      </c>
      <c r="B312">
        <v>34000</v>
      </c>
      <c r="C312">
        <v>379</v>
      </c>
      <c r="D312">
        <v>1</v>
      </c>
      <c r="E312" s="1" t="s">
        <v>22</v>
      </c>
      <c r="F312">
        <v>3</v>
      </c>
      <c r="G312" s="1" t="s">
        <v>23</v>
      </c>
      <c r="H312">
        <v>34107.142857142855</v>
      </c>
      <c r="J312">
        <v>34000</v>
      </c>
      <c r="K312">
        <v>34000</v>
      </c>
      <c r="L312">
        <v>40500</v>
      </c>
      <c r="M312">
        <v>0</v>
      </c>
      <c r="N312">
        <v>117.6164</v>
      </c>
      <c r="O312">
        <v>0.25546235099999998</v>
      </c>
      <c r="P312">
        <v>14166</v>
      </c>
      <c r="Q312">
        <v>27.01</v>
      </c>
      <c r="R312">
        <v>4.01</v>
      </c>
      <c r="S312">
        <v>81.99</v>
      </c>
      <c r="T312">
        <v>14</v>
      </c>
      <c r="U312" s="1" t="s">
        <v>25</v>
      </c>
      <c r="V312">
        <v>0</v>
      </c>
    </row>
    <row r="313" spans="1:22" x14ac:dyDescent="0.3">
      <c r="A313" s="2">
        <v>44211</v>
      </c>
      <c r="B313">
        <v>34000</v>
      </c>
      <c r="C313">
        <v>380</v>
      </c>
      <c r="D313">
        <v>1</v>
      </c>
      <c r="E313" s="1" t="s">
        <v>22</v>
      </c>
      <c r="F313">
        <v>4</v>
      </c>
      <c r="G313" s="1" t="s">
        <v>23</v>
      </c>
      <c r="H313">
        <v>34071.428571428572</v>
      </c>
      <c r="J313">
        <v>34000</v>
      </c>
      <c r="K313">
        <v>34250</v>
      </c>
      <c r="L313">
        <v>39500</v>
      </c>
      <c r="M313">
        <v>0</v>
      </c>
      <c r="N313">
        <v>117.6164</v>
      </c>
      <c r="O313">
        <v>0.25546235099999998</v>
      </c>
      <c r="P313">
        <v>14063.14746</v>
      </c>
      <c r="Q313">
        <v>26.66</v>
      </c>
      <c r="R313">
        <v>19.25</v>
      </c>
      <c r="S313">
        <v>88.33</v>
      </c>
      <c r="T313">
        <v>15</v>
      </c>
      <c r="U313" s="1" t="s">
        <v>25</v>
      </c>
      <c r="V313">
        <v>0</v>
      </c>
    </row>
    <row r="314" spans="1:22" x14ac:dyDescent="0.3">
      <c r="A314" s="2">
        <v>44214</v>
      </c>
      <c r="B314">
        <v>33000</v>
      </c>
      <c r="C314">
        <v>383</v>
      </c>
      <c r="D314">
        <v>1</v>
      </c>
      <c r="E314" s="1" t="s">
        <v>22</v>
      </c>
      <c r="F314">
        <v>0</v>
      </c>
      <c r="G314" s="1" t="s">
        <v>23</v>
      </c>
      <c r="K314">
        <v>34000</v>
      </c>
      <c r="N314">
        <v>117.6164</v>
      </c>
      <c r="O314">
        <v>0.25546235099999998</v>
      </c>
      <c r="P314">
        <v>13880.7793</v>
      </c>
      <c r="Q314">
        <v>26.23</v>
      </c>
      <c r="R314">
        <v>7.08</v>
      </c>
      <c r="S314">
        <v>85.46</v>
      </c>
      <c r="T314">
        <v>18</v>
      </c>
      <c r="U314" s="1" t="s">
        <v>30</v>
      </c>
      <c r="V314">
        <v>-2.94</v>
      </c>
    </row>
    <row r="315" spans="1:22" x14ac:dyDescent="0.3">
      <c r="A315" s="2">
        <v>44215</v>
      </c>
      <c r="B315">
        <v>33000</v>
      </c>
      <c r="C315">
        <v>384</v>
      </c>
      <c r="D315">
        <v>1</v>
      </c>
      <c r="E315" s="1" t="s">
        <v>22</v>
      </c>
      <c r="F315">
        <v>1</v>
      </c>
      <c r="G315" s="1" t="s">
        <v>23</v>
      </c>
      <c r="J315">
        <v>33000</v>
      </c>
      <c r="K315">
        <v>34000</v>
      </c>
      <c r="M315">
        <v>0</v>
      </c>
      <c r="N315">
        <v>117.6164</v>
      </c>
      <c r="O315">
        <v>0.25546235099999998</v>
      </c>
      <c r="P315">
        <v>14100.799800000001</v>
      </c>
      <c r="Q315">
        <v>27.31</v>
      </c>
      <c r="R315">
        <v>3.04</v>
      </c>
      <c r="S315">
        <v>79.48</v>
      </c>
      <c r="T315">
        <v>19</v>
      </c>
      <c r="U315" s="1" t="s">
        <v>25</v>
      </c>
      <c r="V315">
        <v>0</v>
      </c>
    </row>
    <row r="316" spans="1:22" x14ac:dyDescent="0.3">
      <c r="A316" s="2">
        <v>44216</v>
      </c>
      <c r="B316">
        <v>32000</v>
      </c>
      <c r="C316">
        <v>385</v>
      </c>
      <c r="D316">
        <v>1</v>
      </c>
      <c r="E316" s="1" t="s">
        <v>22</v>
      </c>
      <c r="F316">
        <v>2</v>
      </c>
      <c r="G316" s="1" t="s">
        <v>23</v>
      </c>
      <c r="J316">
        <v>33000</v>
      </c>
      <c r="K316">
        <v>34000</v>
      </c>
      <c r="L316">
        <v>40000</v>
      </c>
      <c r="M316">
        <v>-1000</v>
      </c>
      <c r="N316">
        <v>117.6164</v>
      </c>
      <c r="O316">
        <v>0.25546235099999998</v>
      </c>
      <c r="P316">
        <v>14122</v>
      </c>
      <c r="Q316">
        <v>26.98</v>
      </c>
      <c r="R316">
        <v>7.27</v>
      </c>
      <c r="S316">
        <v>86.4</v>
      </c>
      <c r="T316">
        <v>20</v>
      </c>
      <c r="U316" s="1" t="s">
        <v>30</v>
      </c>
      <c r="V316">
        <v>-3.03</v>
      </c>
    </row>
    <row r="317" spans="1:22" x14ac:dyDescent="0.3">
      <c r="A317" s="2">
        <v>44217</v>
      </c>
      <c r="B317">
        <v>32000</v>
      </c>
      <c r="C317">
        <v>386</v>
      </c>
      <c r="D317">
        <v>1</v>
      </c>
      <c r="E317" s="1" t="s">
        <v>22</v>
      </c>
      <c r="F317">
        <v>3</v>
      </c>
      <c r="G317" s="1" t="s">
        <v>23</v>
      </c>
      <c r="J317">
        <v>32000</v>
      </c>
      <c r="K317">
        <v>34000</v>
      </c>
      <c r="L317">
        <v>40000</v>
      </c>
      <c r="M317">
        <v>0</v>
      </c>
      <c r="N317">
        <v>117.6164</v>
      </c>
      <c r="O317">
        <v>0.25546235099999998</v>
      </c>
      <c r="P317">
        <v>14037.200199999999</v>
      </c>
      <c r="Q317">
        <v>26.71</v>
      </c>
      <c r="R317">
        <v>11.35</v>
      </c>
      <c r="S317">
        <v>87.63</v>
      </c>
      <c r="T317">
        <v>21</v>
      </c>
      <c r="U317" s="1" t="s">
        <v>25</v>
      </c>
      <c r="V317">
        <v>0</v>
      </c>
    </row>
    <row r="318" spans="1:22" x14ac:dyDescent="0.3">
      <c r="A318" s="2">
        <v>44218</v>
      </c>
      <c r="B318">
        <v>32000</v>
      </c>
      <c r="C318">
        <v>387</v>
      </c>
      <c r="D318">
        <v>1</v>
      </c>
      <c r="E318" s="1" t="s">
        <v>22</v>
      </c>
      <c r="F318">
        <v>4</v>
      </c>
      <c r="G318" s="1" t="s">
        <v>23</v>
      </c>
      <c r="J318">
        <v>32000</v>
      </c>
      <c r="K318">
        <v>34000</v>
      </c>
      <c r="L318">
        <v>40000</v>
      </c>
      <c r="M318">
        <v>0</v>
      </c>
      <c r="N318">
        <v>117.6164</v>
      </c>
      <c r="O318">
        <v>0.25546235099999998</v>
      </c>
      <c r="P318">
        <v>13960.76172</v>
      </c>
      <c r="Q318">
        <v>26.41</v>
      </c>
      <c r="R318">
        <v>14.26</v>
      </c>
      <c r="S318">
        <v>86.25</v>
      </c>
      <c r="T318">
        <v>22</v>
      </c>
      <c r="U318" s="1" t="s">
        <v>25</v>
      </c>
      <c r="V318">
        <v>0</v>
      </c>
    </row>
    <row r="319" spans="1:22" x14ac:dyDescent="0.3">
      <c r="A319" s="2">
        <v>44221</v>
      </c>
      <c r="B319">
        <v>33000</v>
      </c>
      <c r="C319">
        <v>390</v>
      </c>
      <c r="D319">
        <v>1</v>
      </c>
      <c r="E319" s="1" t="s">
        <v>22</v>
      </c>
      <c r="F319">
        <v>0</v>
      </c>
      <c r="G319" s="1" t="s">
        <v>23</v>
      </c>
      <c r="K319">
        <v>33000</v>
      </c>
      <c r="N319">
        <v>117.6164</v>
      </c>
      <c r="O319">
        <v>0.25546235099999998</v>
      </c>
      <c r="P319">
        <v>14012.89551</v>
      </c>
      <c r="Q319">
        <v>25.6</v>
      </c>
      <c r="R319">
        <v>13.42</v>
      </c>
      <c r="S319">
        <v>87.86</v>
      </c>
      <c r="T319">
        <v>25</v>
      </c>
      <c r="U319" s="1" t="s">
        <v>29</v>
      </c>
      <c r="V319">
        <v>3.13</v>
      </c>
    </row>
    <row r="320" spans="1:22" x14ac:dyDescent="0.3">
      <c r="A320" s="2">
        <v>44222</v>
      </c>
      <c r="B320">
        <v>33000</v>
      </c>
      <c r="C320">
        <v>391</v>
      </c>
      <c r="D320">
        <v>1</v>
      </c>
      <c r="E320" s="1" t="s">
        <v>22</v>
      </c>
      <c r="F320">
        <v>1</v>
      </c>
      <c r="G320" s="1" t="s">
        <v>23</v>
      </c>
      <c r="J320">
        <v>33000</v>
      </c>
      <c r="K320">
        <v>33000</v>
      </c>
      <c r="M320">
        <v>0</v>
      </c>
      <c r="N320">
        <v>117.6164</v>
      </c>
      <c r="O320">
        <v>0.25546235099999998</v>
      </c>
      <c r="P320">
        <v>14148.5</v>
      </c>
      <c r="Q320">
        <v>25.53</v>
      </c>
      <c r="R320">
        <v>5.51</v>
      </c>
      <c r="S320">
        <v>84.89</v>
      </c>
      <c r="T320">
        <v>26</v>
      </c>
      <c r="U320" s="1" t="s">
        <v>25</v>
      </c>
      <c r="V320">
        <v>0</v>
      </c>
    </row>
    <row r="321" spans="1:22" x14ac:dyDescent="0.3">
      <c r="A321" s="2">
        <v>44223</v>
      </c>
      <c r="B321">
        <v>33000</v>
      </c>
      <c r="C321">
        <v>392</v>
      </c>
      <c r="D321">
        <v>1</v>
      </c>
      <c r="E321" s="1" t="s">
        <v>22</v>
      </c>
      <c r="F321">
        <v>2</v>
      </c>
      <c r="G321" s="1" t="s">
        <v>23</v>
      </c>
      <c r="J321">
        <v>33000</v>
      </c>
      <c r="K321">
        <v>32000</v>
      </c>
      <c r="L321">
        <v>37000</v>
      </c>
      <c r="M321">
        <v>0</v>
      </c>
      <c r="N321">
        <v>117.6164</v>
      </c>
      <c r="O321">
        <v>0.25546235099999998</v>
      </c>
      <c r="P321">
        <v>14142</v>
      </c>
      <c r="Q321">
        <v>26.05</v>
      </c>
      <c r="R321">
        <v>3.87</v>
      </c>
      <c r="S321">
        <v>85.52</v>
      </c>
      <c r="T321">
        <v>27</v>
      </c>
      <c r="U321" s="1" t="s">
        <v>25</v>
      </c>
      <c r="V321">
        <v>0</v>
      </c>
    </row>
    <row r="322" spans="1:22" x14ac:dyDescent="0.3">
      <c r="A322" s="2">
        <v>44224</v>
      </c>
      <c r="B322">
        <v>32000</v>
      </c>
      <c r="C322">
        <v>393</v>
      </c>
      <c r="D322">
        <v>1</v>
      </c>
      <c r="E322" s="1" t="s">
        <v>22</v>
      </c>
      <c r="F322">
        <v>3</v>
      </c>
      <c r="G322" s="1" t="s">
        <v>23</v>
      </c>
      <c r="J322">
        <v>33000</v>
      </c>
      <c r="K322">
        <v>32000</v>
      </c>
      <c r="L322">
        <v>37000</v>
      </c>
      <c r="M322">
        <v>-1000</v>
      </c>
      <c r="N322">
        <v>117.6164</v>
      </c>
      <c r="O322">
        <v>0.25546235099999998</v>
      </c>
      <c r="P322">
        <v>14195</v>
      </c>
      <c r="Q322">
        <v>26.7</v>
      </c>
      <c r="R322">
        <v>2.15</v>
      </c>
      <c r="S322">
        <v>81.41</v>
      </c>
      <c r="T322">
        <v>28</v>
      </c>
      <c r="U322" s="1" t="s">
        <v>30</v>
      </c>
      <c r="V322">
        <v>-3.03</v>
      </c>
    </row>
    <row r="323" spans="1:22" x14ac:dyDescent="0.3">
      <c r="A323" s="2">
        <v>44228</v>
      </c>
      <c r="B323">
        <v>31000</v>
      </c>
      <c r="C323">
        <v>397</v>
      </c>
      <c r="D323">
        <v>2</v>
      </c>
      <c r="E323" s="1" t="s">
        <v>22</v>
      </c>
      <c r="F323">
        <v>0</v>
      </c>
      <c r="G323" s="1" t="s">
        <v>23</v>
      </c>
      <c r="K323">
        <v>33000</v>
      </c>
      <c r="N323">
        <v>117.7385</v>
      </c>
      <c r="O323">
        <v>0.103812053</v>
      </c>
      <c r="P323">
        <v>13828.13672</v>
      </c>
      <c r="Q323">
        <v>25.54</v>
      </c>
      <c r="R323">
        <v>5.83</v>
      </c>
      <c r="S323">
        <v>87.71</v>
      </c>
      <c r="T323">
        <v>1</v>
      </c>
      <c r="U323" s="1"/>
      <c r="V323">
        <v>0</v>
      </c>
    </row>
    <row r="324" spans="1:22" x14ac:dyDescent="0.3">
      <c r="A324" s="2">
        <v>44229</v>
      </c>
      <c r="B324">
        <v>31500</v>
      </c>
      <c r="C324">
        <v>398</v>
      </c>
      <c r="D324">
        <v>2</v>
      </c>
      <c r="E324" s="1" t="s">
        <v>22</v>
      </c>
      <c r="F324">
        <v>1</v>
      </c>
      <c r="G324" s="1" t="s">
        <v>23</v>
      </c>
      <c r="J324">
        <v>31000</v>
      </c>
      <c r="K324">
        <v>33000</v>
      </c>
      <c r="M324">
        <v>500</v>
      </c>
      <c r="N324">
        <v>117.7385</v>
      </c>
      <c r="O324">
        <v>0.103812053</v>
      </c>
      <c r="P324">
        <v>14118.5</v>
      </c>
      <c r="Q324">
        <v>26.28</v>
      </c>
      <c r="R324">
        <v>2.92</v>
      </c>
      <c r="S324">
        <v>85.95</v>
      </c>
      <c r="T324">
        <v>2</v>
      </c>
      <c r="U324" s="1" t="s">
        <v>26</v>
      </c>
      <c r="V324">
        <v>1.61</v>
      </c>
    </row>
    <row r="325" spans="1:22" x14ac:dyDescent="0.3">
      <c r="A325" s="2">
        <v>44230</v>
      </c>
      <c r="B325">
        <v>31500</v>
      </c>
      <c r="C325">
        <v>399</v>
      </c>
      <c r="D325">
        <v>2</v>
      </c>
      <c r="E325" s="1" t="s">
        <v>22</v>
      </c>
      <c r="F325">
        <v>2</v>
      </c>
      <c r="G325" s="1" t="s">
        <v>23</v>
      </c>
      <c r="J325">
        <v>31500</v>
      </c>
      <c r="K325">
        <v>33000</v>
      </c>
      <c r="L325">
        <v>36000</v>
      </c>
      <c r="M325">
        <v>0</v>
      </c>
      <c r="N325">
        <v>117.7385</v>
      </c>
      <c r="O325">
        <v>0.103812053</v>
      </c>
      <c r="P325">
        <v>13995.535159999999</v>
      </c>
      <c r="Q325">
        <v>26.49</v>
      </c>
      <c r="R325">
        <v>1.84</v>
      </c>
      <c r="S325">
        <v>84.5</v>
      </c>
      <c r="T325">
        <v>3</v>
      </c>
      <c r="U325" s="1" t="s">
        <v>25</v>
      </c>
      <c r="V325">
        <v>0</v>
      </c>
    </row>
    <row r="326" spans="1:22" x14ac:dyDescent="0.3">
      <c r="A326" s="2">
        <v>44231</v>
      </c>
      <c r="B326">
        <v>31500</v>
      </c>
      <c r="C326">
        <v>400</v>
      </c>
      <c r="D326">
        <v>2</v>
      </c>
      <c r="E326" s="1" t="s">
        <v>22</v>
      </c>
      <c r="F326">
        <v>3</v>
      </c>
      <c r="G326" s="1" t="s">
        <v>23</v>
      </c>
      <c r="J326">
        <v>31500</v>
      </c>
      <c r="K326">
        <v>32000</v>
      </c>
      <c r="L326">
        <v>34000</v>
      </c>
      <c r="M326">
        <v>0</v>
      </c>
      <c r="N326">
        <v>117.7385</v>
      </c>
      <c r="O326">
        <v>0.103812053</v>
      </c>
      <c r="P326">
        <v>13983.952149999999</v>
      </c>
      <c r="Q326">
        <v>26.31</v>
      </c>
      <c r="R326">
        <v>2</v>
      </c>
      <c r="S326">
        <v>86.25</v>
      </c>
      <c r="T326">
        <v>4</v>
      </c>
      <c r="U326" s="1" t="s">
        <v>25</v>
      </c>
      <c r="V326">
        <v>0</v>
      </c>
    </row>
    <row r="327" spans="1:22" x14ac:dyDescent="0.3">
      <c r="A327" s="2">
        <v>44232</v>
      </c>
      <c r="B327">
        <v>31500</v>
      </c>
      <c r="C327">
        <v>401</v>
      </c>
      <c r="D327">
        <v>2</v>
      </c>
      <c r="E327" s="1" t="s">
        <v>22</v>
      </c>
      <c r="F327">
        <v>4</v>
      </c>
      <c r="G327" s="1" t="s">
        <v>23</v>
      </c>
      <c r="J327">
        <v>31500</v>
      </c>
      <c r="L327">
        <v>34000</v>
      </c>
      <c r="M327">
        <v>0</v>
      </c>
      <c r="N327">
        <v>117.7385</v>
      </c>
      <c r="O327">
        <v>0.103812053</v>
      </c>
      <c r="P327">
        <v>14010.47363</v>
      </c>
      <c r="Q327">
        <v>25.96</v>
      </c>
      <c r="R327">
        <v>6.69</v>
      </c>
      <c r="S327">
        <v>86.48</v>
      </c>
      <c r="T327">
        <v>5</v>
      </c>
      <c r="U327" s="1" t="s">
        <v>25</v>
      </c>
      <c r="V327">
        <v>0</v>
      </c>
    </row>
    <row r="328" spans="1:22" x14ac:dyDescent="0.3">
      <c r="A328" s="2">
        <v>44233</v>
      </c>
      <c r="B328">
        <v>31500</v>
      </c>
      <c r="C328">
        <v>402</v>
      </c>
      <c r="D328">
        <v>2</v>
      </c>
      <c r="E328" s="1" t="s">
        <v>22</v>
      </c>
      <c r="F328">
        <v>5</v>
      </c>
      <c r="G328" s="1" t="s">
        <v>23</v>
      </c>
      <c r="J328">
        <v>31500</v>
      </c>
      <c r="L328">
        <v>34000</v>
      </c>
      <c r="M328">
        <v>0</v>
      </c>
      <c r="N328">
        <v>117.7385</v>
      </c>
      <c r="O328">
        <v>0.103812053</v>
      </c>
      <c r="P328">
        <v>14010.47363</v>
      </c>
      <c r="Q328">
        <v>26.2</v>
      </c>
      <c r="R328">
        <v>5.47</v>
      </c>
      <c r="S328">
        <v>85.97</v>
      </c>
      <c r="T328">
        <v>6</v>
      </c>
      <c r="U328" s="1" t="s">
        <v>25</v>
      </c>
      <c r="V328">
        <v>0</v>
      </c>
    </row>
    <row r="329" spans="1:22" x14ac:dyDescent="0.3">
      <c r="A329" s="2">
        <v>44234</v>
      </c>
      <c r="B329">
        <v>31500</v>
      </c>
      <c r="C329">
        <v>403</v>
      </c>
      <c r="D329">
        <v>2</v>
      </c>
      <c r="E329" s="1" t="s">
        <v>22</v>
      </c>
      <c r="F329">
        <v>6</v>
      </c>
      <c r="G329" s="1" t="s">
        <v>23</v>
      </c>
      <c r="H329">
        <v>31428.571428571428</v>
      </c>
      <c r="J329">
        <v>31500</v>
      </c>
      <c r="L329">
        <v>34250</v>
      </c>
      <c r="M329">
        <v>0</v>
      </c>
      <c r="N329">
        <v>117.7385</v>
      </c>
      <c r="O329">
        <v>0.103812053</v>
      </c>
      <c r="P329">
        <v>14010.47363</v>
      </c>
      <c r="Q329">
        <v>26.74</v>
      </c>
      <c r="R329">
        <v>3.24</v>
      </c>
      <c r="S329">
        <v>83.16</v>
      </c>
      <c r="T329">
        <v>7</v>
      </c>
      <c r="U329" s="1" t="s">
        <v>25</v>
      </c>
      <c r="V329">
        <v>0</v>
      </c>
    </row>
    <row r="330" spans="1:22" x14ac:dyDescent="0.3">
      <c r="A330" s="2">
        <v>44235</v>
      </c>
      <c r="B330">
        <v>31000</v>
      </c>
      <c r="C330">
        <v>404</v>
      </c>
      <c r="D330">
        <v>2</v>
      </c>
      <c r="E330" s="1" t="s">
        <v>22</v>
      </c>
      <c r="F330">
        <v>0</v>
      </c>
      <c r="G330" s="1" t="s">
        <v>23</v>
      </c>
      <c r="H330">
        <v>31428.571428571428</v>
      </c>
      <c r="J330">
        <v>31500</v>
      </c>
      <c r="K330">
        <v>31000</v>
      </c>
      <c r="L330">
        <v>34250</v>
      </c>
      <c r="M330">
        <v>-500</v>
      </c>
      <c r="N330">
        <v>117.7385</v>
      </c>
      <c r="O330">
        <v>0.103812053</v>
      </c>
      <c r="P330">
        <v>14001.103520000001</v>
      </c>
      <c r="Q330">
        <v>26.71</v>
      </c>
      <c r="R330">
        <v>5.08</v>
      </c>
      <c r="S330">
        <v>81.2</v>
      </c>
      <c r="T330">
        <v>8</v>
      </c>
      <c r="U330" s="1" t="s">
        <v>24</v>
      </c>
      <c r="V330">
        <v>-1.59</v>
      </c>
    </row>
    <row r="331" spans="1:22" x14ac:dyDescent="0.3">
      <c r="A331" s="2">
        <v>44236</v>
      </c>
      <c r="B331">
        <v>31000</v>
      </c>
      <c r="C331">
        <v>405</v>
      </c>
      <c r="D331">
        <v>2</v>
      </c>
      <c r="E331" s="1" t="s">
        <v>22</v>
      </c>
      <c r="F331">
        <v>1</v>
      </c>
      <c r="G331" s="1" t="s">
        <v>23</v>
      </c>
      <c r="H331">
        <v>31357.142857142859</v>
      </c>
      <c r="J331">
        <v>31000</v>
      </c>
      <c r="K331">
        <v>31500</v>
      </c>
      <c r="L331">
        <v>34250</v>
      </c>
      <c r="M331">
        <v>0</v>
      </c>
      <c r="N331">
        <v>117.7385</v>
      </c>
      <c r="O331">
        <v>0.103812053</v>
      </c>
      <c r="P331">
        <v>13990.45996</v>
      </c>
      <c r="Q331">
        <v>26.28</v>
      </c>
      <c r="R331">
        <v>6.59</v>
      </c>
      <c r="S331">
        <v>85.19</v>
      </c>
      <c r="T331">
        <v>9</v>
      </c>
      <c r="U331" s="1" t="s">
        <v>25</v>
      </c>
      <c r="V331">
        <v>0</v>
      </c>
    </row>
    <row r="332" spans="1:22" x14ac:dyDescent="0.3">
      <c r="A332" s="2">
        <v>44237</v>
      </c>
      <c r="B332">
        <v>33250</v>
      </c>
      <c r="C332">
        <v>406</v>
      </c>
      <c r="D332">
        <v>2</v>
      </c>
      <c r="E332" s="1" t="s">
        <v>22</v>
      </c>
      <c r="F332">
        <v>2</v>
      </c>
      <c r="G332" s="1" t="s">
        <v>23</v>
      </c>
      <c r="H332">
        <v>31607.142857142859</v>
      </c>
      <c r="J332">
        <v>31000</v>
      </c>
      <c r="K332">
        <v>31500</v>
      </c>
      <c r="L332">
        <v>34000</v>
      </c>
      <c r="M332">
        <v>2250</v>
      </c>
      <c r="N332">
        <v>117.7385</v>
      </c>
      <c r="O332">
        <v>0.103812053</v>
      </c>
      <c r="P332">
        <v>13989.188480000001</v>
      </c>
      <c r="Q332">
        <v>26.77</v>
      </c>
      <c r="R332">
        <v>5.2</v>
      </c>
      <c r="S332">
        <v>83.78</v>
      </c>
      <c r="T332">
        <v>10</v>
      </c>
      <c r="U332" s="1" t="s">
        <v>55</v>
      </c>
      <c r="V332">
        <v>7.26</v>
      </c>
    </row>
    <row r="333" spans="1:22" x14ac:dyDescent="0.3">
      <c r="A333" s="2">
        <v>44238</v>
      </c>
      <c r="B333">
        <v>33750</v>
      </c>
      <c r="C333">
        <v>407</v>
      </c>
      <c r="D333">
        <v>2</v>
      </c>
      <c r="E333" s="1" t="s">
        <v>22</v>
      </c>
      <c r="F333">
        <v>3</v>
      </c>
      <c r="G333" s="1" t="s">
        <v>23</v>
      </c>
      <c r="H333">
        <v>31928.571428571428</v>
      </c>
      <c r="J333">
        <v>33250</v>
      </c>
      <c r="K333">
        <v>31500</v>
      </c>
      <c r="L333">
        <v>34000</v>
      </c>
      <c r="M333">
        <v>500</v>
      </c>
      <c r="N333">
        <v>117.7385</v>
      </c>
      <c r="O333">
        <v>0.103812053</v>
      </c>
      <c r="P333">
        <v>14027</v>
      </c>
      <c r="Q333">
        <v>27.14</v>
      </c>
      <c r="R333">
        <v>7.32</v>
      </c>
      <c r="S333">
        <v>84.94</v>
      </c>
      <c r="T333">
        <v>11</v>
      </c>
      <c r="U333" s="1" t="s">
        <v>26</v>
      </c>
      <c r="V333">
        <v>1.5</v>
      </c>
    </row>
    <row r="334" spans="1:22" x14ac:dyDescent="0.3">
      <c r="A334" s="2">
        <v>44242</v>
      </c>
      <c r="B334">
        <v>33750</v>
      </c>
      <c r="C334">
        <v>411</v>
      </c>
      <c r="D334">
        <v>2</v>
      </c>
      <c r="E334" s="1" t="s">
        <v>22</v>
      </c>
      <c r="F334">
        <v>0</v>
      </c>
      <c r="G334" s="1" t="s">
        <v>23</v>
      </c>
      <c r="K334">
        <v>31000</v>
      </c>
      <c r="N334">
        <v>117.7385</v>
      </c>
      <c r="O334">
        <v>0.103812053</v>
      </c>
      <c r="P334">
        <v>13966</v>
      </c>
      <c r="Q334">
        <v>25.99</v>
      </c>
      <c r="R334">
        <v>20.48</v>
      </c>
      <c r="S334">
        <v>86.49</v>
      </c>
      <c r="T334">
        <v>15</v>
      </c>
      <c r="U334" s="1"/>
      <c r="V334">
        <v>0</v>
      </c>
    </row>
    <row r="335" spans="1:22" x14ac:dyDescent="0.3">
      <c r="A335" s="2">
        <v>44243</v>
      </c>
      <c r="B335">
        <v>33750</v>
      </c>
      <c r="C335">
        <v>412</v>
      </c>
      <c r="D335">
        <v>2</v>
      </c>
      <c r="E335" s="1" t="s">
        <v>22</v>
      </c>
      <c r="F335">
        <v>1</v>
      </c>
      <c r="G335" s="1" t="s">
        <v>23</v>
      </c>
      <c r="J335">
        <v>33750</v>
      </c>
      <c r="K335">
        <v>31000</v>
      </c>
      <c r="M335">
        <v>0</v>
      </c>
      <c r="N335">
        <v>117.7385</v>
      </c>
      <c r="O335">
        <v>0.103812053</v>
      </c>
      <c r="P335">
        <v>13907</v>
      </c>
      <c r="Q335">
        <v>26.69</v>
      </c>
      <c r="R335">
        <v>3.56</v>
      </c>
      <c r="S335">
        <v>83.06</v>
      </c>
      <c r="T335">
        <v>16</v>
      </c>
      <c r="U335" s="1" t="s">
        <v>25</v>
      </c>
      <c r="V335">
        <v>0</v>
      </c>
    </row>
    <row r="336" spans="1:22" x14ac:dyDescent="0.3">
      <c r="A336" s="2">
        <v>44244</v>
      </c>
      <c r="B336">
        <v>33750</v>
      </c>
      <c r="C336">
        <v>413</v>
      </c>
      <c r="D336">
        <v>2</v>
      </c>
      <c r="E336" s="1" t="s">
        <v>22</v>
      </c>
      <c r="F336">
        <v>2</v>
      </c>
      <c r="G336" s="1" t="s">
        <v>23</v>
      </c>
      <c r="J336">
        <v>33750</v>
      </c>
      <c r="K336">
        <v>33250</v>
      </c>
      <c r="L336">
        <v>33000</v>
      </c>
      <c r="M336">
        <v>0</v>
      </c>
      <c r="N336">
        <v>117.7385</v>
      </c>
      <c r="O336">
        <v>0.103812053</v>
      </c>
      <c r="P336">
        <v>14039.200199999999</v>
      </c>
      <c r="Q336">
        <v>26.49</v>
      </c>
      <c r="R336">
        <v>14.52</v>
      </c>
      <c r="S336">
        <v>85.54</v>
      </c>
      <c r="T336">
        <v>17</v>
      </c>
      <c r="U336" s="1" t="s">
        <v>25</v>
      </c>
      <c r="V336">
        <v>0</v>
      </c>
    </row>
    <row r="337" spans="1:22" x14ac:dyDescent="0.3">
      <c r="A337" s="2">
        <v>44245</v>
      </c>
      <c r="B337">
        <v>34250</v>
      </c>
      <c r="C337">
        <v>414</v>
      </c>
      <c r="D337">
        <v>2</v>
      </c>
      <c r="E337" s="1" t="s">
        <v>22</v>
      </c>
      <c r="F337">
        <v>3</v>
      </c>
      <c r="G337" s="1" t="s">
        <v>23</v>
      </c>
      <c r="J337">
        <v>33750</v>
      </c>
      <c r="K337">
        <v>33750</v>
      </c>
      <c r="L337">
        <v>33000</v>
      </c>
      <c r="M337">
        <v>500</v>
      </c>
      <c r="N337">
        <v>117.7385</v>
      </c>
      <c r="O337">
        <v>0.103812053</v>
      </c>
      <c r="P337">
        <v>14007.474609999999</v>
      </c>
      <c r="Q337">
        <v>26.19</v>
      </c>
      <c r="R337">
        <v>11.85</v>
      </c>
      <c r="S337">
        <v>87.1</v>
      </c>
      <c r="T337">
        <v>18</v>
      </c>
      <c r="U337" s="1" t="s">
        <v>26</v>
      </c>
      <c r="V337">
        <v>1.48</v>
      </c>
    </row>
    <row r="338" spans="1:22" x14ac:dyDescent="0.3">
      <c r="A338" s="2">
        <v>44246</v>
      </c>
      <c r="B338">
        <v>34250</v>
      </c>
      <c r="C338">
        <v>415</v>
      </c>
      <c r="D338">
        <v>2</v>
      </c>
      <c r="E338" s="1" t="s">
        <v>22</v>
      </c>
      <c r="F338">
        <v>4</v>
      </c>
      <c r="G338" s="1" t="s">
        <v>23</v>
      </c>
      <c r="J338">
        <v>34250</v>
      </c>
      <c r="L338">
        <v>32000</v>
      </c>
      <c r="M338">
        <v>0</v>
      </c>
      <c r="N338">
        <v>117.7385</v>
      </c>
      <c r="O338">
        <v>0.103812053</v>
      </c>
      <c r="P338">
        <v>13998.19824</v>
      </c>
      <c r="Q338">
        <v>26.73</v>
      </c>
      <c r="R338">
        <v>5.41</v>
      </c>
      <c r="S338">
        <v>84.29</v>
      </c>
      <c r="T338">
        <v>19</v>
      </c>
      <c r="U338" s="1" t="s">
        <v>25</v>
      </c>
      <c r="V338">
        <v>0</v>
      </c>
    </row>
    <row r="339" spans="1:22" x14ac:dyDescent="0.3">
      <c r="A339" s="2">
        <v>44249</v>
      </c>
      <c r="B339">
        <v>37000</v>
      </c>
      <c r="C339">
        <v>418</v>
      </c>
      <c r="D339">
        <v>2</v>
      </c>
      <c r="E339" s="1" t="s">
        <v>22</v>
      </c>
      <c r="F339">
        <v>0</v>
      </c>
      <c r="G339" s="1" t="s">
        <v>23</v>
      </c>
      <c r="K339">
        <v>33750</v>
      </c>
      <c r="N339">
        <v>117.7385</v>
      </c>
      <c r="O339">
        <v>0.103812053</v>
      </c>
      <c r="P339">
        <v>13898.41699</v>
      </c>
      <c r="Q339">
        <v>26.73</v>
      </c>
      <c r="R339">
        <v>2.17</v>
      </c>
      <c r="S339">
        <v>81.31</v>
      </c>
      <c r="T339">
        <v>22</v>
      </c>
      <c r="U339" s="1" t="s">
        <v>58</v>
      </c>
      <c r="V339">
        <v>8.0299999999999994</v>
      </c>
    </row>
    <row r="340" spans="1:22" x14ac:dyDescent="0.3">
      <c r="A340" s="2">
        <v>44250</v>
      </c>
      <c r="B340">
        <v>36750</v>
      </c>
      <c r="C340">
        <v>419</v>
      </c>
      <c r="D340">
        <v>2</v>
      </c>
      <c r="E340" s="1" t="s">
        <v>22</v>
      </c>
      <c r="F340">
        <v>1</v>
      </c>
      <c r="G340" s="1" t="s">
        <v>23</v>
      </c>
      <c r="J340">
        <v>37000</v>
      </c>
      <c r="K340">
        <v>33750</v>
      </c>
      <c r="M340">
        <v>-250</v>
      </c>
      <c r="N340">
        <v>117.7385</v>
      </c>
      <c r="O340">
        <v>0.103812053</v>
      </c>
      <c r="P340">
        <v>14107.69629</v>
      </c>
      <c r="Q340">
        <v>26.64</v>
      </c>
      <c r="R340">
        <v>5.81</v>
      </c>
      <c r="S340">
        <v>85.74</v>
      </c>
      <c r="T340">
        <v>23</v>
      </c>
      <c r="U340" s="1" t="s">
        <v>35</v>
      </c>
      <c r="V340">
        <v>-0.68</v>
      </c>
    </row>
    <row r="341" spans="1:22" x14ac:dyDescent="0.3">
      <c r="A341" s="2">
        <v>44251</v>
      </c>
      <c r="B341">
        <v>37250</v>
      </c>
      <c r="C341">
        <v>420</v>
      </c>
      <c r="D341">
        <v>2</v>
      </c>
      <c r="E341" s="1" t="s">
        <v>22</v>
      </c>
      <c r="F341">
        <v>2</v>
      </c>
      <c r="G341" s="1" t="s">
        <v>23</v>
      </c>
      <c r="J341">
        <v>36750</v>
      </c>
      <c r="K341">
        <v>33750</v>
      </c>
      <c r="L341">
        <v>33000</v>
      </c>
      <c r="M341">
        <v>500</v>
      </c>
      <c r="N341">
        <v>117.7385</v>
      </c>
      <c r="O341">
        <v>0.103812053</v>
      </c>
      <c r="P341">
        <v>14081.617190000001</v>
      </c>
      <c r="Q341">
        <v>26.5</v>
      </c>
      <c r="R341">
        <v>4.09</v>
      </c>
      <c r="S341">
        <v>84.68</v>
      </c>
      <c r="T341">
        <v>24</v>
      </c>
      <c r="U341" s="1" t="s">
        <v>26</v>
      </c>
      <c r="V341">
        <v>1.36</v>
      </c>
    </row>
    <row r="342" spans="1:22" x14ac:dyDescent="0.3">
      <c r="A342" s="2">
        <v>44252</v>
      </c>
      <c r="B342">
        <v>37250</v>
      </c>
      <c r="C342">
        <v>421</v>
      </c>
      <c r="D342">
        <v>2</v>
      </c>
      <c r="E342" s="1" t="s">
        <v>22</v>
      </c>
      <c r="F342">
        <v>3</v>
      </c>
      <c r="G342" s="1" t="s">
        <v>23</v>
      </c>
      <c r="J342">
        <v>37250</v>
      </c>
      <c r="K342">
        <v>34250</v>
      </c>
      <c r="L342">
        <v>33000</v>
      </c>
      <c r="M342">
        <v>0</v>
      </c>
      <c r="N342">
        <v>117.7385</v>
      </c>
      <c r="O342">
        <v>0.103812053</v>
      </c>
      <c r="P342">
        <v>14097.799800000001</v>
      </c>
      <c r="Q342">
        <v>26.67</v>
      </c>
      <c r="R342">
        <v>1.22</v>
      </c>
      <c r="S342">
        <v>82.31</v>
      </c>
      <c r="T342">
        <v>25</v>
      </c>
      <c r="U342" s="1" t="s">
        <v>25</v>
      </c>
      <c r="V342">
        <v>0</v>
      </c>
    </row>
    <row r="343" spans="1:22" x14ac:dyDescent="0.3">
      <c r="A343" s="2">
        <v>44253</v>
      </c>
      <c r="B343">
        <v>37000</v>
      </c>
      <c r="C343">
        <v>422</v>
      </c>
      <c r="D343">
        <v>2</v>
      </c>
      <c r="E343" s="1" t="s">
        <v>22</v>
      </c>
      <c r="F343">
        <v>4</v>
      </c>
      <c r="G343" s="1" t="s">
        <v>23</v>
      </c>
      <c r="J343">
        <v>37250</v>
      </c>
      <c r="K343">
        <v>34250</v>
      </c>
      <c r="L343">
        <v>33000</v>
      </c>
      <c r="M343">
        <v>-250</v>
      </c>
      <c r="N343">
        <v>117.7385</v>
      </c>
      <c r="O343">
        <v>0.103812053</v>
      </c>
      <c r="P343">
        <v>13968.18555</v>
      </c>
      <c r="Q343">
        <v>27.42</v>
      </c>
      <c r="R343">
        <v>1.28</v>
      </c>
      <c r="S343">
        <v>76.14</v>
      </c>
      <c r="T343">
        <v>26</v>
      </c>
      <c r="U343" s="1" t="s">
        <v>35</v>
      </c>
      <c r="V343">
        <v>-0.67</v>
      </c>
    </row>
    <row r="344" spans="1:22" x14ac:dyDescent="0.3">
      <c r="A344" s="2">
        <v>44254</v>
      </c>
      <c r="B344">
        <v>37000</v>
      </c>
      <c r="C344">
        <v>423</v>
      </c>
      <c r="D344">
        <v>2</v>
      </c>
      <c r="E344" s="1" t="s">
        <v>22</v>
      </c>
      <c r="F344">
        <v>5</v>
      </c>
      <c r="G344" s="1" t="s">
        <v>23</v>
      </c>
      <c r="J344">
        <v>37000</v>
      </c>
      <c r="L344">
        <v>32000</v>
      </c>
      <c r="M344">
        <v>0</v>
      </c>
      <c r="N344">
        <v>117.7385</v>
      </c>
      <c r="O344">
        <v>0.103812053</v>
      </c>
      <c r="P344">
        <v>13968.18555</v>
      </c>
      <c r="Q344">
        <v>26.93</v>
      </c>
      <c r="R344">
        <v>1.96</v>
      </c>
      <c r="S344">
        <v>83.69</v>
      </c>
      <c r="T344">
        <v>27</v>
      </c>
      <c r="U344" s="1" t="s">
        <v>35</v>
      </c>
      <c r="V344">
        <v>-0.67</v>
      </c>
    </row>
    <row r="345" spans="1:22" x14ac:dyDescent="0.3">
      <c r="A345" s="2">
        <v>44255</v>
      </c>
      <c r="B345">
        <v>37000</v>
      </c>
      <c r="C345">
        <v>424</v>
      </c>
      <c r="D345">
        <v>2</v>
      </c>
      <c r="E345" s="1" t="s">
        <v>22</v>
      </c>
      <c r="F345">
        <v>6</v>
      </c>
      <c r="G345" s="1" t="s">
        <v>23</v>
      </c>
      <c r="H345">
        <v>37035.714285714283</v>
      </c>
      <c r="J345">
        <v>37000</v>
      </c>
      <c r="M345">
        <v>0</v>
      </c>
      <c r="N345">
        <v>117.7385</v>
      </c>
      <c r="O345">
        <v>0.103812053</v>
      </c>
      <c r="P345">
        <v>13968.18555</v>
      </c>
      <c r="Q345">
        <v>27.19</v>
      </c>
      <c r="R345">
        <v>2.02</v>
      </c>
      <c r="S345">
        <v>82.37</v>
      </c>
      <c r="T345">
        <v>28</v>
      </c>
      <c r="U345" s="1" t="s">
        <v>35</v>
      </c>
      <c r="V345">
        <v>-0.67</v>
      </c>
    </row>
    <row r="346" spans="1:22" x14ac:dyDescent="0.3">
      <c r="A346" s="2">
        <v>44256</v>
      </c>
      <c r="B346">
        <v>36750</v>
      </c>
      <c r="C346">
        <v>425</v>
      </c>
      <c r="D346">
        <v>3</v>
      </c>
      <c r="E346" s="1" t="s">
        <v>22</v>
      </c>
      <c r="F346">
        <v>0</v>
      </c>
      <c r="G346" s="1" t="s">
        <v>23</v>
      </c>
      <c r="H346">
        <v>37000</v>
      </c>
      <c r="J346">
        <v>37000</v>
      </c>
      <c r="K346">
        <v>37000</v>
      </c>
      <c r="M346">
        <v>-250</v>
      </c>
      <c r="N346">
        <v>117.83839999999999</v>
      </c>
      <c r="O346">
        <v>8.4849050999999995E-2</v>
      </c>
      <c r="P346">
        <v>14110.58496</v>
      </c>
      <c r="Q346">
        <v>26.39</v>
      </c>
      <c r="R346">
        <v>5.81</v>
      </c>
      <c r="S346">
        <v>86.2</v>
      </c>
      <c r="T346">
        <v>1</v>
      </c>
      <c r="U346" s="1" t="s">
        <v>35</v>
      </c>
      <c r="V346">
        <v>-0.68</v>
      </c>
    </row>
    <row r="347" spans="1:22" x14ac:dyDescent="0.3">
      <c r="A347" s="2">
        <v>44257</v>
      </c>
      <c r="B347">
        <v>36500</v>
      </c>
      <c r="C347">
        <v>426</v>
      </c>
      <c r="D347">
        <v>3</v>
      </c>
      <c r="E347" s="1" t="s">
        <v>22</v>
      </c>
      <c r="F347">
        <v>1</v>
      </c>
      <c r="G347" s="1" t="s">
        <v>23</v>
      </c>
      <c r="H347">
        <v>36964.285714285717</v>
      </c>
      <c r="J347">
        <v>36750</v>
      </c>
      <c r="K347">
        <v>36750</v>
      </c>
      <c r="M347">
        <v>-250</v>
      </c>
      <c r="N347">
        <v>117.83839999999999</v>
      </c>
      <c r="O347">
        <v>8.4849050999999995E-2</v>
      </c>
      <c r="P347">
        <v>14245.62012</v>
      </c>
      <c r="Q347">
        <v>26.03</v>
      </c>
      <c r="R347">
        <v>11.88</v>
      </c>
      <c r="S347">
        <v>84.92</v>
      </c>
      <c r="T347">
        <v>2</v>
      </c>
      <c r="U347" s="1" t="s">
        <v>35</v>
      </c>
      <c r="V347">
        <v>-0.68</v>
      </c>
    </row>
    <row r="348" spans="1:22" x14ac:dyDescent="0.3">
      <c r="A348" s="2">
        <v>44258</v>
      </c>
      <c r="B348">
        <v>36500</v>
      </c>
      <c r="C348">
        <v>427</v>
      </c>
      <c r="D348">
        <v>3</v>
      </c>
      <c r="E348" s="1" t="s">
        <v>22</v>
      </c>
      <c r="F348">
        <v>2</v>
      </c>
      <c r="G348" s="1" t="s">
        <v>23</v>
      </c>
      <c r="H348">
        <v>36857.142857142855</v>
      </c>
      <c r="J348">
        <v>36500</v>
      </c>
      <c r="K348">
        <v>37250</v>
      </c>
      <c r="L348">
        <v>31000</v>
      </c>
      <c r="M348">
        <v>0</v>
      </c>
      <c r="N348">
        <v>117.83839999999999</v>
      </c>
      <c r="O348">
        <v>8.4849050999999995E-2</v>
      </c>
      <c r="P348">
        <v>14239.181640000001</v>
      </c>
      <c r="Q348">
        <v>26.45</v>
      </c>
      <c r="R348">
        <v>3.96</v>
      </c>
      <c r="S348">
        <v>80.760000000000005</v>
      </c>
      <c r="T348">
        <v>3</v>
      </c>
      <c r="U348" s="1" t="s">
        <v>25</v>
      </c>
      <c r="V348">
        <v>0</v>
      </c>
    </row>
    <row r="349" spans="1:22" x14ac:dyDescent="0.3">
      <c r="A349" s="2">
        <v>44259</v>
      </c>
      <c r="B349">
        <v>37000</v>
      </c>
      <c r="C349">
        <v>428</v>
      </c>
      <c r="D349">
        <v>3</v>
      </c>
      <c r="E349" s="1" t="s">
        <v>22</v>
      </c>
      <c r="F349">
        <v>3</v>
      </c>
      <c r="G349" s="1" t="s">
        <v>23</v>
      </c>
      <c r="H349">
        <v>36821.428571428572</v>
      </c>
      <c r="J349">
        <v>36500</v>
      </c>
      <c r="K349">
        <v>37250</v>
      </c>
      <c r="L349">
        <v>31500</v>
      </c>
      <c r="M349">
        <v>500</v>
      </c>
      <c r="N349">
        <v>117.83839999999999</v>
      </c>
      <c r="O349">
        <v>8.4849050999999995E-2</v>
      </c>
      <c r="P349">
        <v>14349</v>
      </c>
      <c r="Q349">
        <v>26.1</v>
      </c>
      <c r="R349">
        <v>8.33</v>
      </c>
      <c r="S349">
        <v>86.37</v>
      </c>
      <c r="T349">
        <v>4</v>
      </c>
      <c r="U349" s="1" t="s">
        <v>26</v>
      </c>
      <c r="V349">
        <v>1.37</v>
      </c>
    </row>
    <row r="350" spans="1:22" x14ac:dyDescent="0.3">
      <c r="A350" s="2">
        <v>44260</v>
      </c>
      <c r="B350">
        <v>36500</v>
      </c>
      <c r="C350">
        <v>429</v>
      </c>
      <c r="D350">
        <v>3</v>
      </c>
      <c r="E350" s="1" t="s">
        <v>22</v>
      </c>
      <c r="F350">
        <v>4</v>
      </c>
      <c r="G350" s="1" t="s">
        <v>23</v>
      </c>
      <c r="H350">
        <v>36750</v>
      </c>
      <c r="J350">
        <v>37000</v>
      </c>
      <c r="K350">
        <v>37000</v>
      </c>
      <c r="L350">
        <v>31500</v>
      </c>
      <c r="M350">
        <v>-500</v>
      </c>
      <c r="N350">
        <v>117.83839999999999</v>
      </c>
      <c r="O350">
        <v>8.4849050999999995E-2</v>
      </c>
      <c r="P350">
        <v>14268.87988</v>
      </c>
      <c r="Q350">
        <v>26.45</v>
      </c>
      <c r="R350">
        <v>14.33</v>
      </c>
      <c r="S350">
        <v>83.02</v>
      </c>
      <c r="T350">
        <v>5</v>
      </c>
      <c r="U350" s="1" t="s">
        <v>24</v>
      </c>
      <c r="V350">
        <v>-1.35</v>
      </c>
    </row>
    <row r="351" spans="1:22" x14ac:dyDescent="0.3">
      <c r="A351" s="2">
        <v>44261</v>
      </c>
      <c r="B351">
        <v>36500</v>
      </c>
      <c r="C351">
        <v>430</v>
      </c>
      <c r="D351">
        <v>3</v>
      </c>
      <c r="E351" s="1" t="s">
        <v>22</v>
      </c>
      <c r="F351">
        <v>5</v>
      </c>
      <c r="G351" s="1" t="s">
        <v>23</v>
      </c>
      <c r="H351">
        <v>36678.571428571428</v>
      </c>
      <c r="J351">
        <v>36500</v>
      </c>
      <c r="K351">
        <v>37000</v>
      </c>
      <c r="L351">
        <v>31500</v>
      </c>
      <c r="M351">
        <v>0</v>
      </c>
      <c r="N351">
        <v>117.83839999999999</v>
      </c>
      <c r="O351">
        <v>8.4849050999999995E-2</v>
      </c>
      <c r="P351">
        <v>14268.87988</v>
      </c>
      <c r="Q351">
        <v>26.62</v>
      </c>
      <c r="R351">
        <v>1.83</v>
      </c>
      <c r="S351">
        <v>78.489999999999995</v>
      </c>
      <c r="T351">
        <v>6</v>
      </c>
      <c r="U351" s="1" t="s">
        <v>24</v>
      </c>
      <c r="V351">
        <v>-1.35</v>
      </c>
    </row>
    <row r="352" spans="1:22" x14ac:dyDescent="0.3">
      <c r="A352" s="2">
        <v>44262</v>
      </c>
      <c r="B352">
        <v>36500</v>
      </c>
      <c r="C352">
        <v>431</v>
      </c>
      <c r="D352">
        <v>3</v>
      </c>
      <c r="E352" s="1" t="s">
        <v>22</v>
      </c>
      <c r="F352">
        <v>6</v>
      </c>
      <c r="G352" s="1" t="s">
        <v>23</v>
      </c>
      <c r="H352">
        <v>36607.142857142855</v>
      </c>
      <c r="J352">
        <v>36500</v>
      </c>
      <c r="K352">
        <v>37000</v>
      </c>
      <c r="L352">
        <v>31500</v>
      </c>
      <c r="M352">
        <v>0</v>
      </c>
      <c r="N352">
        <v>117.83839999999999</v>
      </c>
      <c r="O352">
        <v>8.4849050999999995E-2</v>
      </c>
      <c r="P352">
        <v>14268.87988</v>
      </c>
      <c r="Q352">
        <v>26.61</v>
      </c>
      <c r="R352">
        <v>4.8600000000000003</v>
      </c>
      <c r="S352">
        <v>81.790000000000006</v>
      </c>
      <c r="T352">
        <v>7</v>
      </c>
      <c r="U352" s="1" t="s">
        <v>24</v>
      </c>
      <c r="V352">
        <v>-1.35</v>
      </c>
    </row>
    <row r="353" spans="1:22" x14ac:dyDescent="0.3">
      <c r="A353" s="2">
        <v>44263</v>
      </c>
      <c r="B353">
        <v>38000</v>
      </c>
      <c r="C353">
        <v>432</v>
      </c>
      <c r="D353">
        <v>3</v>
      </c>
      <c r="E353" s="1" t="s">
        <v>22</v>
      </c>
      <c r="F353">
        <v>0</v>
      </c>
      <c r="G353" s="1" t="s">
        <v>23</v>
      </c>
      <c r="H353">
        <v>36785.714285714283</v>
      </c>
      <c r="J353">
        <v>36500</v>
      </c>
      <c r="K353">
        <v>36750</v>
      </c>
      <c r="L353">
        <v>31500</v>
      </c>
      <c r="M353">
        <v>1500</v>
      </c>
      <c r="N353">
        <v>117.83839999999999</v>
      </c>
      <c r="O353">
        <v>8.4849050999999995E-2</v>
      </c>
      <c r="P353">
        <v>14287.39258</v>
      </c>
      <c r="Q353">
        <v>26.64</v>
      </c>
      <c r="R353">
        <v>1.1399999999999999</v>
      </c>
      <c r="S353">
        <v>80.7</v>
      </c>
      <c r="T353">
        <v>8</v>
      </c>
      <c r="U353" s="1" t="s">
        <v>31</v>
      </c>
      <c r="V353">
        <v>4.1100000000000003</v>
      </c>
    </row>
    <row r="354" spans="1:22" x14ac:dyDescent="0.3">
      <c r="A354" s="2">
        <v>44264</v>
      </c>
      <c r="B354">
        <v>38500</v>
      </c>
      <c r="C354">
        <v>433</v>
      </c>
      <c r="D354">
        <v>3</v>
      </c>
      <c r="E354" s="1" t="s">
        <v>22</v>
      </c>
      <c r="F354">
        <v>1</v>
      </c>
      <c r="G354" s="1" t="s">
        <v>23</v>
      </c>
      <c r="H354">
        <v>37071.428571428572</v>
      </c>
      <c r="J354">
        <v>38000</v>
      </c>
      <c r="K354">
        <v>36500</v>
      </c>
      <c r="L354">
        <v>31500</v>
      </c>
      <c r="M354">
        <v>500</v>
      </c>
      <c r="N354">
        <v>117.83839999999999</v>
      </c>
      <c r="O354">
        <v>8.4849050999999995E-2</v>
      </c>
      <c r="P354">
        <v>14344.47559</v>
      </c>
      <c r="Q354">
        <v>26.47</v>
      </c>
      <c r="R354">
        <v>1.7</v>
      </c>
      <c r="S354">
        <v>82.07</v>
      </c>
      <c r="T354">
        <v>9</v>
      </c>
      <c r="U354" s="1" t="s">
        <v>26</v>
      </c>
      <c r="V354">
        <v>1.32</v>
      </c>
    </row>
    <row r="355" spans="1:22" x14ac:dyDescent="0.3">
      <c r="A355" s="2">
        <v>44265</v>
      </c>
      <c r="B355">
        <v>38500</v>
      </c>
      <c r="C355">
        <v>434</v>
      </c>
      <c r="D355">
        <v>3</v>
      </c>
      <c r="E355" s="1" t="s">
        <v>22</v>
      </c>
      <c r="F355">
        <v>2</v>
      </c>
      <c r="G355" s="1" t="s">
        <v>23</v>
      </c>
      <c r="H355">
        <v>37357.142857142855</v>
      </c>
      <c r="J355">
        <v>38500</v>
      </c>
      <c r="K355">
        <v>36500</v>
      </c>
      <c r="L355">
        <v>31000</v>
      </c>
      <c r="M355">
        <v>0</v>
      </c>
      <c r="N355">
        <v>117.83839999999999</v>
      </c>
      <c r="O355">
        <v>8.4849050999999995E-2</v>
      </c>
      <c r="P355">
        <v>14393</v>
      </c>
      <c r="Q355">
        <v>26.28</v>
      </c>
      <c r="R355">
        <v>2.44</v>
      </c>
      <c r="S355">
        <v>84.47</v>
      </c>
      <c r="T355">
        <v>10</v>
      </c>
      <c r="U355" s="1" t="s">
        <v>25</v>
      </c>
      <c r="V355">
        <v>0</v>
      </c>
    </row>
    <row r="356" spans="1:22" x14ac:dyDescent="0.3">
      <c r="A356" s="2">
        <v>44267</v>
      </c>
      <c r="B356">
        <v>38000</v>
      </c>
      <c r="C356">
        <v>436</v>
      </c>
      <c r="D356">
        <v>3</v>
      </c>
      <c r="E356" s="1" t="s">
        <v>22</v>
      </c>
      <c r="F356">
        <v>4</v>
      </c>
      <c r="G356" s="1" t="s">
        <v>23</v>
      </c>
      <c r="K356">
        <v>36500</v>
      </c>
      <c r="L356">
        <v>33250</v>
      </c>
      <c r="N356">
        <v>117.83839999999999</v>
      </c>
      <c r="O356">
        <v>8.4849050999999995E-2</v>
      </c>
      <c r="P356">
        <v>14283.900390000001</v>
      </c>
      <c r="Q356">
        <v>26.21</v>
      </c>
      <c r="R356">
        <v>2.98</v>
      </c>
      <c r="S356">
        <v>79.06</v>
      </c>
      <c r="T356">
        <v>12</v>
      </c>
      <c r="U356" s="1"/>
      <c r="V356">
        <v>0</v>
      </c>
    </row>
    <row r="357" spans="1:22" x14ac:dyDescent="0.3">
      <c r="A357" s="2">
        <v>44268</v>
      </c>
      <c r="B357">
        <v>38000</v>
      </c>
      <c r="C357">
        <v>437</v>
      </c>
      <c r="D357">
        <v>3</v>
      </c>
      <c r="E357" s="1" t="s">
        <v>22</v>
      </c>
      <c r="F357">
        <v>5</v>
      </c>
      <c r="G357" s="1" t="s">
        <v>23</v>
      </c>
      <c r="J357">
        <v>38000</v>
      </c>
      <c r="K357">
        <v>36500</v>
      </c>
      <c r="L357">
        <v>33750</v>
      </c>
      <c r="M357">
        <v>0</v>
      </c>
      <c r="N357">
        <v>117.83839999999999</v>
      </c>
      <c r="O357">
        <v>8.4849050999999995E-2</v>
      </c>
      <c r="P357">
        <v>14283.900390000001</v>
      </c>
      <c r="Q357">
        <v>27.14</v>
      </c>
      <c r="R357">
        <v>4.62</v>
      </c>
      <c r="S357">
        <v>77.459999999999994</v>
      </c>
      <c r="T357">
        <v>13</v>
      </c>
      <c r="U357" s="1"/>
      <c r="V357">
        <v>0</v>
      </c>
    </row>
    <row r="358" spans="1:22" x14ac:dyDescent="0.3">
      <c r="A358" s="2">
        <v>44269</v>
      </c>
      <c r="B358">
        <v>38000</v>
      </c>
      <c r="C358">
        <v>438</v>
      </c>
      <c r="D358">
        <v>3</v>
      </c>
      <c r="E358" s="1" t="s">
        <v>22</v>
      </c>
      <c r="F358">
        <v>6</v>
      </c>
      <c r="G358" s="1" t="s">
        <v>44</v>
      </c>
      <c r="J358">
        <v>38000</v>
      </c>
      <c r="K358">
        <v>36500</v>
      </c>
      <c r="M358">
        <v>0</v>
      </c>
      <c r="N358">
        <v>117.83839999999999</v>
      </c>
      <c r="O358">
        <v>8.4849050999999995E-2</v>
      </c>
      <c r="P358">
        <v>14283.900390000001</v>
      </c>
      <c r="Q358">
        <v>26.95</v>
      </c>
      <c r="R358">
        <v>4.3</v>
      </c>
      <c r="S358">
        <v>79.150000000000006</v>
      </c>
      <c r="T358">
        <v>14</v>
      </c>
      <c r="U358" s="1"/>
      <c r="V358">
        <v>0</v>
      </c>
    </row>
    <row r="359" spans="1:22" x14ac:dyDescent="0.3">
      <c r="A359" s="2">
        <v>44270</v>
      </c>
      <c r="B359">
        <v>39000</v>
      </c>
      <c r="C359">
        <v>439</v>
      </c>
      <c r="D359">
        <v>3</v>
      </c>
      <c r="E359" s="1" t="s">
        <v>22</v>
      </c>
      <c r="F359">
        <v>0</v>
      </c>
      <c r="G359" s="1" t="s">
        <v>23</v>
      </c>
      <c r="J359">
        <v>38000</v>
      </c>
      <c r="K359">
        <v>38000</v>
      </c>
      <c r="M359">
        <v>1000</v>
      </c>
      <c r="N359">
        <v>117.83839999999999</v>
      </c>
      <c r="O359">
        <v>8.4849050999999995E-2</v>
      </c>
      <c r="P359">
        <v>14385.208979999999</v>
      </c>
      <c r="Q359">
        <v>27.27</v>
      </c>
      <c r="R359">
        <v>0.73</v>
      </c>
      <c r="S359">
        <v>76.86</v>
      </c>
      <c r="T359">
        <v>15</v>
      </c>
      <c r="U359" s="1" t="s">
        <v>29</v>
      </c>
      <c r="V359">
        <v>2.63</v>
      </c>
    </row>
    <row r="360" spans="1:22" x14ac:dyDescent="0.3">
      <c r="A360" s="2">
        <v>44271</v>
      </c>
      <c r="B360">
        <v>39000</v>
      </c>
      <c r="C360">
        <v>440</v>
      </c>
      <c r="D360">
        <v>3</v>
      </c>
      <c r="E360" s="1" t="s">
        <v>22</v>
      </c>
      <c r="F360">
        <v>1</v>
      </c>
      <c r="G360" s="1" t="s">
        <v>23</v>
      </c>
      <c r="J360">
        <v>39000</v>
      </c>
      <c r="K360">
        <v>38500</v>
      </c>
      <c r="M360">
        <v>0</v>
      </c>
      <c r="N360">
        <v>117.83839999999999</v>
      </c>
      <c r="O360">
        <v>8.4849050999999995E-2</v>
      </c>
      <c r="P360">
        <v>14464</v>
      </c>
      <c r="Q360">
        <v>27.19</v>
      </c>
      <c r="R360">
        <v>0.74</v>
      </c>
      <c r="S360">
        <v>77.81</v>
      </c>
      <c r="T360">
        <v>16</v>
      </c>
      <c r="U360" s="1" t="s">
        <v>25</v>
      </c>
      <c r="V360">
        <v>0</v>
      </c>
    </row>
    <row r="361" spans="1:22" x14ac:dyDescent="0.3">
      <c r="A361" s="2">
        <v>44272</v>
      </c>
      <c r="B361">
        <v>37000</v>
      </c>
      <c r="C361">
        <v>441</v>
      </c>
      <c r="D361">
        <v>3</v>
      </c>
      <c r="E361" s="1" t="s">
        <v>22</v>
      </c>
      <c r="F361">
        <v>2</v>
      </c>
      <c r="G361" s="1" t="s">
        <v>23</v>
      </c>
      <c r="J361">
        <v>39000</v>
      </c>
      <c r="K361">
        <v>38500</v>
      </c>
      <c r="L361">
        <v>33750</v>
      </c>
      <c r="M361">
        <v>-2000</v>
      </c>
      <c r="N361">
        <v>117.83839999999999</v>
      </c>
      <c r="O361">
        <v>8.4849050999999995E-2</v>
      </c>
      <c r="P361">
        <v>14427.5</v>
      </c>
      <c r="Q361">
        <v>26.87</v>
      </c>
      <c r="R361">
        <v>1.21</v>
      </c>
      <c r="S361">
        <v>81.06</v>
      </c>
      <c r="T361">
        <v>17</v>
      </c>
      <c r="U361" s="1" t="s">
        <v>45</v>
      </c>
      <c r="V361">
        <v>-5.13</v>
      </c>
    </row>
    <row r="362" spans="1:22" x14ac:dyDescent="0.3">
      <c r="A362" s="2">
        <v>44273</v>
      </c>
      <c r="B362">
        <v>37000</v>
      </c>
      <c r="C362">
        <v>442</v>
      </c>
      <c r="D362">
        <v>3</v>
      </c>
      <c r="E362" s="1" t="s">
        <v>22</v>
      </c>
      <c r="F362">
        <v>3</v>
      </c>
      <c r="G362" s="1" t="s">
        <v>23</v>
      </c>
      <c r="H362">
        <v>38000</v>
      </c>
      <c r="J362">
        <v>37000</v>
      </c>
      <c r="L362">
        <v>33750</v>
      </c>
      <c r="M362">
        <v>0</v>
      </c>
      <c r="N362">
        <v>117.83839999999999</v>
      </c>
      <c r="O362">
        <v>8.4849050999999995E-2</v>
      </c>
      <c r="P362">
        <v>14403</v>
      </c>
      <c r="Q362">
        <v>26.79</v>
      </c>
      <c r="R362">
        <v>3.42</v>
      </c>
      <c r="S362">
        <v>80.95</v>
      </c>
      <c r="T362">
        <v>18</v>
      </c>
      <c r="U362" s="1" t="s">
        <v>25</v>
      </c>
      <c r="V362">
        <v>0</v>
      </c>
    </row>
    <row r="363" spans="1:22" x14ac:dyDescent="0.3">
      <c r="A363" s="2">
        <v>44274</v>
      </c>
      <c r="B363">
        <v>39500</v>
      </c>
      <c r="C363">
        <v>443</v>
      </c>
      <c r="D363">
        <v>3</v>
      </c>
      <c r="E363" s="1" t="s">
        <v>22</v>
      </c>
      <c r="F363">
        <v>4</v>
      </c>
      <c r="G363" s="1" t="s">
        <v>23</v>
      </c>
      <c r="H363">
        <v>38214.285714285717</v>
      </c>
      <c r="J363">
        <v>37000</v>
      </c>
      <c r="K363">
        <v>38000</v>
      </c>
      <c r="L363">
        <v>33750</v>
      </c>
      <c r="M363">
        <v>2500</v>
      </c>
      <c r="N363">
        <v>117.83839999999999</v>
      </c>
      <c r="O363">
        <v>8.4849050999999995E-2</v>
      </c>
      <c r="P363">
        <v>14431</v>
      </c>
      <c r="Q363">
        <v>26.66</v>
      </c>
      <c r="R363">
        <v>3.38</v>
      </c>
      <c r="S363">
        <v>80.319999999999993</v>
      </c>
      <c r="T363">
        <v>19</v>
      </c>
      <c r="U363" s="1" t="s">
        <v>56</v>
      </c>
      <c r="V363">
        <v>6.76</v>
      </c>
    </row>
    <row r="364" spans="1:22" x14ac:dyDescent="0.3">
      <c r="A364" s="2">
        <v>44277</v>
      </c>
      <c r="B364">
        <v>39500</v>
      </c>
      <c r="C364">
        <v>446</v>
      </c>
      <c r="D364">
        <v>3</v>
      </c>
      <c r="E364" s="1" t="s">
        <v>22</v>
      </c>
      <c r="F364">
        <v>0</v>
      </c>
      <c r="G364" s="1" t="s">
        <v>23</v>
      </c>
      <c r="K364">
        <v>39000</v>
      </c>
      <c r="N364">
        <v>117.83839999999999</v>
      </c>
      <c r="O364">
        <v>8.4849050999999995E-2</v>
      </c>
      <c r="P364">
        <v>14372.200199999999</v>
      </c>
      <c r="Q364">
        <v>27.17</v>
      </c>
      <c r="R364">
        <v>14.62</v>
      </c>
      <c r="S364">
        <v>83.72</v>
      </c>
      <c r="T364">
        <v>22</v>
      </c>
      <c r="U364" s="1" t="s">
        <v>25</v>
      </c>
      <c r="V364">
        <v>0</v>
      </c>
    </row>
    <row r="365" spans="1:22" x14ac:dyDescent="0.3">
      <c r="A365" s="2">
        <v>44278</v>
      </c>
      <c r="B365">
        <v>38000</v>
      </c>
      <c r="C365">
        <v>447</v>
      </c>
      <c r="D365">
        <v>3</v>
      </c>
      <c r="E365" s="1" t="s">
        <v>22</v>
      </c>
      <c r="F365">
        <v>1</v>
      </c>
      <c r="G365" s="1" t="s">
        <v>23</v>
      </c>
      <c r="J365">
        <v>39500</v>
      </c>
      <c r="K365">
        <v>39000</v>
      </c>
      <c r="M365">
        <v>-1500</v>
      </c>
      <c r="N365">
        <v>117.83839999999999</v>
      </c>
      <c r="O365">
        <v>8.4849050999999995E-2</v>
      </c>
      <c r="P365">
        <v>14375.799800000001</v>
      </c>
      <c r="Q365">
        <v>26.77</v>
      </c>
      <c r="R365">
        <v>9.83</v>
      </c>
      <c r="S365">
        <v>85.95</v>
      </c>
      <c r="T365">
        <v>23</v>
      </c>
      <c r="U365" s="1" t="s">
        <v>37</v>
      </c>
      <c r="V365">
        <v>-3.8</v>
      </c>
    </row>
    <row r="366" spans="1:22" x14ac:dyDescent="0.3">
      <c r="A366" s="2">
        <v>44279</v>
      </c>
      <c r="B366">
        <v>38500</v>
      </c>
      <c r="C366">
        <v>448</v>
      </c>
      <c r="D366">
        <v>3</v>
      </c>
      <c r="E366" s="1" t="s">
        <v>22</v>
      </c>
      <c r="F366">
        <v>2</v>
      </c>
      <c r="G366" s="1" t="s">
        <v>23</v>
      </c>
      <c r="J366">
        <v>38000</v>
      </c>
      <c r="K366">
        <v>37000</v>
      </c>
      <c r="L366">
        <v>37000</v>
      </c>
      <c r="M366">
        <v>500</v>
      </c>
      <c r="N366">
        <v>117.83839999999999</v>
      </c>
      <c r="O366">
        <v>8.4849050999999995E-2</v>
      </c>
      <c r="P366">
        <v>14505.5</v>
      </c>
      <c r="Q366">
        <v>26.55</v>
      </c>
      <c r="R366">
        <v>5.83</v>
      </c>
      <c r="S366">
        <v>84.36</v>
      </c>
      <c r="T366">
        <v>24</v>
      </c>
      <c r="U366" s="1" t="s">
        <v>26</v>
      </c>
      <c r="V366">
        <v>1.32</v>
      </c>
    </row>
    <row r="367" spans="1:22" x14ac:dyDescent="0.3">
      <c r="A367" s="2">
        <v>44280</v>
      </c>
      <c r="B367">
        <v>37500</v>
      </c>
      <c r="C367">
        <v>449</v>
      </c>
      <c r="D367">
        <v>3</v>
      </c>
      <c r="E367" s="1" t="s">
        <v>22</v>
      </c>
      <c r="F367">
        <v>3</v>
      </c>
      <c r="G367" s="1" t="s">
        <v>23</v>
      </c>
      <c r="J367">
        <v>38500</v>
      </c>
      <c r="K367">
        <v>37000</v>
      </c>
      <c r="L367">
        <v>36750</v>
      </c>
      <c r="M367">
        <v>-1000</v>
      </c>
      <c r="N367">
        <v>117.83839999999999</v>
      </c>
      <c r="O367">
        <v>8.4849050999999995E-2</v>
      </c>
      <c r="P367">
        <v>14460</v>
      </c>
      <c r="Q367">
        <v>26.42</v>
      </c>
      <c r="R367">
        <v>14.59</v>
      </c>
      <c r="S367">
        <v>85.42</v>
      </c>
      <c r="T367">
        <v>25</v>
      </c>
      <c r="U367" s="1" t="s">
        <v>30</v>
      </c>
      <c r="V367">
        <v>-2.6</v>
      </c>
    </row>
    <row r="368" spans="1:22" x14ac:dyDescent="0.3">
      <c r="A368" s="2">
        <v>44281</v>
      </c>
      <c r="B368">
        <v>36500</v>
      </c>
      <c r="C368">
        <v>450</v>
      </c>
      <c r="D368">
        <v>3</v>
      </c>
      <c r="E368" s="1" t="s">
        <v>22</v>
      </c>
      <c r="F368">
        <v>4</v>
      </c>
      <c r="G368" s="1" t="s">
        <v>23</v>
      </c>
      <c r="J368">
        <v>37500</v>
      </c>
      <c r="K368">
        <v>39500</v>
      </c>
      <c r="L368">
        <v>37250</v>
      </c>
      <c r="M368">
        <v>-1000</v>
      </c>
      <c r="N368">
        <v>117.83839999999999</v>
      </c>
      <c r="O368">
        <v>8.4849050999999995E-2</v>
      </c>
      <c r="P368">
        <v>14456.400390000001</v>
      </c>
      <c r="Q368">
        <v>26.63</v>
      </c>
      <c r="R368">
        <v>9.89</v>
      </c>
      <c r="S368">
        <v>83.49</v>
      </c>
      <c r="T368">
        <v>26</v>
      </c>
      <c r="U368" s="1" t="s">
        <v>30</v>
      </c>
      <c r="V368">
        <v>-2.67</v>
      </c>
    </row>
    <row r="369" spans="1:22" x14ac:dyDescent="0.3">
      <c r="A369" s="2">
        <v>44282</v>
      </c>
      <c r="B369">
        <v>36500</v>
      </c>
      <c r="C369">
        <v>451</v>
      </c>
      <c r="D369">
        <v>3</v>
      </c>
      <c r="E369" s="1" t="s">
        <v>22</v>
      </c>
      <c r="F369">
        <v>5</v>
      </c>
      <c r="G369" s="1" t="s">
        <v>23</v>
      </c>
      <c r="J369">
        <v>36500</v>
      </c>
      <c r="L369">
        <v>37250</v>
      </c>
      <c r="M369">
        <v>0</v>
      </c>
      <c r="N369">
        <v>117.83839999999999</v>
      </c>
      <c r="O369">
        <v>8.4849050999999995E-2</v>
      </c>
      <c r="P369">
        <v>14456.400390000001</v>
      </c>
      <c r="Q369">
        <v>26.94</v>
      </c>
      <c r="R369">
        <v>5.17</v>
      </c>
      <c r="S369">
        <v>78.27</v>
      </c>
      <c r="T369">
        <v>27</v>
      </c>
      <c r="U369" s="1" t="s">
        <v>30</v>
      </c>
      <c r="V369">
        <v>-2.67</v>
      </c>
    </row>
    <row r="370" spans="1:22" x14ac:dyDescent="0.3">
      <c r="A370" s="2">
        <v>44283</v>
      </c>
      <c r="B370">
        <v>36500</v>
      </c>
      <c r="C370">
        <v>452</v>
      </c>
      <c r="D370">
        <v>3</v>
      </c>
      <c r="E370" s="1" t="s">
        <v>22</v>
      </c>
      <c r="F370">
        <v>6</v>
      </c>
      <c r="G370" s="1" t="s">
        <v>23</v>
      </c>
      <c r="H370">
        <v>37571.428571428572</v>
      </c>
      <c r="J370">
        <v>36500</v>
      </c>
      <c r="L370">
        <v>37000</v>
      </c>
      <c r="M370">
        <v>0</v>
      </c>
      <c r="N370">
        <v>117.83839999999999</v>
      </c>
      <c r="O370">
        <v>8.4849050999999995E-2</v>
      </c>
      <c r="P370">
        <v>14456.400390000001</v>
      </c>
      <c r="Q370">
        <v>26.29</v>
      </c>
      <c r="R370">
        <v>10.46</v>
      </c>
      <c r="S370">
        <v>85.46</v>
      </c>
      <c r="T370">
        <v>28</v>
      </c>
      <c r="U370" s="1" t="s">
        <v>30</v>
      </c>
      <c r="V370">
        <v>-2.67</v>
      </c>
    </row>
    <row r="371" spans="1:22" x14ac:dyDescent="0.3">
      <c r="A371" s="2">
        <v>44284</v>
      </c>
      <c r="B371">
        <v>36250</v>
      </c>
      <c r="C371">
        <v>453</v>
      </c>
      <c r="D371">
        <v>3</v>
      </c>
      <c r="E371" s="1" t="s">
        <v>22</v>
      </c>
      <c r="F371">
        <v>0</v>
      </c>
      <c r="G371" s="1" t="s">
        <v>23</v>
      </c>
      <c r="H371">
        <v>37107.142857142855</v>
      </c>
      <c r="J371">
        <v>36500</v>
      </c>
      <c r="K371">
        <v>39500</v>
      </c>
      <c r="L371">
        <v>37000</v>
      </c>
      <c r="M371">
        <v>-250</v>
      </c>
      <c r="N371">
        <v>117.83839999999999</v>
      </c>
      <c r="O371">
        <v>8.4849050999999995E-2</v>
      </c>
      <c r="P371">
        <v>14411</v>
      </c>
      <c r="Q371">
        <v>26.62</v>
      </c>
      <c r="R371">
        <v>7.69</v>
      </c>
      <c r="S371">
        <v>84.06</v>
      </c>
      <c r="T371">
        <v>29</v>
      </c>
      <c r="U371" s="1" t="s">
        <v>35</v>
      </c>
      <c r="V371">
        <v>-0.68</v>
      </c>
    </row>
    <row r="372" spans="1:22" x14ac:dyDescent="0.3">
      <c r="A372" s="2">
        <v>44285</v>
      </c>
      <c r="B372">
        <v>36500</v>
      </c>
      <c r="C372">
        <v>454</v>
      </c>
      <c r="D372">
        <v>3</v>
      </c>
      <c r="E372" s="1" t="s">
        <v>22</v>
      </c>
      <c r="F372">
        <v>1</v>
      </c>
      <c r="G372" s="1" t="s">
        <v>23</v>
      </c>
      <c r="H372">
        <v>36892.857142857145</v>
      </c>
      <c r="J372">
        <v>36250</v>
      </c>
      <c r="K372">
        <v>38000</v>
      </c>
      <c r="L372">
        <v>37000</v>
      </c>
      <c r="M372">
        <v>250</v>
      </c>
      <c r="N372">
        <v>117.83839999999999</v>
      </c>
      <c r="O372">
        <v>8.4849050999999995E-2</v>
      </c>
      <c r="P372">
        <v>14511.700199999999</v>
      </c>
      <c r="Q372">
        <v>26.66</v>
      </c>
      <c r="R372">
        <v>9.9499999999999993</v>
      </c>
      <c r="S372">
        <v>84.84</v>
      </c>
      <c r="T372">
        <v>30</v>
      </c>
      <c r="U372" s="1" t="s">
        <v>34</v>
      </c>
      <c r="V372">
        <v>0.69</v>
      </c>
    </row>
    <row r="373" spans="1:22" x14ac:dyDescent="0.3">
      <c r="A373" s="2">
        <v>44286</v>
      </c>
      <c r="B373">
        <v>36500</v>
      </c>
      <c r="C373">
        <v>455</v>
      </c>
      <c r="D373">
        <v>3</v>
      </c>
      <c r="E373" s="1" t="s">
        <v>22</v>
      </c>
      <c r="F373">
        <v>2</v>
      </c>
      <c r="G373" s="1" t="s">
        <v>23</v>
      </c>
      <c r="H373">
        <v>36607.142857142855</v>
      </c>
      <c r="J373">
        <v>36500</v>
      </c>
      <c r="K373">
        <v>38500</v>
      </c>
      <c r="L373">
        <v>36750</v>
      </c>
      <c r="M373">
        <v>0</v>
      </c>
      <c r="N373">
        <v>117.83839999999999</v>
      </c>
      <c r="O373">
        <v>8.4849050999999995E-2</v>
      </c>
      <c r="P373">
        <v>14605</v>
      </c>
      <c r="Q373">
        <v>26.81</v>
      </c>
      <c r="R373">
        <v>2.3199999999999998</v>
      </c>
      <c r="S373">
        <v>85.27</v>
      </c>
      <c r="T373">
        <v>31</v>
      </c>
      <c r="U373" s="1" t="s">
        <v>25</v>
      </c>
      <c r="V373">
        <v>0</v>
      </c>
    </row>
    <row r="374" spans="1:22" x14ac:dyDescent="0.3">
      <c r="A374" s="2">
        <v>44287</v>
      </c>
      <c r="B374">
        <v>35500</v>
      </c>
      <c r="C374">
        <v>456</v>
      </c>
      <c r="D374">
        <v>4</v>
      </c>
      <c r="E374" s="1" t="s">
        <v>43</v>
      </c>
      <c r="F374">
        <v>3</v>
      </c>
      <c r="G374" s="1" t="s">
        <v>23</v>
      </c>
      <c r="H374">
        <v>36321.428571428572</v>
      </c>
      <c r="J374">
        <v>36500</v>
      </c>
      <c r="K374">
        <v>37500</v>
      </c>
      <c r="L374">
        <v>36500</v>
      </c>
      <c r="M374">
        <v>-1000</v>
      </c>
      <c r="N374">
        <v>117.9939</v>
      </c>
      <c r="O374">
        <v>0.13196037999999999</v>
      </c>
      <c r="P374">
        <v>14606</v>
      </c>
      <c r="Q374">
        <v>27.36</v>
      </c>
      <c r="R374">
        <v>0.95</v>
      </c>
      <c r="S374">
        <v>81.38</v>
      </c>
      <c r="T374">
        <v>1</v>
      </c>
      <c r="U374" s="1" t="s">
        <v>30</v>
      </c>
      <c r="V374">
        <v>-2.74</v>
      </c>
    </row>
    <row r="375" spans="1:22" x14ac:dyDescent="0.3">
      <c r="A375" s="2">
        <v>44291</v>
      </c>
      <c r="B375">
        <v>35500</v>
      </c>
      <c r="C375">
        <v>460</v>
      </c>
      <c r="D375">
        <v>4</v>
      </c>
      <c r="E375" s="1" t="s">
        <v>43</v>
      </c>
      <c r="F375">
        <v>0</v>
      </c>
      <c r="G375" s="1" t="s">
        <v>44</v>
      </c>
      <c r="K375">
        <v>36250</v>
      </c>
      <c r="L375">
        <v>36500</v>
      </c>
      <c r="N375">
        <v>117.9939</v>
      </c>
      <c r="O375">
        <v>0.13196037999999999</v>
      </c>
      <c r="P375">
        <v>14518</v>
      </c>
      <c r="Q375">
        <v>27.41</v>
      </c>
      <c r="R375">
        <v>2.82</v>
      </c>
      <c r="S375">
        <v>81.56</v>
      </c>
      <c r="T375">
        <v>5</v>
      </c>
      <c r="U375" s="1"/>
      <c r="V375">
        <v>0</v>
      </c>
    </row>
    <row r="376" spans="1:22" x14ac:dyDescent="0.3">
      <c r="A376" s="2">
        <v>44292</v>
      </c>
      <c r="B376">
        <v>35500</v>
      </c>
      <c r="C376">
        <v>461</v>
      </c>
      <c r="D376">
        <v>4</v>
      </c>
      <c r="E376" s="1" t="s">
        <v>43</v>
      </c>
      <c r="F376">
        <v>1</v>
      </c>
      <c r="G376" s="1" t="s">
        <v>23</v>
      </c>
      <c r="J376">
        <v>35500</v>
      </c>
      <c r="K376">
        <v>36500</v>
      </c>
      <c r="L376">
        <v>36500</v>
      </c>
      <c r="M376">
        <v>0</v>
      </c>
      <c r="N376">
        <v>117.9939</v>
      </c>
      <c r="O376">
        <v>0.13196037999999999</v>
      </c>
      <c r="P376">
        <v>14529.200199999999</v>
      </c>
      <c r="Q376">
        <v>27.06</v>
      </c>
      <c r="R376">
        <v>3.13</v>
      </c>
      <c r="S376">
        <v>83.17</v>
      </c>
      <c r="T376">
        <v>6</v>
      </c>
      <c r="U376" s="1" t="s">
        <v>25</v>
      </c>
      <c r="V376">
        <v>0</v>
      </c>
    </row>
    <row r="377" spans="1:22" x14ac:dyDescent="0.3">
      <c r="A377" s="2">
        <v>44293</v>
      </c>
      <c r="B377">
        <v>35000</v>
      </c>
      <c r="C377">
        <v>462</v>
      </c>
      <c r="D377">
        <v>4</v>
      </c>
      <c r="E377" s="1" t="s">
        <v>43</v>
      </c>
      <c r="F377">
        <v>2</v>
      </c>
      <c r="G377" s="1" t="s">
        <v>23</v>
      </c>
      <c r="J377">
        <v>35500</v>
      </c>
      <c r="K377">
        <v>36500</v>
      </c>
      <c r="L377">
        <v>38000</v>
      </c>
      <c r="M377">
        <v>-500</v>
      </c>
      <c r="N377">
        <v>117.9939</v>
      </c>
      <c r="O377">
        <v>0.13196037999999999</v>
      </c>
      <c r="P377">
        <v>14460.299800000001</v>
      </c>
      <c r="Q377">
        <v>27.36</v>
      </c>
      <c r="R377">
        <v>1.56</v>
      </c>
      <c r="S377">
        <v>82.61</v>
      </c>
      <c r="T377">
        <v>7</v>
      </c>
      <c r="U377" s="1" t="s">
        <v>24</v>
      </c>
      <c r="V377">
        <v>-1.41</v>
      </c>
    </row>
    <row r="378" spans="1:22" x14ac:dyDescent="0.3">
      <c r="A378" s="2">
        <v>44294</v>
      </c>
      <c r="B378">
        <v>35000</v>
      </c>
      <c r="C378">
        <v>463</v>
      </c>
      <c r="D378">
        <v>4</v>
      </c>
      <c r="E378" s="1" t="s">
        <v>43</v>
      </c>
      <c r="F378">
        <v>3</v>
      </c>
      <c r="G378" s="1" t="s">
        <v>23</v>
      </c>
      <c r="J378">
        <v>35000</v>
      </c>
      <c r="K378">
        <v>35500</v>
      </c>
      <c r="L378">
        <v>38500</v>
      </c>
      <c r="M378">
        <v>0</v>
      </c>
      <c r="N378">
        <v>117.9939</v>
      </c>
      <c r="O378">
        <v>0.13196037999999999</v>
      </c>
      <c r="P378">
        <v>14641</v>
      </c>
      <c r="Q378">
        <v>27.31</v>
      </c>
      <c r="R378">
        <v>7.24</v>
      </c>
      <c r="S378">
        <v>79.12</v>
      </c>
      <c r="T378">
        <v>8</v>
      </c>
      <c r="U378" s="1" t="s">
        <v>25</v>
      </c>
      <c r="V378">
        <v>0</v>
      </c>
    </row>
    <row r="379" spans="1:22" x14ac:dyDescent="0.3">
      <c r="A379" s="2">
        <v>44295</v>
      </c>
      <c r="B379">
        <v>36000</v>
      </c>
      <c r="C379">
        <v>464</v>
      </c>
      <c r="D379">
        <v>4</v>
      </c>
      <c r="E379" s="1" t="s">
        <v>43</v>
      </c>
      <c r="F379">
        <v>4</v>
      </c>
      <c r="G379" s="1" t="s">
        <v>23</v>
      </c>
      <c r="J379">
        <v>35000</v>
      </c>
      <c r="L379">
        <v>38500</v>
      </c>
      <c r="M379">
        <v>1000</v>
      </c>
      <c r="N379">
        <v>117.9939</v>
      </c>
      <c r="O379">
        <v>0.13196037999999999</v>
      </c>
      <c r="P379">
        <v>14660.700199999999</v>
      </c>
      <c r="Q379">
        <v>27.28</v>
      </c>
      <c r="R379">
        <v>17.13</v>
      </c>
      <c r="S379">
        <v>80.03</v>
      </c>
      <c r="T379">
        <v>9</v>
      </c>
      <c r="U379" s="1" t="s">
        <v>29</v>
      </c>
      <c r="V379">
        <v>2.86</v>
      </c>
    </row>
    <row r="380" spans="1:22" x14ac:dyDescent="0.3">
      <c r="A380" s="2">
        <v>44296</v>
      </c>
      <c r="B380">
        <v>36000</v>
      </c>
      <c r="C380">
        <v>465</v>
      </c>
      <c r="D380">
        <v>4</v>
      </c>
      <c r="E380" s="1" t="s">
        <v>43</v>
      </c>
      <c r="F380">
        <v>5</v>
      </c>
      <c r="G380" s="1" t="s">
        <v>23</v>
      </c>
      <c r="J380">
        <v>36000</v>
      </c>
      <c r="M380">
        <v>0</v>
      </c>
      <c r="N380">
        <v>117.9939</v>
      </c>
      <c r="O380">
        <v>0.13196037999999999</v>
      </c>
      <c r="P380">
        <v>14660.700199999999</v>
      </c>
      <c r="Q380">
        <v>26.61</v>
      </c>
      <c r="R380">
        <v>21.42</v>
      </c>
      <c r="S380">
        <v>82.51</v>
      </c>
      <c r="T380">
        <v>10</v>
      </c>
      <c r="U380" s="1" t="s">
        <v>29</v>
      </c>
      <c r="V380">
        <v>2.86</v>
      </c>
    </row>
    <row r="381" spans="1:22" x14ac:dyDescent="0.3">
      <c r="A381" s="2">
        <v>44297</v>
      </c>
      <c r="B381">
        <v>36000</v>
      </c>
      <c r="C381">
        <v>466</v>
      </c>
      <c r="D381">
        <v>4</v>
      </c>
      <c r="E381" s="1" t="s">
        <v>43</v>
      </c>
      <c r="F381">
        <v>6</v>
      </c>
      <c r="G381" s="1" t="s">
        <v>23</v>
      </c>
      <c r="H381">
        <v>35571.428571428572</v>
      </c>
      <c r="J381">
        <v>36000</v>
      </c>
      <c r="L381">
        <v>38000</v>
      </c>
      <c r="M381">
        <v>0</v>
      </c>
      <c r="N381">
        <v>117.9939</v>
      </c>
      <c r="O381">
        <v>0.13196037999999999</v>
      </c>
      <c r="P381">
        <v>14660.700199999999</v>
      </c>
      <c r="Q381">
        <v>26.7</v>
      </c>
      <c r="R381">
        <v>3.87</v>
      </c>
      <c r="S381">
        <v>80.87</v>
      </c>
      <c r="T381">
        <v>11</v>
      </c>
      <c r="U381" s="1" t="s">
        <v>29</v>
      </c>
      <c r="V381">
        <v>2.86</v>
      </c>
    </row>
    <row r="382" spans="1:22" x14ac:dyDescent="0.3">
      <c r="A382" s="2">
        <v>44298</v>
      </c>
      <c r="B382">
        <v>37000</v>
      </c>
      <c r="C382">
        <v>467</v>
      </c>
      <c r="D382">
        <v>4</v>
      </c>
      <c r="E382" s="1" t="s">
        <v>43</v>
      </c>
      <c r="F382">
        <v>0</v>
      </c>
      <c r="G382" s="1" t="s">
        <v>23</v>
      </c>
      <c r="H382">
        <v>35785.714285714283</v>
      </c>
      <c r="J382">
        <v>36000</v>
      </c>
      <c r="K382">
        <v>35500</v>
      </c>
      <c r="L382">
        <v>38000</v>
      </c>
      <c r="M382">
        <v>1000</v>
      </c>
      <c r="N382">
        <v>117.9939</v>
      </c>
      <c r="O382">
        <v>0.13196037999999999</v>
      </c>
      <c r="P382">
        <v>14558</v>
      </c>
      <c r="Q382">
        <v>26.61</v>
      </c>
      <c r="R382">
        <v>9.9700000000000006</v>
      </c>
      <c r="S382">
        <v>84.84</v>
      </c>
      <c r="T382">
        <v>12</v>
      </c>
      <c r="U382" s="1" t="s">
        <v>29</v>
      </c>
      <c r="V382">
        <v>2.78</v>
      </c>
    </row>
    <row r="383" spans="1:22" x14ac:dyDescent="0.3">
      <c r="A383" s="2">
        <v>44299</v>
      </c>
      <c r="B383">
        <v>37000</v>
      </c>
      <c r="C383">
        <v>468</v>
      </c>
      <c r="D383">
        <v>4</v>
      </c>
      <c r="E383" s="1" t="s">
        <v>43</v>
      </c>
      <c r="F383">
        <v>1</v>
      </c>
      <c r="G383" s="1" t="s">
        <v>23</v>
      </c>
      <c r="H383">
        <v>36000</v>
      </c>
      <c r="J383">
        <v>37000</v>
      </c>
      <c r="K383">
        <v>35500</v>
      </c>
      <c r="L383">
        <v>38000</v>
      </c>
      <c r="M383">
        <v>0</v>
      </c>
      <c r="N383">
        <v>117.9939</v>
      </c>
      <c r="O383">
        <v>0.13196037999999999</v>
      </c>
      <c r="P383">
        <v>14611.900390000001</v>
      </c>
      <c r="Q383">
        <v>26.69</v>
      </c>
      <c r="R383">
        <v>8.4</v>
      </c>
      <c r="S383">
        <v>81.58</v>
      </c>
      <c r="T383">
        <v>13</v>
      </c>
      <c r="U383" s="1" t="s">
        <v>25</v>
      </c>
      <c r="V383">
        <v>0</v>
      </c>
    </row>
    <row r="384" spans="1:22" x14ac:dyDescent="0.3">
      <c r="A384" s="2">
        <v>44300</v>
      </c>
      <c r="B384">
        <v>37000</v>
      </c>
      <c r="C384">
        <v>469</v>
      </c>
      <c r="D384">
        <v>4</v>
      </c>
      <c r="E384" s="1" t="s">
        <v>43</v>
      </c>
      <c r="F384">
        <v>2</v>
      </c>
      <c r="G384" s="1" t="s">
        <v>23</v>
      </c>
      <c r="H384">
        <v>36285.714285714283</v>
      </c>
      <c r="J384">
        <v>37000</v>
      </c>
      <c r="K384">
        <v>35000</v>
      </c>
      <c r="L384">
        <v>39000</v>
      </c>
      <c r="M384">
        <v>0</v>
      </c>
      <c r="N384">
        <v>117.9939</v>
      </c>
      <c r="O384">
        <v>0.13196037999999999</v>
      </c>
      <c r="P384">
        <v>14621.099609999999</v>
      </c>
      <c r="Q384">
        <v>27.38</v>
      </c>
      <c r="R384">
        <v>6.89</v>
      </c>
      <c r="S384">
        <v>80.319999999999993</v>
      </c>
      <c r="T384">
        <v>14</v>
      </c>
      <c r="U384" s="1" t="s">
        <v>25</v>
      </c>
      <c r="V384">
        <v>0</v>
      </c>
    </row>
    <row r="385" spans="1:22" x14ac:dyDescent="0.3">
      <c r="A385" s="2">
        <v>44301</v>
      </c>
      <c r="B385">
        <v>37000</v>
      </c>
      <c r="C385">
        <v>470</v>
      </c>
      <c r="D385">
        <v>4</v>
      </c>
      <c r="E385" s="1" t="s">
        <v>43</v>
      </c>
      <c r="F385">
        <v>3</v>
      </c>
      <c r="G385" s="1" t="s">
        <v>23</v>
      </c>
      <c r="H385">
        <v>36571.428571428572</v>
      </c>
      <c r="J385">
        <v>37000</v>
      </c>
      <c r="K385">
        <v>35000</v>
      </c>
      <c r="L385">
        <v>39000</v>
      </c>
      <c r="M385">
        <v>0</v>
      </c>
      <c r="N385">
        <v>117.9939</v>
      </c>
      <c r="O385">
        <v>0.13196037999999999</v>
      </c>
      <c r="P385">
        <v>14673.799800000001</v>
      </c>
      <c r="Q385">
        <v>27.19</v>
      </c>
      <c r="R385">
        <v>8.9</v>
      </c>
      <c r="S385">
        <v>81.99</v>
      </c>
      <c r="T385">
        <v>15</v>
      </c>
      <c r="U385" s="1" t="s">
        <v>25</v>
      </c>
      <c r="V385">
        <v>0</v>
      </c>
    </row>
    <row r="386" spans="1:22" x14ac:dyDescent="0.3">
      <c r="A386" s="2">
        <v>44302</v>
      </c>
      <c r="B386">
        <v>37000</v>
      </c>
      <c r="C386">
        <v>471</v>
      </c>
      <c r="D386">
        <v>4</v>
      </c>
      <c r="E386" s="1" t="s">
        <v>43</v>
      </c>
      <c r="F386">
        <v>4</v>
      </c>
      <c r="G386" s="1" t="s">
        <v>23</v>
      </c>
      <c r="H386">
        <v>36714.285714285717</v>
      </c>
      <c r="J386">
        <v>37000</v>
      </c>
      <c r="K386">
        <v>36000</v>
      </c>
      <c r="L386">
        <v>37000</v>
      </c>
      <c r="M386">
        <v>0</v>
      </c>
      <c r="N386">
        <v>117.9939</v>
      </c>
      <c r="O386">
        <v>0.13196037999999999</v>
      </c>
      <c r="P386">
        <v>14616</v>
      </c>
      <c r="Q386">
        <v>27.09</v>
      </c>
      <c r="R386">
        <v>16.93</v>
      </c>
      <c r="S386">
        <v>81.72</v>
      </c>
      <c r="T386">
        <v>16</v>
      </c>
      <c r="U386" s="1" t="s">
        <v>25</v>
      </c>
      <c r="V386">
        <v>0</v>
      </c>
    </row>
    <row r="387" spans="1:22" x14ac:dyDescent="0.3">
      <c r="A387" s="2">
        <v>44305</v>
      </c>
      <c r="B387">
        <v>36000</v>
      </c>
      <c r="C387">
        <v>474</v>
      </c>
      <c r="D387">
        <v>4</v>
      </c>
      <c r="E387" s="1" t="s">
        <v>43</v>
      </c>
      <c r="F387">
        <v>0</v>
      </c>
      <c r="G387" s="1" t="s">
        <v>23</v>
      </c>
      <c r="K387">
        <v>37000</v>
      </c>
      <c r="N387">
        <v>117.9939</v>
      </c>
      <c r="O387">
        <v>0.13196037999999999</v>
      </c>
      <c r="P387">
        <v>14558</v>
      </c>
      <c r="Q387">
        <v>27.42</v>
      </c>
      <c r="R387">
        <v>4.8600000000000003</v>
      </c>
      <c r="S387">
        <v>77.64</v>
      </c>
      <c r="T387">
        <v>19</v>
      </c>
      <c r="U387" s="1"/>
      <c r="V387">
        <v>0</v>
      </c>
    </row>
    <row r="388" spans="1:22" x14ac:dyDescent="0.3">
      <c r="A388" s="2">
        <v>44306</v>
      </c>
      <c r="B388">
        <v>35750</v>
      </c>
      <c r="C388">
        <v>475</v>
      </c>
      <c r="D388">
        <v>4</v>
      </c>
      <c r="E388" s="1" t="s">
        <v>43</v>
      </c>
      <c r="F388">
        <v>1</v>
      </c>
      <c r="G388" s="1" t="s">
        <v>23</v>
      </c>
      <c r="J388">
        <v>36000</v>
      </c>
      <c r="K388">
        <v>37000</v>
      </c>
      <c r="M388">
        <v>-250</v>
      </c>
      <c r="N388">
        <v>117.9939</v>
      </c>
      <c r="O388">
        <v>0.13196037999999999</v>
      </c>
      <c r="P388">
        <v>14570</v>
      </c>
      <c r="Q388">
        <v>27.98</v>
      </c>
      <c r="R388">
        <v>0.77</v>
      </c>
      <c r="S388">
        <v>75.64</v>
      </c>
      <c r="T388">
        <v>20</v>
      </c>
      <c r="U388" s="1" t="s">
        <v>35</v>
      </c>
      <c r="V388">
        <v>-0.69</v>
      </c>
    </row>
    <row r="389" spans="1:22" x14ac:dyDescent="0.3">
      <c r="A389" s="2">
        <v>44307</v>
      </c>
      <c r="B389">
        <v>35750</v>
      </c>
      <c r="C389">
        <v>476</v>
      </c>
      <c r="D389">
        <v>4</v>
      </c>
      <c r="E389" s="1" t="s">
        <v>43</v>
      </c>
      <c r="F389">
        <v>2</v>
      </c>
      <c r="G389" s="1" t="s">
        <v>23</v>
      </c>
      <c r="J389">
        <v>35750</v>
      </c>
      <c r="K389">
        <v>37000</v>
      </c>
      <c r="L389">
        <v>39500</v>
      </c>
      <c r="M389">
        <v>0</v>
      </c>
      <c r="N389">
        <v>117.9939</v>
      </c>
      <c r="O389">
        <v>0.13196037999999999</v>
      </c>
      <c r="P389">
        <v>14543.200199999999</v>
      </c>
      <c r="Q389">
        <v>27.97</v>
      </c>
      <c r="R389">
        <v>1.78</v>
      </c>
      <c r="S389">
        <v>77.900000000000006</v>
      </c>
      <c r="T389">
        <v>21</v>
      </c>
      <c r="U389" s="1" t="s">
        <v>25</v>
      </c>
      <c r="V389">
        <v>0</v>
      </c>
    </row>
    <row r="390" spans="1:22" x14ac:dyDescent="0.3">
      <c r="A390" s="2">
        <v>44308</v>
      </c>
      <c r="B390">
        <v>35750</v>
      </c>
      <c r="C390">
        <v>477</v>
      </c>
      <c r="D390">
        <v>4</v>
      </c>
      <c r="E390" s="1" t="s">
        <v>43</v>
      </c>
      <c r="F390">
        <v>3</v>
      </c>
      <c r="G390" s="1" t="s">
        <v>23</v>
      </c>
      <c r="J390">
        <v>35750</v>
      </c>
      <c r="K390">
        <v>37000</v>
      </c>
      <c r="L390">
        <v>38000</v>
      </c>
      <c r="M390">
        <v>0</v>
      </c>
      <c r="N390">
        <v>117.9939</v>
      </c>
      <c r="O390">
        <v>0.13196037999999999</v>
      </c>
      <c r="P390">
        <v>14564.200199999999</v>
      </c>
      <c r="Q390">
        <v>27.88</v>
      </c>
      <c r="R390">
        <v>1.22</v>
      </c>
      <c r="S390">
        <v>78.02</v>
      </c>
      <c r="T390">
        <v>22</v>
      </c>
      <c r="U390" s="1" t="s">
        <v>25</v>
      </c>
      <c r="V390">
        <v>0</v>
      </c>
    </row>
    <row r="391" spans="1:22" x14ac:dyDescent="0.3">
      <c r="A391" s="2">
        <v>44309</v>
      </c>
      <c r="B391">
        <v>35000</v>
      </c>
      <c r="C391">
        <v>478</v>
      </c>
      <c r="D391">
        <v>4</v>
      </c>
      <c r="E391" s="1" t="s">
        <v>43</v>
      </c>
      <c r="F391">
        <v>4</v>
      </c>
      <c r="G391" s="1" t="s">
        <v>23</v>
      </c>
      <c r="J391">
        <v>35750</v>
      </c>
      <c r="K391">
        <v>37000</v>
      </c>
      <c r="L391">
        <v>38500</v>
      </c>
      <c r="M391">
        <v>-750</v>
      </c>
      <c r="N391">
        <v>117.9939</v>
      </c>
      <c r="O391">
        <v>0.13196037999999999</v>
      </c>
      <c r="P391">
        <v>14606.599609999999</v>
      </c>
      <c r="Q391">
        <v>27.66</v>
      </c>
      <c r="R391">
        <v>2.73</v>
      </c>
      <c r="S391">
        <v>79.7</v>
      </c>
      <c r="T391">
        <v>23</v>
      </c>
      <c r="U391" s="1" t="s">
        <v>42</v>
      </c>
      <c r="V391">
        <v>-2.1</v>
      </c>
    </row>
    <row r="392" spans="1:22" x14ac:dyDescent="0.3">
      <c r="A392" s="2">
        <v>44312</v>
      </c>
      <c r="B392">
        <v>34250</v>
      </c>
      <c r="C392">
        <v>481</v>
      </c>
      <c r="D392">
        <v>4</v>
      </c>
      <c r="E392" s="1" t="s">
        <v>43</v>
      </c>
      <c r="F392">
        <v>0</v>
      </c>
      <c r="G392" s="1" t="s">
        <v>23</v>
      </c>
      <c r="K392">
        <v>36000</v>
      </c>
      <c r="L392">
        <v>36500</v>
      </c>
      <c r="N392">
        <v>117.9939</v>
      </c>
      <c r="O392">
        <v>0.13196037999999999</v>
      </c>
      <c r="P392">
        <v>14518</v>
      </c>
      <c r="Q392">
        <v>27.34</v>
      </c>
      <c r="R392">
        <v>2.02</v>
      </c>
      <c r="S392">
        <v>79.709999999999994</v>
      </c>
      <c r="T392">
        <v>26</v>
      </c>
      <c r="U392" s="1" t="s">
        <v>42</v>
      </c>
      <c r="V392">
        <v>-2.14</v>
      </c>
    </row>
    <row r="393" spans="1:22" x14ac:dyDescent="0.3">
      <c r="A393" s="2">
        <v>44313</v>
      </c>
      <c r="B393">
        <v>34250</v>
      </c>
      <c r="C393">
        <v>482</v>
      </c>
      <c r="D393">
        <v>4</v>
      </c>
      <c r="E393" s="1" t="s">
        <v>43</v>
      </c>
      <c r="F393">
        <v>1</v>
      </c>
      <c r="G393" s="1" t="s">
        <v>23</v>
      </c>
      <c r="J393">
        <v>34250</v>
      </c>
      <c r="K393">
        <v>35750</v>
      </c>
      <c r="L393">
        <v>36500</v>
      </c>
      <c r="M393">
        <v>0</v>
      </c>
      <c r="N393">
        <v>117.9939</v>
      </c>
      <c r="O393">
        <v>0.13196037999999999</v>
      </c>
      <c r="P393">
        <v>14459.599609999999</v>
      </c>
      <c r="Q393">
        <v>27.43</v>
      </c>
      <c r="R393">
        <v>4.71</v>
      </c>
      <c r="S393">
        <v>80.11</v>
      </c>
      <c r="T393">
        <v>27</v>
      </c>
      <c r="U393" s="1" t="s">
        <v>25</v>
      </c>
      <c r="V393">
        <v>0</v>
      </c>
    </row>
    <row r="394" spans="1:22" x14ac:dyDescent="0.3">
      <c r="A394" s="2">
        <v>44314</v>
      </c>
      <c r="B394">
        <v>33500</v>
      </c>
      <c r="C394">
        <v>483</v>
      </c>
      <c r="D394">
        <v>4</v>
      </c>
      <c r="E394" s="1" t="s">
        <v>43</v>
      </c>
      <c r="F394">
        <v>2</v>
      </c>
      <c r="G394" s="1" t="s">
        <v>23</v>
      </c>
      <c r="J394">
        <v>34250</v>
      </c>
      <c r="K394">
        <v>35750</v>
      </c>
      <c r="L394">
        <v>36250</v>
      </c>
      <c r="M394">
        <v>-750</v>
      </c>
      <c r="N394">
        <v>117.9939</v>
      </c>
      <c r="O394">
        <v>0.13196037999999999</v>
      </c>
      <c r="P394">
        <v>14516.400390000001</v>
      </c>
      <c r="Q394">
        <v>26.95</v>
      </c>
      <c r="R394">
        <v>2.21</v>
      </c>
      <c r="S394">
        <v>81.83</v>
      </c>
      <c r="T394">
        <v>28</v>
      </c>
      <c r="U394" s="1" t="s">
        <v>42</v>
      </c>
      <c r="V394">
        <v>-2.19</v>
      </c>
    </row>
    <row r="395" spans="1:22" x14ac:dyDescent="0.3">
      <c r="A395" s="2">
        <v>44315</v>
      </c>
      <c r="B395">
        <v>33500</v>
      </c>
      <c r="C395">
        <v>484</v>
      </c>
      <c r="D395">
        <v>4</v>
      </c>
      <c r="E395" s="1" t="s">
        <v>43</v>
      </c>
      <c r="F395">
        <v>3</v>
      </c>
      <c r="G395" s="1" t="s">
        <v>23</v>
      </c>
      <c r="J395">
        <v>33500</v>
      </c>
      <c r="K395">
        <v>35750</v>
      </c>
      <c r="L395">
        <v>36500</v>
      </c>
      <c r="M395">
        <v>0</v>
      </c>
      <c r="N395">
        <v>117.9939</v>
      </c>
      <c r="O395">
        <v>0.13196037999999999</v>
      </c>
      <c r="P395">
        <v>14519</v>
      </c>
      <c r="Q395">
        <v>27.01</v>
      </c>
      <c r="R395">
        <v>13.74</v>
      </c>
      <c r="S395">
        <v>81.180000000000007</v>
      </c>
      <c r="T395">
        <v>29</v>
      </c>
      <c r="U395" s="1" t="s">
        <v>25</v>
      </c>
      <c r="V395">
        <v>0</v>
      </c>
    </row>
    <row r="396" spans="1:22" x14ac:dyDescent="0.3">
      <c r="A396" s="2">
        <v>44316</v>
      </c>
      <c r="B396">
        <v>34000</v>
      </c>
      <c r="C396">
        <v>485</v>
      </c>
      <c r="D396">
        <v>4</v>
      </c>
      <c r="E396" s="1" t="s">
        <v>43</v>
      </c>
      <c r="F396">
        <v>4</v>
      </c>
      <c r="G396" s="1" t="s">
        <v>23</v>
      </c>
      <c r="J396">
        <v>33500</v>
      </c>
      <c r="K396">
        <v>35000</v>
      </c>
      <c r="L396">
        <v>36500</v>
      </c>
      <c r="M396">
        <v>500</v>
      </c>
      <c r="N396">
        <v>117.9939</v>
      </c>
      <c r="O396">
        <v>0.13196037999999999</v>
      </c>
      <c r="P396">
        <v>14439.700199999999</v>
      </c>
      <c r="Q396">
        <v>27.31</v>
      </c>
      <c r="R396">
        <v>4.97</v>
      </c>
      <c r="S396">
        <v>81.319999999999993</v>
      </c>
      <c r="T396">
        <v>30</v>
      </c>
      <c r="U396" s="1" t="s">
        <v>26</v>
      </c>
      <c r="V396">
        <v>1.49</v>
      </c>
    </row>
    <row r="397" spans="1:22" x14ac:dyDescent="0.3">
      <c r="A397" s="2">
        <v>44317</v>
      </c>
      <c r="B397">
        <v>34000</v>
      </c>
      <c r="C397">
        <v>486</v>
      </c>
      <c r="D397">
        <v>5</v>
      </c>
      <c r="E397" s="1" t="s">
        <v>43</v>
      </c>
      <c r="F397">
        <v>5</v>
      </c>
      <c r="G397" s="1" t="s">
        <v>44</v>
      </c>
      <c r="J397">
        <v>34000</v>
      </c>
      <c r="L397">
        <v>35500</v>
      </c>
      <c r="M397">
        <v>0</v>
      </c>
      <c r="N397">
        <v>118.37130000000001</v>
      </c>
      <c r="O397">
        <v>0.319847043</v>
      </c>
      <c r="P397">
        <v>14439.700199999999</v>
      </c>
      <c r="Q397">
        <v>27.06</v>
      </c>
      <c r="R397">
        <v>5.49</v>
      </c>
      <c r="S397">
        <v>80.78</v>
      </c>
      <c r="T397">
        <v>1</v>
      </c>
      <c r="U397" s="1" t="s">
        <v>26</v>
      </c>
      <c r="V397">
        <v>1.49</v>
      </c>
    </row>
    <row r="398" spans="1:22" x14ac:dyDescent="0.3">
      <c r="A398" s="2">
        <v>44318</v>
      </c>
      <c r="B398">
        <v>34000</v>
      </c>
      <c r="C398">
        <v>487</v>
      </c>
      <c r="D398">
        <v>5</v>
      </c>
      <c r="E398" s="1" t="s">
        <v>43</v>
      </c>
      <c r="F398">
        <v>6</v>
      </c>
      <c r="G398" s="1" t="s">
        <v>23</v>
      </c>
      <c r="H398">
        <v>33928.571428571428</v>
      </c>
      <c r="J398">
        <v>34000</v>
      </c>
      <c r="M398">
        <v>0</v>
      </c>
      <c r="N398">
        <v>118.37130000000001</v>
      </c>
      <c r="O398">
        <v>0.319847043</v>
      </c>
      <c r="P398">
        <v>14439.700199999999</v>
      </c>
      <c r="Q398">
        <v>27.03</v>
      </c>
      <c r="R398">
        <v>2.76</v>
      </c>
      <c r="S398">
        <v>74.75</v>
      </c>
      <c r="T398">
        <v>2</v>
      </c>
      <c r="U398" s="1" t="s">
        <v>26</v>
      </c>
      <c r="V398">
        <v>1.49</v>
      </c>
    </row>
    <row r="399" spans="1:22" x14ac:dyDescent="0.3">
      <c r="A399" s="2">
        <v>44319</v>
      </c>
      <c r="B399">
        <v>33750</v>
      </c>
      <c r="C399">
        <v>488</v>
      </c>
      <c r="D399">
        <v>5</v>
      </c>
      <c r="E399" s="1" t="s">
        <v>43</v>
      </c>
      <c r="F399">
        <v>0</v>
      </c>
      <c r="G399" s="1" t="s">
        <v>23</v>
      </c>
      <c r="H399">
        <v>33857.142857142855</v>
      </c>
      <c r="J399">
        <v>34000</v>
      </c>
      <c r="K399">
        <v>34250</v>
      </c>
      <c r="M399">
        <v>-250</v>
      </c>
      <c r="N399">
        <v>118.37130000000001</v>
      </c>
      <c r="O399">
        <v>0.319847043</v>
      </c>
      <c r="P399">
        <v>14438</v>
      </c>
      <c r="Q399">
        <v>27.24</v>
      </c>
      <c r="R399">
        <v>4.9000000000000004</v>
      </c>
      <c r="S399">
        <v>79.3</v>
      </c>
      <c r="T399">
        <v>3</v>
      </c>
      <c r="U399" s="1" t="s">
        <v>35</v>
      </c>
      <c r="V399">
        <v>-0.74</v>
      </c>
    </row>
    <row r="400" spans="1:22" x14ac:dyDescent="0.3">
      <c r="A400" s="2">
        <v>44320</v>
      </c>
      <c r="B400">
        <v>32000</v>
      </c>
      <c r="C400">
        <v>489</v>
      </c>
      <c r="D400">
        <v>5</v>
      </c>
      <c r="E400" s="1" t="s">
        <v>43</v>
      </c>
      <c r="F400">
        <v>1</v>
      </c>
      <c r="G400" s="1" t="s">
        <v>23</v>
      </c>
      <c r="H400">
        <v>33535.714285714283</v>
      </c>
      <c r="J400">
        <v>33750</v>
      </c>
      <c r="K400">
        <v>34250</v>
      </c>
      <c r="M400">
        <v>-1750</v>
      </c>
      <c r="N400">
        <v>118.37130000000001</v>
      </c>
      <c r="O400">
        <v>0.319847043</v>
      </c>
      <c r="P400">
        <v>14399.099609999999</v>
      </c>
      <c r="Q400">
        <v>27.31</v>
      </c>
      <c r="R400">
        <v>2.79</v>
      </c>
      <c r="S400">
        <v>81.05</v>
      </c>
      <c r="T400">
        <v>4</v>
      </c>
      <c r="U400" s="1" t="s">
        <v>54</v>
      </c>
      <c r="V400">
        <v>-5.19</v>
      </c>
    </row>
    <row r="401" spans="1:22" x14ac:dyDescent="0.3">
      <c r="A401" s="2">
        <v>44321</v>
      </c>
      <c r="B401">
        <v>32500</v>
      </c>
      <c r="C401">
        <v>490</v>
      </c>
      <c r="D401">
        <v>5</v>
      </c>
      <c r="E401" s="1" t="s">
        <v>43</v>
      </c>
      <c r="F401">
        <v>2</v>
      </c>
      <c r="G401" s="1" t="s">
        <v>23</v>
      </c>
      <c r="H401">
        <v>33392.857142857145</v>
      </c>
      <c r="J401">
        <v>32000</v>
      </c>
      <c r="K401">
        <v>33500</v>
      </c>
      <c r="L401">
        <v>35500</v>
      </c>
      <c r="M401">
        <v>500</v>
      </c>
      <c r="N401">
        <v>118.37130000000001</v>
      </c>
      <c r="O401">
        <v>0.319847043</v>
      </c>
      <c r="P401">
        <v>14482.5</v>
      </c>
      <c r="Q401">
        <v>27.12</v>
      </c>
      <c r="R401">
        <v>3.31</v>
      </c>
      <c r="S401">
        <v>85.57</v>
      </c>
      <c r="T401">
        <v>5</v>
      </c>
      <c r="U401" s="1" t="s">
        <v>26</v>
      </c>
      <c r="V401">
        <v>1.56</v>
      </c>
    </row>
    <row r="402" spans="1:22" x14ac:dyDescent="0.3">
      <c r="A402" s="2">
        <v>44322</v>
      </c>
      <c r="B402">
        <v>32500</v>
      </c>
      <c r="C402">
        <v>491</v>
      </c>
      <c r="D402">
        <v>5</v>
      </c>
      <c r="E402" s="1" t="s">
        <v>43</v>
      </c>
      <c r="F402">
        <v>3</v>
      </c>
      <c r="G402" s="1" t="s">
        <v>23</v>
      </c>
      <c r="H402">
        <v>33250</v>
      </c>
      <c r="J402">
        <v>32500</v>
      </c>
      <c r="K402">
        <v>33500</v>
      </c>
      <c r="L402">
        <v>35500</v>
      </c>
      <c r="M402">
        <v>0</v>
      </c>
      <c r="N402">
        <v>118.37130000000001</v>
      </c>
      <c r="O402">
        <v>0.319847043</v>
      </c>
      <c r="P402">
        <v>14399.5</v>
      </c>
      <c r="Q402">
        <v>27.2</v>
      </c>
      <c r="R402">
        <v>12.57</v>
      </c>
      <c r="S402">
        <v>82.91</v>
      </c>
      <c r="T402">
        <v>6</v>
      </c>
      <c r="U402" s="1" t="s">
        <v>25</v>
      </c>
      <c r="V402">
        <v>0</v>
      </c>
    </row>
    <row r="403" spans="1:22" x14ac:dyDescent="0.3">
      <c r="A403" s="2">
        <v>44323</v>
      </c>
      <c r="B403">
        <v>32500</v>
      </c>
      <c r="C403">
        <v>492</v>
      </c>
      <c r="D403">
        <v>5</v>
      </c>
      <c r="E403" s="1" t="s">
        <v>43</v>
      </c>
      <c r="F403">
        <v>4</v>
      </c>
      <c r="G403" s="1" t="s">
        <v>23</v>
      </c>
      <c r="H403">
        <v>33035.714285714283</v>
      </c>
      <c r="J403">
        <v>32500</v>
      </c>
      <c r="K403">
        <v>34000</v>
      </c>
      <c r="L403">
        <v>35000</v>
      </c>
      <c r="M403">
        <v>0</v>
      </c>
      <c r="N403">
        <v>118.37130000000001</v>
      </c>
      <c r="O403">
        <v>0.319847043</v>
      </c>
      <c r="P403">
        <v>14283.799800000001</v>
      </c>
      <c r="Q403">
        <v>27.04</v>
      </c>
      <c r="R403">
        <v>11.22</v>
      </c>
      <c r="S403">
        <v>83.86</v>
      </c>
      <c r="T403">
        <v>7</v>
      </c>
      <c r="U403" s="1" t="s">
        <v>25</v>
      </c>
      <c r="V403">
        <v>0</v>
      </c>
    </row>
    <row r="404" spans="1:22" x14ac:dyDescent="0.3">
      <c r="A404" s="2">
        <v>44324</v>
      </c>
      <c r="B404">
        <v>32500</v>
      </c>
      <c r="C404">
        <v>493</v>
      </c>
      <c r="D404">
        <v>5</v>
      </c>
      <c r="E404" s="1" t="s">
        <v>43</v>
      </c>
      <c r="F404">
        <v>5</v>
      </c>
      <c r="G404" s="1" t="s">
        <v>23</v>
      </c>
      <c r="H404">
        <v>32821.428571428572</v>
      </c>
      <c r="J404">
        <v>32500</v>
      </c>
      <c r="K404">
        <v>34000</v>
      </c>
      <c r="L404">
        <v>35000</v>
      </c>
      <c r="M404">
        <v>0</v>
      </c>
      <c r="N404">
        <v>118.37130000000001</v>
      </c>
      <c r="O404">
        <v>0.319847043</v>
      </c>
      <c r="P404">
        <v>14283.799800000001</v>
      </c>
      <c r="Q404">
        <v>26.71</v>
      </c>
      <c r="R404">
        <v>28.54</v>
      </c>
      <c r="S404">
        <v>84</v>
      </c>
      <c r="T404">
        <v>8</v>
      </c>
      <c r="U404" s="1" t="s">
        <v>25</v>
      </c>
      <c r="V404">
        <v>0</v>
      </c>
    </row>
    <row r="405" spans="1:22" x14ac:dyDescent="0.3">
      <c r="A405" s="2">
        <v>44325</v>
      </c>
      <c r="B405">
        <v>32500</v>
      </c>
      <c r="C405">
        <v>494</v>
      </c>
      <c r="D405">
        <v>5</v>
      </c>
      <c r="E405" s="1" t="s">
        <v>43</v>
      </c>
      <c r="F405">
        <v>6</v>
      </c>
      <c r="G405" s="1" t="s">
        <v>23</v>
      </c>
      <c r="H405">
        <v>32607.142857142859</v>
      </c>
      <c r="J405">
        <v>32500</v>
      </c>
      <c r="K405">
        <v>34000</v>
      </c>
      <c r="L405">
        <v>36000</v>
      </c>
      <c r="M405">
        <v>0</v>
      </c>
      <c r="N405">
        <v>118.37130000000001</v>
      </c>
      <c r="O405">
        <v>0.319847043</v>
      </c>
      <c r="P405">
        <v>14283.799800000001</v>
      </c>
      <c r="Q405">
        <v>27.09</v>
      </c>
      <c r="R405">
        <v>4.53</v>
      </c>
      <c r="S405">
        <v>79.03</v>
      </c>
      <c r="T405">
        <v>9</v>
      </c>
      <c r="U405" s="1" t="s">
        <v>25</v>
      </c>
      <c r="V405">
        <v>0</v>
      </c>
    </row>
    <row r="406" spans="1:22" x14ac:dyDescent="0.3">
      <c r="A406" s="2">
        <v>44326</v>
      </c>
      <c r="B406">
        <v>32500</v>
      </c>
      <c r="C406">
        <v>495</v>
      </c>
      <c r="D406">
        <v>5</v>
      </c>
      <c r="E406" s="1" t="s">
        <v>43</v>
      </c>
      <c r="F406">
        <v>0</v>
      </c>
      <c r="G406" s="1" t="s">
        <v>23</v>
      </c>
      <c r="H406">
        <v>32428.571428571428</v>
      </c>
      <c r="J406">
        <v>32500</v>
      </c>
      <c r="K406">
        <v>33750</v>
      </c>
      <c r="L406">
        <v>36000</v>
      </c>
      <c r="M406">
        <v>0</v>
      </c>
      <c r="N406">
        <v>118.37130000000001</v>
      </c>
      <c r="O406">
        <v>0.319847043</v>
      </c>
      <c r="P406">
        <v>14278</v>
      </c>
      <c r="Q406">
        <v>27.48</v>
      </c>
      <c r="R406">
        <v>0.96</v>
      </c>
      <c r="S406">
        <v>79.05</v>
      </c>
      <c r="T406">
        <v>10</v>
      </c>
      <c r="U406" s="1" t="s">
        <v>25</v>
      </c>
      <c r="V406">
        <v>0</v>
      </c>
    </row>
    <row r="407" spans="1:22" x14ac:dyDescent="0.3">
      <c r="A407" s="2">
        <v>44327</v>
      </c>
      <c r="B407">
        <v>32000</v>
      </c>
      <c r="C407">
        <v>496</v>
      </c>
      <c r="D407">
        <v>5</v>
      </c>
      <c r="E407" s="1" t="s">
        <v>43</v>
      </c>
      <c r="F407">
        <v>1</v>
      </c>
      <c r="G407" s="1" t="s">
        <v>23</v>
      </c>
      <c r="H407">
        <v>32428.571428571428</v>
      </c>
      <c r="J407">
        <v>32500</v>
      </c>
      <c r="K407">
        <v>32000</v>
      </c>
      <c r="L407">
        <v>36000</v>
      </c>
      <c r="M407">
        <v>-500</v>
      </c>
      <c r="N407">
        <v>118.37130000000001</v>
      </c>
      <c r="O407">
        <v>0.319847043</v>
      </c>
      <c r="P407">
        <v>14189.599609999999</v>
      </c>
      <c r="Q407">
        <v>27.21</v>
      </c>
      <c r="R407">
        <v>3.04</v>
      </c>
      <c r="S407">
        <v>84.22</v>
      </c>
      <c r="T407">
        <v>11</v>
      </c>
      <c r="U407" s="1" t="s">
        <v>24</v>
      </c>
      <c r="V407">
        <v>-1.54</v>
      </c>
    </row>
    <row r="408" spans="1:22" x14ac:dyDescent="0.3">
      <c r="A408" s="2">
        <v>44333</v>
      </c>
      <c r="B408">
        <v>33750</v>
      </c>
      <c r="C408">
        <v>502</v>
      </c>
      <c r="D408">
        <v>5</v>
      </c>
      <c r="E408" s="1" t="s">
        <v>43</v>
      </c>
      <c r="F408">
        <v>0</v>
      </c>
      <c r="G408" s="1" t="s">
        <v>23</v>
      </c>
      <c r="K408">
        <v>32500</v>
      </c>
      <c r="N408">
        <v>118.37130000000001</v>
      </c>
      <c r="O408">
        <v>0.319847043</v>
      </c>
      <c r="P408">
        <v>14191</v>
      </c>
      <c r="Q408">
        <v>26.92</v>
      </c>
      <c r="R408">
        <v>58.66</v>
      </c>
      <c r="S408">
        <v>86.65</v>
      </c>
      <c r="T408">
        <v>17</v>
      </c>
      <c r="U408" s="1"/>
      <c r="V408">
        <v>0</v>
      </c>
    </row>
    <row r="409" spans="1:22" x14ac:dyDescent="0.3">
      <c r="A409" s="2">
        <v>44334</v>
      </c>
      <c r="B409">
        <v>35250</v>
      </c>
      <c r="C409">
        <v>503</v>
      </c>
      <c r="D409">
        <v>5</v>
      </c>
      <c r="E409" s="1" t="s">
        <v>43</v>
      </c>
      <c r="F409">
        <v>1</v>
      </c>
      <c r="G409" s="1" t="s">
        <v>23</v>
      </c>
      <c r="J409">
        <v>33750</v>
      </c>
      <c r="K409">
        <v>32000</v>
      </c>
      <c r="M409">
        <v>1500</v>
      </c>
      <c r="N409">
        <v>118.37130000000001</v>
      </c>
      <c r="O409">
        <v>0.319847043</v>
      </c>
      <c r="P409">
        <v>14344.5</v>
      </c>
      <c r="Q409">
        <v>26.33</v>
      </c>
      <c r="R409">
        <v>15.9</v>
      </c>
      <c r="S409">
        <v>87.89</v>
      </c>
      <c r="T409">
        <v>18</v>
      </c>
      <c r="U409" s="1" t="s">
        <v>31</v>
      </c>
      <c r="V409">
        <v>4.4400000000000004</v>
      </c>
    </row>
    <row r="410" spans="1:22" x14ac:dyDescent="0.3">
      <c r="A410" s="2">
        <v>44335</v>
      </c>
      <c r="B410">
        <v>35500</v>
      </c>
      <c r="C410">
        <v>504</v>
      </c>
      <c r="D410">
        <v>5</v>
      </c>
      <c r="E410" s="1" t="s">
        <v>43</v>
      </c>
      <c r="F410">
        <v>2</v>
      </c>
      <c r="G410" s="1" t="s">
        <v>23</v>
      </c>
      <c r="J410">
        <v>35250</v>
      </c>
      <c r="L410">
        <v>36000</v>
      </c>
      <c r="M410">
        <v>250</v>
      </c>
      <c r="N410">
        <v>118.37130000000001</v>
      </c>
      <c r="O410">
        <v>0.319847043</v>
      </c>
      <c r="P410">
        <v>14362.299800000001</v>
      </c>
      <c r="Q410">
        <v>26.44</v>
      </c>
      <c r="R410">
        <v>4.6100000000000003</v>
      </c>
      <c r="S410">
        <v>82.8</v>
      </c>
      <c r="T410">
        <v>19</v>
      </c>
      <c r="U410" s="1" t="s">
        <v>34</v>
      </c>
      <c r="V410">
        <v>0.71</v>
      </c>
    </row>
    <row r="411" spans="1:22" x14ac:dyDescent="0.3">
      <c r="A411" s="2">
        <v>44336</v>
      </c>
      <c r="B411">
        <v>36500</v>
      </c>
      <c r="C411">
        <v>505</v>
      </c>
      <c r="D411">
        <v>5</v>
      </c>
      <c r="E411" s="1" t="s">
        <v>43</v>
      </c>
      <c r="F411">
        <v>3</v>
      </c>
      <c r="G411" s="1" t="s">
        <v>23</v>
      </c>
      <c r="J411">
        <v>35500</v>
      </c>
      <c r="L411">
        <v>35750</v>
      </c>
      <c r="M411">
        <v>1000</v>
      </c>
      <c r="N411">
        <v>118.37130000000001</v>
      </c>
      <c r="O411">
        <v>0.319847043</v>
      </c>
      <c r="P411">
        <v>14389.700199999999</v>
      </c>
      <c r="Q411">
        <v>26.79</v>
      </c>
      <c r="R411">
        <v>12.36</v>
      </c>
      <c r="S411">
        <v>83.1</v>
      </c>
      <c r="T411">
        <v>20</v>
      </c>
      <c r="U411" s="1" t="s">
        <v>29</v>
      </c>
      <c r="V411">
        <v>2.82</v>
      </c>
    </row>
    <row r="412" spans="1:22" x14ac:dyDescent="0.3">
      <c r="A412" s="2">
        <v>44337</v>
      </c>
      <c r="B412">
        <v>36500</v>
      </c>
      <c r="C412">
        <v>506</v>
      </c>
      <c r="D412">
        <v>5</v>
      </c>
      <c r="E412" s="1" t="s">
        <v>43</v>
      </c>
      <c r="F412">
        <v>4</v>
      </c>
      <c r="G412" s="1" t="s">
        <v>23</v>
      </c>
      <c r="J412">
        <v>36500</v>
      </c>
      <c r="L412">
        <v>35750</v>
      </c>
      <c r="M412">
        <v>0</v>
      </c>
      <c r="N412">
        <v>118.37130000000001</v>
      </c>
      <c r="O412">
        <v>0.319847043</v>
      </c>
      <c r="P412">
        <v>14397.299800000001</v>
      </c>
      <c r="Q412">
        <v>26.42</v>
      </c>
      <c r="R412">
        <v>19.940000000000001</v>
      </c>
      <c r="S412">
        <v>82.84</v>
      </c>
      <c r="T412">
        <v>21</v>
      </c>
      <c r="U412" s="1" t="s">
        <v>25</v>
      </c>
      <c r="V412">
        <v>0</v>
      </c>
    </row>
    <row r="413" spans="1:22" x14ac:dyDescent="0.3">
      <c r="A413" s="2">
        <v>44338</v>
      </c>
      <c r="B413">
        <v>36500</v>
      </c>
      <c r="C413">
        <v>507</v>
      </c>
      <c r="D413">
        <v>5</v>
      </c>
      <c r="E413" s="1" t="s">
        <v>43</v>
      </c>
      <c r="F413">
        <v>5</v>
      </c>
      <c r="G413" s="1" t="s">
        <v>23</v>
      </c>
      <c r="J413">
        <v>36500</v>
      </c>
      <c r="L413">
        <v>35750</v>
      </c>
      <c r="M413">
        <v>0</v>
      </c>
      <c r="N413">
        <v>118.37130000000001</v>
      </c>
      <c r="O413">
        <v>0.319847043</v>
      </c>
      <c r="P413">
        <v>14397.299800000001</v>
      </c>
      <c r="Q413">
        <v>26.89</v>
      </c>
      <c r="R413">
        <v>4.68</v>
      </c>
      <c r="S413">
        <v>79.08</v>
      </c>
      <c r="T413">
        <v>22</v>
      </c>
      <c r="U413" s="1" t="s">
        <v>25</v>
      </c>
      <c r="V413">
        <v>0</v>
      </c>
    </row>
    <row r="414" spans="1:22" x14ac:dyDescent="0.3">
      <c r="A414" s="2">
        <v>44340</v>
      </c>
      <c r="B414">
        <v>38000</v>
      </c>
      <c r="C414">
        <v>509</v>
      </c>
      <c r="D414">
        <v>5</v>
      </c>
      <c r="E414" s="1" t="s">
        <v>43</v>
      </c>
      <c r="F414">
        <v>0</v>
      </c>
      <c r="G414" s="1" t="s">
        <v>23</v>
      </c>
      <c r="K414">
        <v>33750</v>
      </c>
      <c r="N414">
        <v>118.37130000000001</v>
      </c>
      <c r="O414">
        <v>0.319847043</v>
      </c>
      <c r="P414">
        <v>14348</v>
      </c>
      <c r="Q414">
        <v>27.57</v>
      </c>
      <c r="R414">
        <v>4.5999999999999996</v>
      </c>
      <c r="S414">
        <v>79.52</v>
      </c>
      <c r="T414">
        <v>24</v>
      </c>
      <c r="U414" s="1" t="s">
        <v>31</v>
      </c>
      <c r="V414">
        <v>4.1100000000000003</v>
      </c>
    </row>
    <row r="415" spans="1:22" x14ac:dyDescent="0.3">
      <c r="A415" s="2">
        <v>44341</v>
      </c>
      <c r="B415">
        <v>38000</v>
      </c>
      <c r="C415">
        <v>510</v>
      </c>
      <c r="D415">
        <v>5</v>
      </c>
      <c r="E415" s="1" t="s">
        <v>43</v>
      </c>
      <c r="F415">
        <v>1</v>
      </c>
      <c r="G415" s="1" t="s">
        <v>23</v>
      </c>
      <c r="J415">
        <v>38000</v>
      </c>
      <c r="K415">
        <v>35250</v>
      </c>
      <c r="M415">
        <v>0</v>
      </c>
      <c r="N415">
        <v>118.37130000000001</v>
      </c>
      <c r="O415">
        <v>0.319847043</v>
      </c>
      <c r="P415">
        <v>14365</v>
      </c>
      <c r="Q415">
        <v>27.68</v>
      </c>
      <c r="R415">
        <v>4.66</v>
      </c>
      <c r="S415">
        <v>80.67</v>
      </c>
      <c r="T415">
        <v>25</v>
      </c>
      <c r="U415" s="1" t="s">
        <v>25</v>
      </c>
      <c r="V415">
        <v>0</v>
      </c>
    </row>
    <row r="416" spans="1:22" x14ac:dyDescent="0.3">
      <c r="A416" s="2">
        <v>44343</v>
      </c>
      <c r="B416">
        <v>39000</v>
      </c>
      <c r="C416">
        <v>512</v>
      </c>
      <c r="D416">
        <v>5</v>
      </c>
      <c r="E416" s="1" t="s">
        <v>43</v>
      </c>
      <c r="F416">
        <v>3</v>
      </c>
      <c r="G416" s="1" t="s">
        <v>23</v>
      </c>
      <c r="K416">
        <v>36500</v>
      </c>
      <c r="L416">
        <v>34250</v>
      </c>
      <c r="N416">
        <v>118.37130000000001</v>
      </c>
      <c r="O416">
        <v>0.319847043</v>
      </c>
      <c r="P416">
        <v>14310</v>
      </c>
      <c r="Q416">
        <v>27.62</v>
      </c>
      <c r="R416">
        <v>2.06</v>
      </c>
      <c r="S416">
        <v>81.03</v>
      </c>
      <c r="T416">
        <v>27</v>
      </c>
      <c r="U416" s="1"/>
      <c r="V416">
        <v>0</v>
      </c>
    </row>
    <row r="417" spans="1:22" x14ac:dyDescent="0.3">
      <c r="A417" s="2">
        <v>44344</v>
      </c>
      <c r="B417">
        <v>37500</v>
      </c>
      <c r="C417">
        <v>513</v>
      </c>
      <c r="D417">
        <v>5</v>
      </c>
      <c r="E417" s="1" t="s">
        <v>43</v>
      </c>
      <c r="F417">
        <v>4</v>
      </c>
      <c r="G417" s="1" t="s">
        <v>23</v>
      </c>
      <c r="J417">
        <v>39000</v>
      </c>
      <c r="K417">
        <v>36500</v>
      </c>
      <c r="L417">
        <v>33500</v>
      </c>
      <c r="M417">
        <v>-1500</v>
      </c>
      <c r="N417">
        <v>118.37130000000001</v>
      </c>
      <c r="O417">
        <v>0.319847043</v>
      </c>
      <c r="P417">
        <v>14318</v>
      </c>
      <c r="Q417">
        <v>27.72</v>
      </c>
      <c r="R417">
        <v>4.3899999999999997</v>
      </c>
      <c r="S417">
        <v>82.52</v>
      </c>
      <c r="T417">
        <v>28</v>
      </c>
      <c r="U417" s="1" t="s">
        <v>37</v>
      </c>
      <c r="V417">
        <v>-3.85</v>
      </c>
    </row>
    <row r="418" spans="1:22" x14ac:dyDescent="0.3">
      <c r="A418" s="2">
        <v>44345</v>
      </c>
      <c r="B418">
        <v>37500</v>
      </c>
      <c r="C418">
        <v>514</v>
      </c>
      <c r="D418">
        <v>5</v>
      </c>
      <c r="E418" s="1" t="s">
        <v>43</v>
      </c>
      <c r="F418">
        <v>5</v>
      </c>
      <c r="G418" s="1" t="s">
        <v>23</v>
      </c>
      <c r="J418">
        <v>37500</v>
      </c>
      <c r="K418">
        <v>36500</v>
      </c>
      <c r="L418">
        <v>33500</v>
      </c>
      <c r="M418">
        <v>0</v>
      </c>
      <c r="N418">
        <v>118.37130000000001</v>
      </c>
      <c r="O418">
        <v>0.319847043</v>
      </c>
      <c r="P418">
        <v>14318</v>
      </c>
      <c r="Q418">
        <v>27.89</v>
      </c>
      <c r="R418">
        <v>1.46</v>
      </c>
      <c r="S418">
        <v>81.37</v>
      </c>
      <c r="T418">
        <v>29</v>
      </c>
      <c r="U418" s="1" t="s">
        <v>37</v>
      </c>
      <c r="V418">
        <v>-3.85</v>
      </c>
    </row>
    <row r="419" spans="1:22" x14ac:dyDescent="0.3">
      <c r="A419" s="2">
        <v>44346</v>
      </c>
      <c r="B419">
        <v>37500</v>
      </c>
      <c r="C419">
        <v>515</v>
      </c>
      <c r="D419">
        <v>5</v>
      </c>
      <c r="E419" s="1" t="s">
        <v>43</v>
      </c>
      <c r="F419">
        <v>6</v>
      </c>
      <c r="G419" s="1" t="s">
        <v>23</v>
      </c>
      <c r="J419">
        <v>37500</v>
      </c>
      <c r="L419">
        <v>34000</v>
      </c>
      <c r="M419">
        <v>0</v>
      </c>
      <c r="N419">
        <v>118.37130000000001</v>
      </c>
      <c r="O419">
        <v>0.319847043</v>
      </c>
      <c r="P419">
        <v>14318</v>
      </c>
      <c r="Q419">
        <v>27.61</v>
      </c>
      <c r="R419">
        <v>5.44</v>
      </c>
      <c r="S419">
        <v>82.91</v>
      </c>
      <c r="T419">
        <v>30</v>
      </c>
      <c r="U419" s="1" t="s">
        <v>37</v>
      </c>
      <c r="V419">
        <v>-3.85</v>
      </c>
    </row>
    <row r="420" spans="1:22" x14ac:dyDescent="0.3">
      <c r="A420" s="2">
        <v>44347</v>
      </c>
      <c r="B420">
        <v>35750</v>
      </c>
      <c r="C420">
        <v>516</v>
      </c>
      <c r="D420">
        <v>5</v>
      </c>
      <c r="E420" s="1" t="s">
        <v>43</v>
      </c>
      <c r="F420">
        <v>0</v>
      </c>
      <c r="G420" s="1" t="s">
        <v>23</v>
      </c>
      <c r="J420">
        <v>37500</v>
      </c>
      <c r="K420">
        <v>38000</v>
      </c>
      <c r="L420">
        <v>34000</v>
      </c>
      <c r="M420">
        <v>-1750</v>
      </c>
      <c r="N420">
        <v>118.37130000000001</v>
      </c>
      <c r="O420">
        <v>0.319847043</v>
      </c>
      <c r="P420">
        <v>14278</v>
      </c>
      <c r="Q420">
        <v>27.29</v>
      </c>
      <c r="R420">
        <v>2.63</v>
      </c>
      <c r="S420">
        <v>83.76</v>
      </c>
      <c r="T420">
        <v>31</v>
      </c>
      <c r="U420" s="1" t="s">
        <v>54</v>
      </c>
      <c r="V420">
        <v>-4.67</v>
      </c>
    </row>
    <row r="421" spans="1:22" x14ac:dyDescent="0.3">
      <c r="A421" s="2">
        <v>44349</v>
      </c>
      <c r="B421">
        <v>35000</v>
      </c>
      <c r="C421">
        <v>518</v>
      </c>
      <c r="D421">
        <v>6</v>
      </c>
      <c r="E421" s="1" t="s">
        <v>43</v>
      </c>
      <c r="F421">
        <v>2</v>
      </c>
      <c r="G421" s="1" t="s">
        <v>23</v>
      </c>
      <c r="L421">
        <v>33750</v>
      </c>
      <c r="N421">
        <v>118.18259999999999</v>
      </c>
      <c r="O421">
        <v>-0.15941364199999999</v>
      </c>
      <c r="P421">
        <v>14251.5</v>
      </c>
      <c r="Q421">
        <v>27.57</v>
      </c>
      <c r="R421">
        <v>0.69</v>
      </c>
      <c r="S421">
        <v>81.209999999999994</v>
      </c>
      <c r="T421">
        <v>2</v>
      </c>
      <c r="U421" s="1"/>
      <c r="V421">
        <v>0</v>
      </c>
    </row>
    <row r="422" spans="1:22" x14ac:dyDescent="0.3">
      <c r="A422" s="2">
        <v>44350</v>
      </c>
      <c r="B422">
        <v>35000</v>
      </c>
      <c r="C422">
        <v>519</v>
      </c>
      <c r="D422">
        <v>6</v>
      </c>
      <c r="E422" s="1" t="s">
        <v>43</v>
      </c>
      <c r="F422">
        <v>3</v>
      </c>
      <c r="G422" s="1" t="s">
        <v>23</v>
      </c>
      <c r="J422">
        <v>35000</v>
      </c>
      <c r="K422">
        <v>39000</v>
      </c>
      <c r="L422">
        <v>32000</v>
      </c>
      <c r="M422">
        <v>0</v>
      </c>
      <c r="N422">
        <v>118.18259999999999</v>
      </c>
      <c r="O422">
        <v>-0.15941364199999999</v>
      </c>
      <c r="P422">
        <v>14290.700199999999</v>
      </c>
      <c r="Q422">
        <v>27.52</v>
      </c>
      <c r="R422">
        <v>0.97</v>
      </c>
      <c r="S422">
        <v>81.8</v>
      </c>
      <c r="T422">
        <v>3</v>
      </c>
      <c r="U422" s="1" t="s">
        <v>25</v>
      </c>
      <c r="V422">
        <v>0</v>
      </c>
    </row>
    <row r="423" spans="1:22" x14ac:dyDescent="0.3">
      <c r="A423" s="2">
        <v>44351</v>
      </c>
      <c r="B423">
        <v>34500</v>
      </c>
      <c r="C423">
        <v>520</v>
      </c>
      <c r="D423">
        <v>6</v>
      </c>
      <c r="E423" s="1" t="s">
        <v>43</v>
      </c>
      <c r="F423">
        <v>4</v>
      </c>
      <c r="G423" s="1" t="s">
        <v>23</v>
      </c>
      <c r="J423">
        <v>35000</v>
      </c>
      <c r="K423">
        <v>37500</v>
      </c>
      <c r="L423">
        <v>32500</v>
      </c>
      <c r="M423">
        <v>-500</v>
      </c>
      <c r="N423">
        <v>118.18259999999999</v>
      </c>
      <c r="O423">
        <v>-0.15941364199999999</v>
      </c>
      <c r="P423">
        <v>14360</v>
      </c>
      <c r="Q423">
        <v>27.25</v>
      </c>
      <c r="R423">
        <v>3.26</v>
      </c>
      <c r="S423">
        <v>83.89</v>
      </c>
      <c r="T423">
        <v>4</v>
      </c>
      <c r="U423" s="1" t="s">
        <v>24</v>
      </c>
      <c r="V423">
        <v>-1.43</v>
      </c>
    </row>
    <row r="424" spans="1:22" x14ac:dyDescent="0.3">
      <c r="A424" s="2">
        <v>44352</v>
      </c>
      <c r="B424">
        <v>34500</v>
      </c>
      <c r="C424">
        <v>521</v>
      </c>
      <c r="D424">
        <v>6</v>
      </c>
      <c r="E424" s="1" t="s">
        <v>43</v>
      </c>
      <c r="F424">
        <v>5</v>
      </c>
      <c r="G424" s="1" t="s">
        <v>23</v>
      </c>
      <c r="J424">
        <v>34500</v>
      </c>
      <c r="K424">
        <v>37500</v>
      </c>
      <c r="L424">
        <v>32500</v>
      </c>
      <c r="M424">
        <v>0</v>
      </c>
      <c r="N424">
        <v>118.18259999999999</v>
      </c>
      <c r="O424">
        <v>-0.15941364199999999</v>
      </c>
      <c r="P424">
        <v>14360</v>
      </c>
      <c r="Q424">
        <v>27.04</v>
      </c>
      <c r="R424">
        <v>1.66</v>
      </c>
      <c r="S424">
        <v>85.21</v>
      </c>
      <c r="T424">
        <v>5</v>
      </c>
      <c r="U424" s="1" t="s">
        <v>24</v>
      </c>
      <c r="V424">
        <v>-1.43</v>
      </c>
    </row>
    <row r="425" spans="1:22" x14ac:dyDescent="0.3">
      <c r="A425" s="2">
        <v>44353</v>
      </c>
      <c r="B425">
        <v>34500</v>
      </c>
      <c r="C425">
        <v>522</v>
      </c>
      <c r="D425">
        <v>6</v>
      </c>
      <c r="E425" s="1" t="s">
        <v>43</v>
      </c>
      <c r="F425">
        <v>6</v>
      </c>
      <c r="G425" s="1" t="s">
        <v>23</v>
      </c>
      <c r="J425">
        <v>34500</v>
      </c>
      <c r="K425">
        <v>37500</v>
      </c>
      <c r="L425">
        <v>32500</v>
      </c>
      <c r="M425">
        <v>0</v>
      </c>
      <c r="N425">
        <v>118.18259999999999</v>
      </c>
      <c r="O425">
        <v>-0.15941364199999999</v>
      </c>
      <c r="P425">
        <v>14360</v>
      </c>
      <c r="Q425">
        <v>27.26</v>
      </c>
      <c r="R425">
        <v>2.67</v>
      </c>
      <c r="S425">
        <v>84.59</v>
      </c>
      <c r="T425">
        <v>6</v>
      </c>
      <c r="U425" s="1" t="s">
        <v>24</v>
      </c>
      <c r="V425">
        <v>-1.43</v>
      </c>
    </row>
    <row r="426" spans="1:22" x14ac:dyDescent="0.3">
      <c r="A426" s="2">
        <v>44354</v>
      </c>
      <c r="B426">
        <v>31250</v>
      </c>
      <c r="C426">
        <v>523</v>
      </c>
      <c r="D426">
        <v>6</v>
      </c>
      <c r="E426" s="1" t="s">
        <v>43</v>
      </c>
      <c r="F426">
        <v>0</v>
      </c>
      <c r="G426" s="1" t="s">
        <v>23</v>
      </c>
      <c r="J426">
        <v>34500</v>
      </c>
      <c r="K426">
        <v>35750</v>
      </c>
      <c r="L426">
        <v>32500</v>
      </c>
      <c r="M426">
        <v>-3250</v>
      </c>
      <c r="N426">
        <v>118.18259999999999</v>
      </c>
      <c r="O426">
        <v>-0.15941364199999999</v>
      </c>
      <c r="P426">
        <v>14288</v>
      </c>
      <c r="Q426">
        <v>27.23</v>
      </c>
      <c r="R426">
        <v>11.61</v>
      </c>
      <c r="S426">
        <v>78.790000000000006</v>
      </c>
      <c r="T426">
        <v>7</v>
      </c>
      <c r="U426" s="1" t="s">
        <v>46</v>
      </c>
      <c r="V426">
        <v>-9.42</v>
      </c>
    </row>
    <row r="427" spans="1:22" x14ac:dyDescent="0.3">
      <c r="A427" s="2">
        <v>44355</v>
      </c>
      <c r="B427">
        <v>30750</v>
      </c>
      <c r="C427">
        <v>524</v>
      </c>
      <c r="D427">
        <v>6</v>
      </c>
      <c r="E427" s="1" t="s">
        <v>43</v>
      </c>
      <c r="F427">
        <v>1</v>
      </c>
      <c r="G427" s="1" t="s">
        <v>23</v>
      </c>
      <c r="H427">
        <v>33642.857142857145</v>
      </c>
      <c r="J427">
        <v>31250</v>
      </c>
      <c r="L427">
        <v>32500</v>
      </c>
      <c r="M427">
        <v>-500</v>
      </c>
      <c r="N427">
        <v>118.18259999999999</v>
      </c>
      <c r="O427">
        <v>-0.15941364199999999</v>
      </c>
      <c r="P427">
        <v>14246.5</v>
      </c>
      <c r="Q427">
        <v>27.55</v>
      </c>
      <c r="R427">
        <v>1.53</v>
      </c>
      <c r="S427">
        <v>78.099999999999994</v>
      </c>
      <c r="T427">
        <v>8</v>
      </c>
      <c r="U427" s="1" t="s">
        <v>24</v>
      </c>
      <c r="V427">
        <v>-1.6</v>
      </c>
    </row>
    <row r="428" spans="1:22" x14ac:dyDescent="0.3">
      <c r="A428" s="2">
        <v>44356</v>
      </c>
      <c r="B428">
        <v>31500</v>
      </c>
      <c r="C428">
        <v>525</v>
      </c>
      <c r="D428">
        <v>6</v>
      </c>
      <c r="E428" s="1" t="s">
        <v>43</v>
      </c>
      <c r="F428">
        <v>2</v>
      </c>
      <c r="G428" s="1" t="s">
        <v>23</v>
      </c>
      <c r="H428">
        <v>33142.857142857145</v>
      </c>
      <c r="J428">
        <v>30750</v>
      </c>
      <c r="K428">
        <v>35000</v>
      </c>
      <c r="L428">
        <v>32500</v>
      </c>
      <c r="M428">
        <v>750</v>
      </c>
      <c r="N428">
        <v>118.18259999999999</v>
      </c>
      <c r="O428">
        <v>-0.15941364199999999</v>
      </c>
      <c r="P428">
        <v>14281</v>
      </c>
      <c r="Q428">
        <v>27.6</v>
      </c>
      <c r="R428">
        <v>1.91</v>
      </c>
      <c r="S428">
        <v>78.5</v>
      </c>
      <c r="T428">
        <v>9</v>
      </c>
      <c r="U428" s="1" t="s">
        <v>52</v>
      </c>
      <c r="V428">
        <v>2.44</v>
      </c>
    </row>
    <row r="429" spans="1:22" x14ac:dyDescent="0.3">
      <c r="A429" s="2">
        <v>44357</v>
      </c>
      <c r="B429">
        <v>31500</v>
      </c>
      <c r="C429">
        <v>526</v>
      </c>
      <c r="D429">
        <v>6</v>
      </c>
      <c r="E429" s="1" t="s">
        <v>43</v>
      </c>
      <c r="F429">
        <v>3</v>
      </c>
      <c r="G429" s="1" t="s">
        <v>23</v>
      </c>
      <c r="H429">
        <v>32642.857142857141</v>
      </c>
      <c r="J429">
        <v>31500</v>
      </c>
      <c r="K429">
        <v>35000</v>
      </c>
      <c r="L429">
        <v>32000</v>
      </c>
      <c r="M429">
        <v>0</v>
      </c>
      <c r="N429">
        <v>118.18259999999999</v>
      </c>
      <c r="O429">
        <v>-0.15941364199999999</v>
      </c>
      <c r="P429">
        <v>14300</v>
      </c>
      <c r="Q429">
        <v>27.49</v>
      </c>
      <c r="R429">
        <v>1.18</v>
      </c>
      <c r="S429">
        <v>77.87</v>
      </c>
      <c r="T429">
        <v>10</v>
      </c>
      <c r="U429" s="1" t="s">
        <v>25</v>
      </c>
      <c r="V429">
        <v>0</v>
      </c>
    </row>
    <row r="430" spans="1:22" x14ac:dyDescent="0.3">
      <c r="A430" s="2">
        <v>44358</v>
      </c>
      <c r="B430">
        <v>31500</v>
      </c>
      <c r="C430">
        <v>527</v>
      </c>
      <c r="D430">
        <v>6</v>
      </c>
      <c r="E430" s="1" t="s">
        <v>43</v>
      </c>
      <c r="F430">
        <v>4</v>
      </c>
      <c r="G430" s="1" t="s">
        <v>23</v>
      </c>
      <c r="H430">
        <v>32214.285714285714</v>
      </c>
      <c r="J430">
        <v>31500</v>
      </c>
      <c r="K430">
        <v>34500</v>
      </c>
      <c r="M430">
        <v>0</v>
      </c>
      <c r="N430">
        <v>118.18259999999999</v>
      </c>
      <c r="O430">
        <v>-0.15941364199999999</v>
      </c>
      <c r="P430">
        <v>14248.5</v>
      </c>
      <c r="Q430">
        <v>27.58</v>
      </c>
      <c r="R430">
        <v>2.02</v>
      </c>
      <c r="S430">
        <v>80.37</v>
      </c>
      <c r="T430">
        <v>11</v>
      </c>
      <c r="U430" s="1" t="s">
        <v>25</v>
      </c>
      <c r="V430">
        <v>0</v>
      </c>
    </row>
    <row r="431" spans="1:22" x14ac:dyDescent="0.3">
      <c r="A431" s="2">
        <v>44359</v>
      </c>
      <c r="B431">
        <v>31500</v>
      </c>
      <c r="C431">
        <v>528</v>
      </c>
      <c r="D431">
        <v>6</v>
      </c>
      <c r="E431" s="1" t="s">
        <v>43</v>
      </c>
      <c r="F431">
        <v>5</v>
      </c>
      <c r="G431" s="1" t="s">
        <v>23</v>
      </c>
      <c r="H431">
        <v>31785.714285714286</v>
      </c>
      <c r="J431">
        <v>31500</v>
      </c>
      <c r="K431">
        <v>34500</v>
      </c>
      <c r="M431">
        <v>0</v>
      </c>
      <c r="N431">
        <v>118.18259999999999</v>
      </c>
      <c r="O431">
        <v>-0.15941364199999999</v>
      </c>
      <c r="P431">
        <v>14248.5</v>
      </c>
      <c r="Q431">
        <v>27.07</v>
      </c>
      <c r="R431">
        <v>6.2</v>
      </c>
      <c r="S431">
        <v>81.91</v>
      </c>
      <c r="T431">
        <v>12</v>
      </c>
      <c r="U431" s="1" t="s">
        <v>25</v>
      </c>
      <c r="V431">
        <v>0</v>
      </c>
    </row>
    <row r="432" spans="1:22" x14ac:dyDescent="0.3">
      <c r="A432" s="2">
        <v>44360</v>
      </c>
      <c r="B432">
        <v>31500</v>
      </c>
      <c r="C432">
        <v>529</v>
      </c>
      <c r="D432">
        <v>6</v>
      </c>
      <c r="E432" s="1" t="s">
        <v>43</v>
      </c>
      <c r="F432">
        <v>6</v>
      </c>
      <c r="G432" s="1" t="s">
        <v>23</v>
      </c>
      <c r="H432">
        <v>31357.142857142859</v>
      </c>
      <c r="J432">
        <v>31500</v>
      </c>
      <c r="K432">
        <v>34500</v>
      </c>
      <c r="M432">
        <v>0</v>
      </c>
      <c r="N432">
        <v>118.18259999999999</v>
      </c>
      <c r="O432">
        <v>-0.15941364199999999</v>
      </c>
      <c r="P432">
        <v>14248.5</v>
      </c>
      <c r="Q432">
        <v>25.93</v>
      </c>
      <c r="R432">
        <v>10.81</v>
      </c>
      <c r="S432">
        <v>84.56</v>
      </c>
      <c r="T432">
        <v>13</v>
      </c>
      <c r="U432" s="1" t="s">
        <v>25</v>
      </c>
      <c r="V432">
        <v>0</v>
      </c>
    </row>
    <row r="433" spans="1:22" x14ac:dyDescent="0.3">
      <c r="A433" s="2">
        <v>44361</v>
      </c>
      <c r="B433">
        <v>31000</v>
      </c>
      <c r="C433">
        <v>530</v>
      </c>
      <c r="D433">
        <v>6</v>
      </c>
      <c r="E433" s="1" t="s">
        <v>43</v>
      </c>
      <c r="F433">
        <v>0</v>
      </c>
      <c r="G433" s="1" t="s">
        <v>23</v>
      </c>
      <c r="H433">
        <v>31321.428571428572</v>
      </c>
      <c r="J433">
        <v>31500</v>
      </c>
      <c r="K433">
        <v>31250</v>
      </c>
      <c r="M433">
        <v>-500</v>
      </c>
      <c r="N433">
        <v>118.18259999999999</v>
      </c>
      <c r="O433">
        <v>-0.15941364199999999</v>
      </c>
      <c r="P433">
        <v>14182</v>
      </c>
      <c r="Q433">
        <v>25.39</v>
      </c>
      <c r="R433">
        <v>17.12</v>
      </c>
      <c r="S433">
        <v>80.77</v>
      </c>
      <c r="T433">
        <v>14</v>
      </c>
      <c r="U433" s="1" t="s">
        <v>24</v>
      </c>
      <c r="V433">
        <v>-1.59</v>
      </c>
    </row>
    <row r="434" spans="1:22" x14ac:dyDescent="0.3">
      <c r="A434" s="2">
        <v>44362</v>
      </c>
      <c r="B434">
        <v>30000</v>
      </c>
      <c r="C434">
        <v>531</v>
      </c>
      <c r="D434">
        <v>6</v>
      </c>
      <c r="E434" s="1" t="s">
        <v>43</v>
      </c>
      <c r="F434">
        <v>1</v>
      </c>
      <c r="G434" s="1" t="s">
        <v>23</v>
      </c>
      <c r="H434">
        <v>31214.285714285714</v>
      </c>
      <c r="J434">
        <v>31000</v>
      </c>
      <c r="K434">
        <v>30750</v>
      </c>
      <c r="M434">
        <v>-1000</v>
      </c>
      <c r="N434">
        <v>118.18259999999999</v>
      </c>
      <c r="O434">
        <v>-0.15941364199999999</v>
      </c>
      <c r="P434">
        <v>14267.5</v>
      </c>
      <c r="Q434">
        <v>26.1</v>
      </c>
      <c r="R434">
        <v>5.41</v>
      </c>
      <c r="S434">
        <v>79.91</v>
      </c>
      <c r="T434">
        <v>15</v>
      </c>
      <c r="U434" s="1" t="s">
        <v>30</v>
      </c>
      <c r="V434">
        <v>-3.23</v>
      </c>
    </row>
    <row r="435" spans="1:22" x14ac:dyDescent="0.3">
      <c r="A435" s="2">
        <v>44363</v>
      </c>
      <c r="B435">
        <v>30000</v>
      </c>
      <c r="C435">
        <v>532</v>
      </c>
      <c r="D435">
        <v>6</v>
      </c>
      <c r="E435" s="1" t="s">
        <v>43</v>
      </c>
      <c r="F435">
        <v>2</v>
      </c>
      <c r="G435" s="1" t="s">
        <v>23</v>
      </c>
      <c r="H435">
        <v>31000</v>
      </c>
      <c r="J435">
        <v>30000</v>
      </c>
      <c r="K435">
        <v>31500</v>
      </c>
      <c r="L435">
        <v>33750</v>
      </c>
      <c r="M435">
        <v>0</v>
      </c>
      <c r="N435">
        <v>118.18259999999999</v>
      </c>
      <c r="O435">
        <v>-0.15941364199999999</v>
      </c>
      <c r="P435">
        <v>14280.299800000001</v>
      </c>
      <c r="Q435">
        <v>26.54</v>
      </c>
      <c r="R435">
        <v>2.34</v>
      </c>
      <c r="S435">
        <v>81.540000000000006</v>
      </c>
      <c r="T435">
        <v>16</v>
      </c>
      <c r="U435" s="1" t="s">
        <v>25</v>
      </c>
      <c r="V435">
        <v>0</v>
      </c>
    </row>
    <row r="436" spans="1:22" x14ac:dyDescent="0.3">
      <c r="A436" s="2">
        <v>44364</v>
      </c>
      <c r="B436">
        <v>30000</v>
      </c>
      <c r="C436">
        <v>533</v>
      </c>
      <c r="D436">
        <v>6</v>
      </c>
      <c r="E436" s="1" t="s">
        <v>43</v>
      </c>
      <c r="F436">
        <v>3</v>
      </c>
      <c r="G436" s="1" t="s">
        <v>23</v>
      </c>
      <c r="H436">
        <v>30785.714285714286</v>
      </c>
      <c r="J436">
        <v>30000</v>
      </c>
      <c r="K436">
        <v>31500</v>
      </c>
      <c r="L436">
        <v>35250</v>
      </c>
      <c r="M436">
        <v>0</v>
      </c>
      <c r="N436">
        <v>118.18259999999999</v>
      </c>
      <c r="O436">
        <v>-0.15941364199999999</v>
      </c>
      <c r="P436">
        <v>14466.5</v>
      </c>
      <c r="Q436">
        <v>26.83</v>
      </c>
      <c r="R436">
        <v>2.39</v>
      </c>
      <c r="S436">
        <v>80.48</v>
      </c>
      <c r="T436">
        <v>17</v>
      </c>
      <c r="U436" s="1" t="s">
        <v>25</v>
      </c>
      <c r="V436">
        <v>0</v>
      </c>
    </row>
    <row r="437" spans="1:22" x14ac:dyDescent="0.3">
      <c r="A437" s="2">
        <v>44365</v>
      </c>
      <c r="B437">
        <v>31000</v>
      </c>
      <c r="C437">
        <v>534</v>
      </c>
      <c r="D437">
        <v>6</v>
      </c>
      <c r="E437" s="1" t="s">
        <v>43</v>
      </c>
      <c r="F437">
        <v>4</v>
      </c>
      <c r="G437" s="1" t="s">
        <v>23</v>
      </c>
      <c r="H437">
        <v>30714.285714285714</v>
      </c>
      <c r="J437">
        <v>30000</v>
      </c>
      <c r="K437">
        <v>31500</v>
      </c>
      <c r="L437">
        <v>35500</v>
      </c>
      <c r="M437">
        <v>1000</v>
      </c>
      <c r="N437">
        <v>118.18259999999999</v>
      </c>
      <c r="O437">
        <v>-0.15941364199999999</v>
      </c>
      <c r="P437">
        <v>14554.700199999999</v>
      </c>
      <c r="Q437">
        <v>26.3</v>
      </c>
      <c r="R437">
        <v>2.8</v>
      </c>
      <c r="S437">
        <v>84.59</v>
      </c>
      <c r="T437">
        <v>18</v>
      </c>
      <c r="U437" s="1" t="s">
        <v>29</v>
      </c>
      <c r="V437">
        <v>3.33</v>
      </c>
    </row>
    <row r="438" spans="1:22" x14ac:dyDescent="0.3">
      <c r="A438" s="2">
        <v>44368</v>
      </c>
      <c r="B438">
        <v>34250</v>
      </c>
      <c r="C438">
        <v>537</v>
      </c>
      <c r="D438">
        <v>6</v>
      </c>
      <c r="E438" s="1" t="s">
        <v>43</v>
      </c>
      <c r="F438">
        <v>0</v>
      </c>
      <c r="G438" s="1" t="s">
        <v>23</v>
      </c>
      <c r="K438">
        <v>31000</v>
      </c>
      <c r="L438">
        <v>36500</v>
      </c>
      <c r="N438">
        <v>118.18259999999999</v>
      </c>
      <c r="O438">
        <v>-0.15941364199999999</v>
      </c>
      <c r="P438">
        <v>14368</v>
      </c>
      <c r="Q438">
        <v>26.74</v>
      </c>
      <c r="R438">
        <v>3.29</v>
      </c>
      <c r="S438">
        <v>79.3</v>
      </c>
      <c r="T438">
        <v>21</v>
      </c>
      <c r="U438" s="1" t="s">
        <v>59</v>
      </c>
      <c r="V438">
        <v>10.48</v>
      </c>
    </row>
    <row r="439" spans="1:22" x14ac:dyDescent="0.3">
      <c r="A439" s="2">
        <v>44369</v>
      </c>
      <c r="B439">
        <v>34250</v>
      </c>
      <c r="C439">
        <v>538</v>
      </c>
      <c r="D439">
        <v>6</v>
      </c>
      <c r="E439" s="1" t="s">
        <v>43</v>
      </c>
      <c r="F439">
        <v>1</v>
      </c>
      <c r="G439" s="1" t="s">
        <v>23</v>
      </c>
      <c r="J439">
        <v>34250</v>
      </c>
      <c r="K439">
        <v>30000</v>
      </c>
      <c r="M439">
        <v>0</v>
      </c>
      <c r="N439">
        <v>118.18259999999999</v>
      </c>
      <c r="O439">
        <v>-0.15941364199999999</v>
      </c>
      <c r="P439">
        <v>14388.799800000001</v>
      </c>
      <c r="Q439">
        <v>27.48</v>
      </c>
      <c r="R439">
        <v>4.2300000000000004</v>
      </c>
      <c r="S439">
        <v>73.430000000000007</v>
      </c>
      <c r="T439">
        <v>22</v>
      </c>
      <c r="U439" s="1" t="s">
        <v>25</v>
      </c>
      <c r="V439">
        <v>0</v>
      </c>
    </row>
    <row r="440" spans="1:22" x14ac:dyDescent="0.3">
      <c r="A440" s="2">
        <v>44370</v>
      </c>
      <c r="B440">
        <v>34500</v>
      </c>
      <c r="C440">
        <v>539</v>
      </c>
      <c r="D440">
        <v>6</v>
      </c>
      <c r="E440" s="1" t="s">
        <v>43</v>
      </c>
      <c r="F440">
        <v>2</v>
      </c>
      <c r="G440" s="1" t="s">
        <v>23</v>
      </c>
      <c r="J440">
        <v>34250</v>
      </c>
      <c r="K440">
        <v>30000</v>
      </c>
      <c r="L440">
        <v>38000</v>
      </c>
      <c r="M440">
        <v>250</v>
      </c>
      <c r="N440">
        <v>118.18259999999999</v>
      </c>
      <c r="O440">
        <v>-0.15941364199999999</v>
      </c>
      <c r="P440">
        <v>14495</v>
      </c>
      <c r="Q440">
        <v>26.95</v>
      </c>
      <c r="R440">
        <v>1.03</v>
      </c>
      <c r="S440">
        <v>81.13</v>
      </c>
      <c r="T440">
        <v>23</v>
      </c>
      <c r="U440" s="1" t="s">
        <v>34</v>
      </c>
      <c r="V440">
        <v>0.73</v>
      </c>
    </row>
    <row r="441" spans="1:22" x14ac:dyDescent="0.3">
      <c r="A441" s="2">
        <v>44371</v>
      </c>
      <c r="B441">
        <v>34500</v>
      </c>
      <c r="C441">
        <v>540</v>
      </c>
      <c r="D441">
        <v>6</v>
      </c>
      <c r="E441" s="1" t="s">
        <v>43</v>
      </c>
      <c r="F441">
        <v>3</v>
      </c>
      <c r="G441" s="1" t="s">
        <v>23</v>
      </c>
      <c r="J441">
        <v>34500</v>
      </c>
      <c r="K441">
        <v>30000</v>
      </c>
      <c r="L441">
        <v>38000</v>
      </c>
      <c r="M441">
        <v>0</v>
      </c>
      <c r="N441">
        <v>118.18259999999999</v>
      </c>
      <c r="O441">
        <v>-0.15941364199999999</v>
      </c>
      <c r="P441">
        <v>14413.299800000001</v>
      </c>
      <c r="Q441">
        <v>26.56</v>
      </c>
      <c r="R441">
        <v>3.44</v>
      </c>
      <c r="S441">
        <v>84.84</v>
      </c>
      <c r="T441">
        <v>24</v>
      </c>
      <c r="U441" s="1" t="s">
        <v>25</v>
      </c>
      <c r="V441">
        <v>0</v>
      </c>
    </row>
    <row r="442" spans="1:22" x14ac:dyDescent="0.3">
      <c r="A442" s="2">
        <v>44372</v>
      </c>
      <c r="B442">
        <v>34000</v>
      </c>
      <c r="C442">
        <v>541</v>
      </c>
      <c r="D442">
        <v>6</v>
      </c>
      <c r="E442" s="1" t="s">
        <v>43</v>
      </c>
      <c r="F442">
        <v>4</v>
      </c>
      <c r="G442" s="1" t="s">
        <v>23</v>
      </c>
      <c r="J442">
        <v>34500</v>
      </c>
      <c r="K442">
        <v>31000</v>
      </c>
      <c r="M442">
        <v>-500</v>
      </c>
      <c r="N442">
        <v>118.18259999999999</v>
      </c>
      <c r="O442">
        <v>-0.15941364199999999</v>
      </c>
      <c r="P442">
        <v>14511.200199999999</v>
      </c>
      <c r="Q442">
        <v>26.77</v>
      </c>
      <c r="R442">
        <v>1.81</v>
      </c>
      <c r="S442">
        <v>82.92</v>
      </c>
      <c r="T442">
        <v>25</v>
      </c>
      <c r="U442" s="1" t="s">
        <v>24</v>
      </c>
      <c r="V442">
        <v>-1.45</v>
      </c>
    </row>
    <row r="443" spans="1:22" x14ac:dyDescent="0.3">
      <c r="A443" s="2">
        <v>44373</v>
      </c>
      <c r="B443">
        <v>34000</v>
      </c>
      <c r="C443">
        <v>542</v>
      </c>
      <c r="D443">
        <v>6</v>
      </c>
      <c r="E443" s="1" t="s">
        <v>43</v>
      </c>
      <c r="F443">
        <v>5</v>
      </c>
      <c r="G443" s="1" t="s">
        <v>23</v>
      </c>
      <c r="J443">
        <v>34000</v>
      </c>
      <c r="L443">
        <v>39000</v>
      </c>
      <c r="M443">
        <v>0</v>
      </c>
      <c r="N443">
        <v>118.18259999999999</v>
      </c>
      <c r="O443">
        <v>-0.15941364199999999</v>
      </c>
      <c r="P443">
        <v>14511.200199999999</v>
      </c>
      <c r="Q443">
        <v>26.72</v>
      </c>
      <c r="R443">
        <v>3.45</v>
      </c>
      <c r="S443">
        <v>82.39</v>
      </c>
      <c r="T443">
        <v>26</v>
      </c>
      <c r="U443" s="1" t="s">
        <v>24</v>
      </c>
      <c r="V443">
        <v>-1.45</v>
      </c>
    </row>
    <row r="444" spans="1:22" x14ac:dyDescent="0.3">
      <c r="A444" s="2">
        <v>44374</v>
      </c>
      <c r="B444">
        <v>34000</v>
      </c>
      <c r="C444">
        <v>543</v>
      </c>
      <c r="D444">
        <v>6</v>
      </c>
      <c r="E444" s="1" t="s">
        <v>43</v>
      </c>
      <c r="F444">
        <v>6</v>
      </c>
      <c r="G444" s="1" t="s">
        <v>23</v>
      </c>
      <c r="H444">
        <v>34214.285714285717</v>
      </c>
      <c r="J444">
        <v>34000</v>
      </c>
      <c r="L444">
        <v>37500</v>
      </c>
      <c r="M444">
        <v>0</v>
      </c>
      <c r="N444">
        <v>118.18259999999999</v>
      </c>
      <c r="O444">
        <v>-0.15941364199999999</v>
      </c>
      <c r="P444">
        <v>14511.200199999999</v>
      </c>
      <c r="Q444">
        <v>26.33</v>
      </c>
      <c r="R444">
        <v>7.91</v>
      </c>
      <c r="S444">
        <v>80.95</v>
      </c>
      <c r="T444">
        <v>27</v>
      </c>
      <c r="U444" s="1" t="s">
        <v>24</v>
      </c>
      <c r="V444">
        <v>-1.45</v>
      </c>
    </row>
    <row r="445" spans="1:22" x14ac:dyDescent="0.3">
      <c r="A445" s="2">
        <v>44375</v>
      </c>
      <c r="B445">
        <v>33750</v>
      </c>
      <c r="C445">
        <v>544</v>
      </c>
      <c r="D445">
        <v>6</v>
      </c>
      <c r="E445" s="1" t="s">
        <v>43</v>
      </c>
      <c r="F445">
        <v>0</v>
      </c>
      <c r="G445" s="1" t="s">
        <v>23</v>
      </c>
      <c r="H445">
        <v>34142.857142857145</v>
      </c>
      <c r="J445">
        <v>34000</v>
      </c>
      <c r="K445">
        <v>34250</v>
      </c>
      <c r="L445">
        <v>37500</v>
      </c>
      <c r="M445">
        <v>-250</v>
      </c>
      <c r="N445">
        <v>118.18259999999999</v>
      </c>
      <c r="O445">
        <v>-0.15941364199999999</v>
      </c>
      <c r="P445">
        <v>14418</v>
      </c>
      <c r="Q445">
        <v>26.64</v>
      </c>
      <c r="R445">
        <v>2.87</v>
      </c>
      <c r="S445">
        <v>79.739999999999995</v>
      </c>
      <c r="T445">
        <v>28</v>
      </c>
      <c r="U445" s="1" t="s">
        <v>35</v>
      </c>
      <c r="V445">
        <v>-0.74</v>
      </c>
    </row>
    <row r="446" spans="1:22" x14ac:dyDescent="0.3">
      <c r="A446" s="2">
        <v>44376</v>
      </c>
      <c r="B446">
        <v>33750</v>
      </c>
      <c r="C446">
        <v>545</v>
      </c>
      <c r="D446">
        <v>6</v>
      </c>
      <c r="E446" s="1" t="s">
        <v>43</v>
      </c>
      <c r="F446">
        <v>1</v>
      </c>
      <c r="G446" s="1" t="s">
        <v>23</v>
      </c>
      <c r="H446">
        <v>34071.428571428572</v>
      </c>
      <c r="J446">
        <v>33750</v>
      </c>
      <c r="K446">
        <v>34250</v>
      </c>
      <c r="L446">
        <v>37500</v>
      </c>
      <c r="M446">
        <v>0</v>
      </c>
      <c r="N446">
        <v>118.18259999999999</v>
      </c>
      <c r="O446">
        <v>-0.15941364199999999</v>
      </c>
      <c r="P446">
        <v>14525</v>
      </c>
      <c r="Q446">
        <v>26.61</v>
      </c>
      <c r="R446">
        <v>8.7899999999999991</v>
      </c>
      <c r="S446">
        <v>80.98</v>
      </c>
      <c r="T446">
        <v>29</v>
      </c>
      <c r="U446" s="1" t="s">
        <v>25</v>
      </c>
      <c r="V446">
        <v>0</v>
      </c>
    </row>
    <row r="447" spans="1:22" x14ac:dyDescent="0.3">
      <c r="A447" s="2">
        <v>44377</v>
      </c>
      <c r="B447">
        <v>34750</v>
      </c>
      <c r="C447">
        <v>546</v>
      </c>
      <c r="D447">
        <v>6</v>
      </c>
      <c r="E447" s="1" t="s">
        <v>43</v>
      </c>
      <c r="F447">
        <v>2</v>
      </c>
      <c r="G447" s="1" t="s">
        <v>23</v>
      </c>
      <c r="H447">
        <v>34107.142857142855</v>
      </c>
      <c r="J447">
        <v>33750</v>
      </c>
      <c r="K447">
        <v>34500</v>
      </c>
      <c r="L447">
        <v>35750</v>
      </c>
      <c r="M447">
        <v>1000</v>
      </c>
      <c r="N447">
        <v>118.18259999999999</v>
      </c>
      <c r="O447">
        <v>-0.15941364199999999</v>
      </c>
      <c r="P447">
        <v>14629.099609999999</v>
      </c>
      <c r="Q447">
        <v>26.82</v>
      </c>
      <c r="R447">
        <v>8.2200000000000006</v>
      </c>
      <c r="S447">
        <v>78.849999999999994</v>
      </c>
      <c r="T447">
        <v>30</v>
      </c>
      <c r="U447" s="1" t="s">
        <v>29</v>
      </c>
      <c r="V447">
        <v>2.96</v>
      </c>
    </row>
    <row r="448" spans="1:22" x14ac:dyDescent="0.3">
      <c r="A448" s="2">
        <v>44378</v>
      </c>
      <c r="B448">
        <v>34000</v>
      </c>
      <c r="C448">
        <v>547</v>
      </c>
      <c r="D448">
        <v>7</v>
      </c>
      <c r="E448" s="1" t="s">
        <v>43</v>
      </c>
      <c r="F448">
        <v>3</v>
      </c>
      <c r="G448" s="1" t="s">
        <v>23</v>
      </c>
      <c r="H448">
        <v>34035.714285714283</v>
      </c>
      <c r="J448">
        <v>34750</v>
      </c>
      <c r="K448">
        <v>34500</v>
      </c>
      <c r="M448">
        <v>-750</v>
      </c>
      <c r="N448">
        <v>118.2714</v>
      </c>
      <c r="O448">
        <v>7.5137964000000002E-2</v>
      </c>
      <c r="P448">
        <v>14601.599609999999</v>
      </c>
      <c r="Q448">
        <v>26.78</v>
      </c>
      <c r="R448">
        <v>4.3899999999999997</v>
      </c>
      <c r="S448">
        <v>77.930000000000007</v>
      </c>
      <c r="T448">
        <v>1</v>
      </c>
      <c r="U448" s="1" t="s">
        <v>42</v>
      </c>
      <c r="V448">
        <v>-2.16</v>
      </c>
    </row>
    <row r="449" spans="1:22" x14ac:dyDescent="0.3">
      <c r="A449" s="2">
        <v>44379</v>
      </c>
      <c r="B449">
        <v>34000</v>
      </c>
      <c r="C449">
        <v>548</v>
      </c>
      <c r="D449">
        <v>7</v>
      </c>
      <c r="E449" s="1" t="s">
        <v>43</v>
      </c>
      <c r="F449">
        <v>4</v>
      </c>
      <c r="G449" s="1" t="s">
        <v>23</v>
      </c>
      <c r="H449">
        <v>34035.714285714283</v>
      </c>
      <c r="J449">
        <v>34000</v>
      </c>
      <c r="K449">
        <v>34000</v>
      </c>
      <c r="L449">
        <v>35000</v>
      </c>
      <c r="M449">
        <v>0</v>
      </c>
      <c r="N449">
        <v>118.2714</v>
      </c>
      <c r="O449">
        <v>7.5137964000000002E-2</v>
      </c>
      <c r="P449">
        <v>14581.400390000001</v>
      </c>
      <c r="Q449">
        <v>26.76</v>
      </c>
      <c r="R449">
        <v>8.25</v>
      </c>
      <c r="S449">
        <v>80.69</v>
      </c>
      <c r="T449">
        <v>2</v>
      </c>
      <c r="U449" s="1" t="s">
        <v>25</v>
      </c>
      <c r="V449">
        <v>0</v>
      </c>
    </row>
    <row r="450" spans="1:22" x14ac:dyDescent="0.3">
      <c r="A450" s="2">
        <v>44380</v>
      </c>
      <c r="B450">
        <v>34000</v>
      </c>
      <c r="C450">
        <v>549</v>
      </c>
      <c r="D450">
        <v>7</v>
      </c>
      <c r="E450" s="1" t="s">
        <v>43</v>
      </c>
      <c r="F450">
        <v>5</v>
      </c>
      <c r="G450" s="1" t="s">
        <v>23</v>
      </c>
      <c r="H450">
        <v>34035.714285714283</v>
      </c>
      <c r="J450">
        <v>34000</v>
      </c>
      <c r="K450">
        <v>34000</v>
      </c>
      <c r="L450">
        <v>35000</v>
      </c>
      <c r="M450">
        <v>0</v>
      </c>
      <c r="N450">
        <v>118.2714</v>
      </c>
      <c r="O450">
        <v>7.5137964000000002E-2</v>
      </c>
      <c r="P450">
        <v>14581.400390000001</v>
      </c>
      <c r="Q450">
        <v>26.37</v>
      </c>
      <c r="R450">
        <v>12.16</v>
      </c>
      <c r="S450">
        <v>86.46</v>
      </c>
      <c r="T450">
        <v>3</v>
      </c>
      <c r="U450" s="1" t="s">
        <v>25</v>
      </c>
      <c r="V450">
        <v>0</v>
      </c>
    </row>
    <row r="451" spans="1:22" x14ac:dyDescent="0.3">
      <c r="A451" s="2">
        <v>44381</v>
      </c>
      <c r="B451">
        <v>34000</v>
      </c>
      <c r="C451">
        <v>550</v>
      </c>
      <c r="D451">
        <v>7</v>
      </c>
      <c r="E451" s="1" t="s">
        <v>43</v>
      </c>
      <c r="F451">
        <v>6</v>
      </c>
      <c r="G451" s="1" t="s">
        <v>23</v>
      </c>
      <c r="H451">
        <v>34035.714285714283</v>
      </c>
      <c r="J451">
        <v>34000</v>
      </c>
      <c r="K451">
        <v>34000</v>
      </c>
      <c r="L451">
        <v>34500</v>
      </c>
      <c r="M451">
        <v>0</v>
      </c>
      <c r="N451">
        <v>118.2714</v>
      </c>
      <c r="O451">
        <v>7.5137964000000002E-2</v>
      </c>
      <c r="P451">
        <v>14581.400390000001</v>
      </c>
      <c r="Q451">
        <v>26.03</v>
      </c>
      <c r="R451">
        <v>18.29</v>
      </c>
      <c r="S451">
        <v>84.77</v>
      </c>
      <c r="T451">
        <v>4</v>
      </c>
      <c r="U451" s="1" t="s">
        <v>25</v>
      </c>
      <c r="V451">
        <v>0</v>
      </c>
    </row>
    <row r="452" spans="1:22" x14ac:dyDescent="0.3">
      <c r="A452" s="2">
        <v>44382</v>
      </c>
      <c r="B452">
        <v>34250</v>
      </c>
      <c r="C452">
        <v>551</v>
      </c>
      <c r="D452">
        <v>7</v>
      </c>
      <c r="E452" s="1" t="s">
        <v>43</v>
      </c>
      <c r="F452">
        <v>0</v>
      </c>
      <c r="G452" s="1" t="s">
        <v>23</v>
      </c>
      <c r="H452">
        <v>34107.142857142855</v>
      </c>
      <c r="J452">
        <v>34000</v>
      </c>
      <c r="K452">
        <v>33750</v>
      </c>
      <c r="L452">
        <v>34500</v>
      </c>
      <c r="M452">
        <v>250</v>
      </c>
      <c r="N452">
        <v>118.2714</v>
      </c>
      <c r="O452">
        <v>7.5137964000000002E-2</v>
      </c>
      <c r="P452">
        <v>14526</v>
      </c>
      <c r="Q452">
        <v>26.09</v>
      </c>
      <c r="R452">
        <v>1.67</v>
      </c>
      <c r="S452">
        <v>83.76</v>
      </c>
      <c r="T452">
        <v>5</v>
      </c>
      <c r="U452" s="1" t="s">
        <v>34</v>
      </c>
      <c r="V452">
        <v>0.74</v>
      </c>
    </row>
    <row r="453" spans="1:22" x14ac:dyDescent="0.3">
      <c r="A453" s="2">
        <v>44383</v>
      </c>
      <c r="B453">
        <v>34250</v>
      </c>
      <c r="C453">
        <v>552</v>
      </c>
      <c r="D453">
        <v>7</v>
      </c>
      <c r="E453" s="1" t="s">
        <v>43</v>
      </c>
      <c r="F453">
        <v>1</v>
      </c>
      <c r="G453" s="1" t="s">
        <v>23</v>
      </c>
      <c r="H453">
        <v>34178.571428571428</v>
      </c>
      <c r="J453">
        <v>34250</v>
      </c>
      <c r="K453">
        <v>33750</v>
      </c>
      <c r="L453">
        <v>34500</v>
      </c>
      <c r="M453">
        <v>0</v>
      </c>
      <c r="N453">
        <v>118.2714</v>
      </c>
      <c r="O453">
        <v>7.5137964000000002E-2</v>
      </c>
      <c r="P453">
        <v>14495</v>
      </c>
      <c r="Q453">
        <v>26.42</v>
      </c>
      <c r="R453">
        <v>5.62</v>
      </c>
      <c r="S453">
        <v>78.55</v>
      </c>
      <c r="T453">
        <v>6</v>
      </c>
      <c r="U453" s="1" t="s">
        <v>25</v>
      </c>
      <c r="V453">
        <v>0</v>
      </c>
    </row>
    <row r="454" spans="1:22" x14ac:dyDescent="0.3">
      <c r="A454" s="2">
        <v>44384</v>
      </c>
      <c r="B454">
        <v>34750</v>
      </c>
      <c r="C454">
        <v>553</v>
      </c>
      <c r="D454">
        <v>7</v>
      </c>
      <c r="E454" s="1" t="s">
        <v>43</v>
      </c>
      <c r="F454">
        <v>2</v>
      </c>
      <c r="G454" s="1" t="s">
        <v>23</v>
      </c>
      <c r="H454">
        <v>34178.571428571428</v>
      </c>
      <c r="J454">
        <v>34250</v>
      </c>
      <c r="K454">
        <v>34750</v>
      </c>
      <c r="L454">
        <v>31250</v>
      </c>
      <c r="M454">
        <v>500</v>
      </c>
      <c r="N454">
        <v>118.2714</v>
      </c>
      <c r="O454">
        <v>7.5137964000000002E-2</v>
      </c>
      <c r="P454">
        <v>14568.700199999999</v>
      </c>
      <c r="Q454">
        <v>26.14</v>
      </c>
      <c r="R454">
        <v>2.91</v>
      </c>
      <c r="S454">
        <v>81.02</v>
      </c>
      <c r="T454">
        <v>7</v>
      </c>
      <c r="U454" s="1" t="s">
        <v>26</v>
      </c>
      <c r="V454">
        <v>1.46</v>
      </c>
    </row>
    <row r="455" spans="1:22" x14ac:dyDescent="0.3">
      <c r="A455" s="2">
        <v>44385</v>
      </c>
      <c r="B455">
        <v>34750</v>
      </c>
      <c r="C455">
        <v>554</v>
      </c>
      <c r="D455">
        <v>7</v>
      </c>
      <c r="E455" s="1" t="s">
        <v>43</v>
      </c>
      <c r="F455">
        <v>3</v>
      </c>
      <c r="G455" s="1" t="s">
        <v>23</v>
      </c>
      <c r="H455">
        <v>34285.714285714283</v>
      </c>
      <c r="J455">
        <v>34750</v>
      </c>
      <c r="K455">
        <v>34000</v>
      </c>
      <c r="L455">
        <v>30750</v>
      </c>
      <c r="M455">
        <v>0</v>
      </c>
      <c r="N455">
        <v>118.2714</v>
      </c>
      <c r="O455">
        <v>7.5137964000000002E-2</v>
      </c>
      <c r="P455">
        <v>14569.200199999999</v>
      </c>
      <c r="Q455">
        <v>27.11</v>
      </c>
      <c r="R455">
        <v>3.82</v>
      </c>
      <c r="S455">
        <v>78.989999999999995</v>
      </c>
      <c r="T455">
        <v>8</v>
      </c>
      <c r="U455" s="1" t="s">
        <v>25</v>
      </c>
      <c r="V455">
        <v>0</v>
      </c>
    </row>
    <row r="456" spans="1:22" x14ac:dyDescent="0.3">
      <c r="A456" s="2">
        <v>44386</v>
      </c>
      <c r="B456">
        <v>35500</v>
      </c>
      <c r="C456">
        <v>555</v>
      </c>
      <c r="D456">
        <v>7</v>
      </c>
      <c r="E456" s="1" t="s">
        <v>43</v>
      </c>
      <c r="F456">
        <v>4</v>
      </c>
      <c r="G456" s="1" t="s">
        <v>23</v>
      </c>
      <c r="H456">
        <v>34500</v>
      </c>
      <c r="J456">
        <v>34750</v>
      </c>
      <c r="K456">
        <v>34000</v>
      </c>
      <c r="L456">
        <v>31500</v>
      </c>
      <c r="M456">
        <v>750</v>
      </c>
      <c r="N456">
        <v>118.2714</v>
      </c>
      <c r="O456">
        <v>7.5137964000000002E-2</v>
      </c>
      <c r="P456">
        <v>14618.700199999999</v>
      </c>
      <c r="Q456">
        <v>26.75</v>
      </c>
      <c r="R456">
        <v>8.92</v>
      </c>
      <c r="S456">
        <v>85.12</v>
      </c>
      <c r="T456">
        <v>9</v>
      </c>
      <c r="U456" s="1" t="s">
        <v>52</v>
      </c>
      <c r="V456">
        <v>2.16</v>
      </c>
    </row>
    <row r="457" spans="1:22" x14ac:dyDescent="0.3">
      <c r="A457" s="2">
        <v>44387</v>
      </c>
      <c r="B457">
        <v>35500</v>
      </c>
      <c r="C457">
        <v>556</v>
      </c>
      <c r="D457">
        <v>7</v>
      </c>
      <c r="E457" s="1" t="s">
        <v>43</v>
      </c>
      <c r="F457">
        <v>5</v>
      </c>
      <c r="G457" s="1" t="s">
        <v>23</v>
      </c>
      <c r="H457">
        <v>34714.285714285717</v>
      </c>
      <c r="J457">
        <v>35500</v>
      </c>
      <c r="K457">
        <v>34000</v>
      </c>
      <c r="L457">
        <v>31500</v>
      </c>
      <c r="M457">
        <v>0</v>
      </c>
      <c r="N457">
        <v>118.2714</v>
      </c>
      <c r="O457">
        <v>7.5137964000000002E-2</v>
      </c>
      <c r="P457">
        <v>14618.700199999999</v>
      </c>
      <c r="Q457">
        <v>26.15</v>
      </c>
      <c r="R457">
        <v>8.91</v>
      </c>
      <c r="S457">
        <v>87.2</v>
      </c>
      <c r="T457">
        <v>10</v>
      </c>
      <c r="U457" s="1" t="s">
        <v>52</v>
      </c>
      <c r="V457">
        <v>2.16</v>
      </c>
    </row>
    <row r="458" spans="1:22" x14ac:dyDescent="0.3">
      <c r="A458" s="2">
        <v>44388</v>
      </c>
      <c r="B458">
        <v>35500</v>
      </c>
      <c r="C458">
        <v>557</v>
      </c>
      <c r="D458">
        <v>7</v>
      </c>
      <c r="E458" s="1" t="s">
        <v>43</v>
      </c>
      <c r="F458">
        <v>6</v>
      </c>
      <c r="G458" s="1" t="s">
        <v>23</v>
      </c>
      <c r="H458">
        <v>34928.571428571428</v>
      </c>
      <c r="J458">
        <v>35500</v>
      </c>
      <c r="K458">
        <v>34000</v>
      </c>
      <c r="L458">
        <v>31500</v>
      </c>
      <c r="M458">
        <v>0</v>
      </c>
      <c r="N458">
        <v>118.2714</v>
      </c>
      <c r="O458">
        <v>7.5137964000000002E-2</v>
      </c>
      <c r="P458">
        <v>14618.700199999999</v>
      </c>
      <c r="Q458">
        <v>26.27</v>
      </c>
      <c r="R458">
        <v>7.89</v>
      </c>
      <c r="S458">
        <v>85.21</v>
      </c>
      <c r="T458">
        <v>11</v>
      </c>
      <c r="U458" s="1" t="s">
        <v>52</v>
      </c>
      <c r="V458">
        <v>2.16</v>
      </c>
    </row>
    <row r="459" spans="1:22" x14ac:dyDescent="0.3">
      <c r="A459" s="2">
        <v>44389</v>
      </c>
      <c r="B459">
        <v>34650</v>
      </c>
      <c r="C459">
        <v>558</v>
      </c>
      <c r="D459">
        <v>7</v>
      </c>
      <c r="E459" s="1" t="s">
        <v>43</v>
      </c>
      <c r="F459">
        <v>0</v>
      </c>
      <c r="G459" s="1" t="s">
        <v>23</v>
      </c>
      <c r="H459">
        <v>34985.714285714283</v>
      </c>
      <c r="J459">
        <v>35500</v>
      </c>
      <c r="K459">
        <v>34250</v>
      </c>
      <c r="L459">
        <v>31500</v>
      </c>
      <c r="M459">
        <v>-850</v>
      </c>
      <c r="N459">
        <v>118.2714</v>
      </c>
      <c r="O459">
        <v>7.5137964000000002E-2</v>
      </c>
      <c r="P459">
        <v>14521</v>
      </c>
      <c r="Q459">
        <v>26.71</v>
      </c>
      <c r="R459">
        <v>2.41</v>
      </c>
      <c r="S459">
        <v>84.24</v>
      </c>
      <c r="T459">
        <v>12</v>
      </c>
      <c r="U459" s="1" t="s">
        <v>60</v>
      </c>
      <c r="V459">
        <v>-2.39</v>
      </c>
    </row>
    <row r="460" spans="1:22" x14ac:dyDescent="0.3">
      <c r="A460" s="2">
        <v>44390</v>
      </c>
      <c r="B460">
        <v>34650</v>
      </c>
      <c r="C460">
        <v>559</v>
      </c>
      <c r="D460">
        <v>7</v>
      </c>
      <c r="E460" s="1" t="s">
        <v>43</v>
      </c>
      <c r="F460">
        <v>1</v>
      </c>
      <c r="G460" s="1" t="s">
        <v>23</v>
      </c>
      <c r="H460">
        <v>35042.857142857145</v>
      </c>
      <c r="J460">
        <v>34650</v>
      </c>
      <c r="K460">
        <v>34250</v>
      </c>
      <c r="L460">
        <v>31500</v>
      </c>
      <c r="M460">
        <v>0</v>
      </c>
      <c r="N460">
        <v>118.2714</v>
      </c>
      <c r="O460">
        <v>7.5137964000000002E-2</v>
      </c>
      <c r="P460">
        <v>14558.5</v>
      </c>
      <c r="Q460">
        <v>26.83</v>
      </c>
      <c r="R460">
        <v>4.99</v>
      </c>
      <c r="S460">
        <v>83.38</v>
      </c>
      <c r="T460">
        <v>13</v>
      </c>
      <c r="U460" s="1" t="s">
        <v>25</v>
      </c>
      <c r="V460">
        <v>0</v>
      </c>
    </row>
    <row r="461" spans="1:22" x14ac:dyDescent="0.3">
      <c r="A461" s="2">
        <v>44391</v>
      </c>
      <c r="B461">
        <v>34650</v>
      </c>
      <c r="C461">
        <v>560</v>
      </c>
      <c r="D461">
        <v>7</v>
      </c>
      <c r="E461" s="1" t="s">
        <v>43</v>
      </c>
      <c r="F461">
        <v>2</v>
      </c>
      <c r="G461" s="1" t="s">
        <v>23</v>
      </c>
      <c r="H461">
        <v>35028.571428571428</v>
      </c>
      <c r="J461">
        <v>34650</v>
      </c>
      <c r="K461">
        <v>34750</v>
      </c>
      <c r="L461">
        <v>31000</v>
      </c>
      <c r="M461">
        <v>0</v>
      </c>
      <c r="N461">
        <v>118.2714</v>
      </c>
      <c r="O461">
        <v>7.5137964000000002E-2</v>
      </c>
      <c r="P461">
        <v>14542.099609999999</v>
      </c>
      <c r="Q461">
        <v>26.97</v>
      </c>
      <c r="R461">
        <v>3.35</v>
      </c>
      <c r="S461">
        <v>82.23</v>
      </c>
      <c r="T461">
        <v>14</v>
      </c>
      <c r="U461" s="1" t="s">
        <v>25</v>
      </c>
      <c r="V461">
        <v>0</v>
      </c>
    </row>
    <row r="462" spans="1:22" x14ac:dyDescent="0.3">
      <c r="A462" s="2">
        <v>44392</v>
      </c>
      <c r="B462">
        <v>35150</v>
      </c>
      <c r="C462">
        <v>561</v>
      </c>
      <c r="D462">
        <v>7</v>
      </c>
      <c r="E462" s="1" t="s">
        <v>43</v>
      </c>
      <c r="F462">
        <v>3</v>
      </c>
      <c r="G462" s="1" t="s">
        <v>23</v>
      </c>
      <c r="H462">
        <v>35085.714285714283</v>
      </c>
      <c r="J462">
        <v>34650</v>
      </c>
      <c r="K462">
        <v>34750</v>
      </c>
      <c r="L462">
        <v>30000</v>
      </c>
      <c r="M462">
        <v>500</v>
      </c>
      <c r="N462">
        <v>118.2714</v>
      </c>
      <c r="O462">
        <v>7.5137964000000002E-2</v>
      </c>
      <c r="P462">
        <v>14473</v>
      </c>
      <c r="Q462">
        <v>26.1</v>
      </c>
      <c r="R462">
        <v>9.7100000000000009</v>
      </c>
      <c r="S462">
        <v>85.55</v>
      </c>
      <c r="T462">
        <v>15</v>
      </c>
      <c r="U462" s="1" t="s">
        <v>26</v>
      </c>
      <c r="V462">
        <v>1.44</v>
      </c>
    </row>
    <row r="463" spans="1:22" x14ac:dyDescent="0.3">
      <c r="A463" s="2">
        <v>44393</v>
      </c>
      <c r="B463">
        <v>36150</v>
      </c>
      <c r="C463">
        <v>562</v>
      </c>
      <c r="D463">
        <v>7</v>
      </c>
      <c r="E463" s="1" t="s">
        <v>43</v>
      </c>
      <c r="F463">
        <v>4</v>
      </c>
      <c r="G463" s="1" t="s">
        <v>23</v>
      </c>
      <c r="H463">
        <v>35178.571428571428</v>
      </c>
      <c r="J463">
        <v>35150</v>
      </c>
      <c r="K463">
        <v>35500</v>
      </c>
      <c r="L463">
        <v>30000</v>
      </c>
      <c r="M463">
        <v>1000</v>
      </c>
      <c r="N463">
        <v>118.2714</v>
      </c>
      <c r="O463">
        <v>7.5137964000000002E-2</v>
      </c>
      <c r="P463">
        <v>14563</v>
      </c>
      <c r="Q463">
        <v>25.81</v>
      </c>
      <c r="R463">
        <v>24.47</v>
      </c>
      <c r="S463">
        <v>88.43</v>
      </c>
      <c r="T463">
        <v>16</v>
      </c>
      <c r="U463" s="1" t="s">
        <v>29</v>
      </c>
      <c r="V463">
        <v>2.84</v>
      </c>
    </row>
    <row r="464" spans="1:22" x14ac:dyDescent="0.3">
      <c r="A464" s="2">
        <v>44396</v>
      </c>
      <c r="B464">
        <v>39900</v>
      </c>
      <c r="C464">
        <v>565</v>
      </c>
      <c r="D464">
        <v>7</v>
      </c>
      <c r="E464" s="1" t="s">
        <v>43</v>
      </c>
      <c r="F464">
        <v>0</v>
      </c>
      <c r="G464" s="1" t="s">
        <v>23</v>
      </c>
      <c r="K464">
        <v>34650</v>
      </c>
      <c r="N464">
        <v>118.2714</v>
      </c>
      <c r="O464">
        <v>7.5137964000000002E-2</v>
      </c>
      <c r="P464">
        <v>14491</v>
      </c>
      <c r="Q464">
        <v>26.81</v>
      </c>
      <c r="R464">
        <v>1.31</v>
      </c>
      <c r="S464">
        <v>80.19</v>
      </c>
      <c r="T464">
        <v>19</v>
      </c>
      <c r="U464" s="1" t="s">
        <v>61</v>
      </c>
      <c r="V464">
        <v>10.37</v>
      </c>
    </row>
    <row r="465" spans="1:22" x14ac:dyDescent="0.3">
      <c r="A465" s="2">
        <v>44398</v>
      </c>
      <c r="B465">
        <v>38750</v>
      </c>
      <c r="C465">
        <v>567</v>
      </c>
      <c r="D465">
        <v>7</v>
      </c>
      <c r="E465" s="1" t="s">
        <v>43</v>
      </c>
      <c r="F465">
        <v>2</v>
      </c>
      <c r="G465" s="1" t="s">
        <v>23</v>
      </c>
      <c r="K465">
        <v>34650</v>
      </c>
      <c r="L465">
        <v>34250</v>
      </c>
      <c r="N465">
        <v>118.2714</v>
      </c>
      <c r="O465">
        <v>7.5137964000000002E-2</v>
      </c>
      <c r="P465">
        <v>14620</v>
      </c>
      <c r="Q465">
        <v>26.49</v>
      </c>
      <c r="R465">
        <v>4.8899999999999997</v>
      </c>
      <c r="S465">
        <v>80.290000000000006</v>
      </c>
      <c r="T465">
        <v>21</v>
      </c>
      <c r="U465" s="1"/>
      <c r="V465">
        <v>0</v>
      </c>
    </row>
    <row r="466" spans="1:22" x14ac:dyDescent="0.3">
      <c r="A466" s="2">
        <v>44399</v>
      </c>
      <c r="B466">
        <v>38150</v>
      </c>
      <c r="C466">
        <v>568</v>
      </c>
      <c r="D466">
        <v>7</v>
      </c>
      <c r="E466" s="1" t="s">
        <v>43</v>
      </c>
      <c r="F466">
        <v>3</v>
      </c>
      <c r="G466" s="1" t="s">
        <v>23</v>
      </c>
      <c r="J466">
        <v>38750</v>
      </c>
      <c r="K466">
        <v>35150</v>
      </c>
      <c r="L466">
        <v>34250</v>
      </c>
      <c r="M466">
        <v>-600</v>
      </c>
      <c r="N466">
        <v>118.2714</v>
      </c>
      <c r="O466">
        <v>7.5137964000000002E-2</v>
      </c>
      <c r="P466">
        <v>14536</v>
      </c>
      <c r="Q466">
        <v>26.31</v>
      </c>
      <c r="R466">
        <v>7.26</v>
      </c>
      <c r="S466">
        <v>84.71</v>
      </c>
      <c r="T466">
        <v>22</v>
      </c>
      <c r="U466" s="1" t="s">
        <v>62</v>
      </c>
      <c r="V466">
        <v>-1.55</v>
      </c>
    </row>
    <row r="467" spans="1:22" x14ac:dyDescent="0.3">
      <c r="A467" s="2">
        <v>44400</v>
      </c>
      <c r="B467">
        <v>38150</v>
      </c>
      <c r="C467">
        <v>569</v>
      </c>
      <c r="D467">
        <v>7</v>
      </c>
      <c r="E467" s="1" t="s">
        <v>43</v>
      </c>
      <c r="F467">
        <v>4</v>
      </c>
      <c r="G467" s="1" t="s">
        <v>23</v>
      </c>
      <c r="J467">
        <v>38150</v>
      </c>
      <c r="K467">
        <v>36150</v>
      </c>
      <c r="L467">
        <v>34500</v>
      </c>
      <c r="M467">
        <v>0</v>
      </c>
      <c r="N467">
        <v>118.2714</v>
      </c>
      <c r="O467">
        <v>7.5137964000000002E-2</v>
      </c>
      <c r="P467">
        <v>14548.700199999999</v>
      </c>
      <c r="Q467">
        <v>26.97</v>
      </c>
      <c r="R467">
        <v>1.1599999999999999</v>
      </c>
      <c r="S467">
        <v>79.89</v>
      </c>
      <c r="T467">
        <v>23</v>
      </c>
      <c r="U467" s="1" t="s">
        <v>25</v>
      </c>
      <c r="V467">
        <v>0</v>
      </c>
    </row>
    <row r="468" spans="1:22" x14ac:dyDescent="0.3">
      <c r="A468" s="2">
        <v>44401</v>
      </c>
      <c r="B468">
        <v>38150</v>
      </c>
      <c r="C468">
        <v>570</v>
      </c>
      <c r="D468">
        <v>7</v>
      </c>
      <c r="E468" s="1" t="s">
        <v>43</v>
      </c>
      <c r="F468">
        <v>5</v>
      </c>
      <c r="G468" s="1" t="s">
        <v>23</v>
      </c>
      <c r="J468">
        <v>38150</v>
      </c>
      <c r="L468">
        <v>34500</v>
      </c>
      <c r="M468">
        <v>0</v>
      </c>
      <c r="N468">
        <v>118.2714</v>
      </c>
      <c r="O468">
        <v>7.5137964000000002E-2</v>
      </c>
      <c r="P468">
        <v>14548.700199999999</v>
      </c>
      <c r="Q468">
        <v>26.5</v>
      </c>
      <c r="R468">
        <v>0.59</v>
      </c>
      <c r="S468">
        <v>81.599999999999994</v>
      </c>
      <c r="T468">
        <v>24</v>
      </c>
      <c r="U468" s="1" t="s">
        <v>25</v>
      </c>
      <c r="V468">
        <v>0</v>
      </c>
    </row>
    <row r="469" spans="1:22" x14ac:dyDescent="0.3">
      <c r="A469" s="2">
        <v>44403</v>
      </c>
      <c r="B469">
        <v>37900</v>
      </c>
      <c r="C469">
        <v>572</v>
      </c>
      <c r="D469">
        <v>7</v>
      </c>
      <c r="E469" s="1" t="s">
        <v>43</v>
      </c>
      <c r="F469">
        <v>0</v>
      </c>
      <c r="G469" s="1" t="s">
        <v>23</v>
      </c>
      <c r="K469">
        <v>39900</v>
      </c>
      <c r="L469">
        <v>34000</v>
      </c>
      <c r="N469">
        <v>118.2714</v>
      </c>
      <c r="O469">
        <v>7.5137964000000002E-2</v>
      </c>
      <c r="P469">
        <v>14486</v>
      </c>
      <c r="Q469">
        <v>26.82</v>
      </c>
      <c r="R469">
        <v>0.04</v>
      </c>
      <c r="S469">
        <v>83.53</v>
      </c>
      <c r="T469">
        <v>26</v>
      </c>
      <c r="U469" s="1" t="s">
        <v>35</v>
      </c>
      <c r="V469">
        <v>-0.66</v>
      </c>
    </row>
    <row r="470" spans="1:22" x14ac:dyDescent="0.3">
      <c r="A470" s="2">
        <v>44404</v>
      </c>
      <c r="B470">
        <v>37900</v>
      </c>
      <c r="C470">
        <v>573</v>
      </c>
      <c r="D470">
        <v>7</v>
      </c>
      <c r="E470" s="1" t="s">
        <v>43</v>
      </c>
      <c r="F470">
        <v>1</v>
      </c>
      <c r="G470" s="1" t="s">
        <v>23</v>
      </c>
      <c r="J470">
        <v>37900</v>
      </c>
      <c r="L470">
        <v>34000</v>
      </c>
      <c r="M470">
        <v>0</v>
      </c>
      <c r="N470">
        <v>118.2714</v>
      </c>
      <c r="O470">
        <v>7.5137964000000002E-2</v>
      </c>
      <c r="P470">
        <v>14523.5</v>
      </c>
      <c r="Q470">
        <v>26.78</v>
      </c>
      <c r="R470">
        <v>0.03</v>
      </c>
      <c r="S470">
        <v>84</v>
      </c>
      <c r="T470">
        <v>27</v>
      </c>
      <c r="U470" s="1" t="s">
        <v>25</v>
      </c>
      <c r="V470">
        <v>0</v>
      </c>
    </row>
    <row r="471" spans="1:22" x14ac:dyDescent="0.3">
      <c r="A471" s="2">
        <v>44405</v>
      </c>
      <c r="B471">
        <v>37650</v>
      </c>
      <c r="C471">
        <v>574</v>
      </c>
      <c r="D471">
        <v>7</v>
      </c>
      <c r="E471" s="1" t="s">
        <v>43</v>
      </c>
      <c r="F471">
        <v>2</v>
      </c>
      <c r="G471" s="1" t="s">
        <v>23</v>
      </c>
      <c r="J471">
        <v>37900</v>
      </c>
      <c r="K471">
        <v>38750</v>
      </c>
      <c r="L471">
        <v>33750</v>
      </c>
      <c r="M471">
        <v>-250</v>
      </c>
      <c r="N471">
        <v>118.2714</v>
      </c>
      <c r="O471">
        <v>7.5137964000000002E-2</v>
      </c>
      <c r="P471">
        <v>14554</v>
      </c>
      <c r="Q471">
        <v>26.82</v>
      </c>
      <c r="R471">
        <v>0.04</v>
      </c>
      <c r="S471">
        <v>84.51</v>
      </c>
      <c r="T471">
        <v>28</v>
      </c>
      <c r="U471" s="1" t="s">
        <v>35</v>
      </c>
      <c r="V471">
        <v>-0.66</v>
      </c>
    </row>
    <row r="472" spans="1:22" x14ac:dyDescent="0.3">
      <c r="A472" s="2">
        <v>44406</v>
      </c>
      <c r="B472">
        <v>38650</v>
      </c>
      <c r="C472">
        <v>575</v>
      </c>
      <c r="D472">
        <v>7</v>
      </c>
      <c r="E472" s="1" t="s">
        <v>43</v>
      </c>
      <c r="F472">
        <v>3</v>
      </c>
      <c r="G472" s="1" t="s">
        <v>23</v>
      </c>
      <c r="J472">
        <v>37650</v>
      </c>
      <c r="K472">
        <v>38150</v>
      </c>
      <c r="L472">
        <v>33750</v>
      </c>
      <c r="M472">
        <v>1000</v>
      </c>
      <c r="N472">
        <v>118.2714</v>
      </c>
      <c r="O472">
        <v>7.5137964000000002E-2</v>
      </c>
      <c r="P472">
        <v>14462.599609999999</v>
      </c>
      <c r="Q472">
        <v>27.22</v>
      </c>
      <c r="R472">
        <v>1.74</v>
      </c>
      <c r="S472">
        <v>83.3</v>
      </c>
      <c r="T472">
        <v>29</v>
      </c>
      <c r="U472" s="1" t="s">
        <v>29</v>
      </c>
      <c r="V472">
        <v>2.66</v>
      </c>
    </row>
    <row r="473" spans="1:22" x14ac:dyDescent="0.3">
      <c r="A473" s="2">
        <v>44407</v>
      </c>
      <c r="B473">
        <v>39150</v>
      </c>
      <c r="C473">
        <v>576</v>
      </c>
      <c r="D473">
        <v>7</v>
      </c>
      <c r="E473" s="1" t="s">
        <v>43</v>
      </c>
      <c r="F473">
        <v>4</v>
      </c>
      <c r="G473" s="1" t="s">
        <v>23</v>
      </c>
      <c r="J473">
        <v>38650</v>
      </c>
      <c r="K473">
        <v>38150</v>
      </c>
      <c r="L473">
        <v>34750</v>
      </c>
      <c r="M473">
        <v>500</v>
      </c>
      <c r="N473">
        <v>118.2714</v>
      </c>
      <c r="O473">
        <v>7.5137964000000002E-2</v>
      </c>
      <c r="P473">
        <v>14450</v>
      </c>
      <c r="Q473">
        <v>27.24</v>
      </c>
      <c r="R473">
        <v>1.19</v>
      </c>
      <c r="S473">
        <v>81.33</v>
      </c>
      <c r="T473">
        <v>30</v>
      </c>
      <c r="U473" s="1" t="s">
        <v>26</v>
      </c>
      <c r="V473">
        <v>1.29</v>
      </c>
    </row>
    <row r="474" spans="1:22" x14ac:dyDescent="0.3">
      <c r="A474" s="2">
        <v>44408</v>
      </c>
      <c r="B474">
        <v>39150</v>
      </c>
      <c r="C474">
        <v>577</v>
      </c>
      <c r="D474">
        <v>7</v>
      </c>
      <c r="E474" s="1" t="s">
        <v>43</v>
      </c>
      <c r="F474">
        <v>5</v>
      </c>
      <c r="G474" s="1" t="s">
        <v>23</v>
      </c>
      <c r="J474">
        <v>39150</v>
      </c>
      <c r="K474">
        <v>38150</v>
      </c>
      <c r="L474">
        <v>34000</v>
      </c>
      <c r="M474">
        <v>0</v>
      </c>
      <c r="N474">
        <v>118.2714</v>
      </c>
      <c r="O474">
        <v>7.5137964000000002E-2</v>
      </c>
      <c r="P474">
        <v>14450</v>
      </c>
      <c r="Q474">
        <v>27.68</v>
      </c>
      <c r="R474">
        <v>1.85</v>
      </c>
      <c r="S474">
        <v>79.290000000000006</v>
      </c>
      <c r="T474">
        <v>31</v>
      </c>
      <c r="U474" s="1" t="s">
        <v>26</v>
      </c>
      <c r="V474">
        <v>1.29</v>
      </c>
    </row>
    <row r="475" spans="1:22" x14ac:dyDescent="0.3">
      <c r="A475" s="2">
        <v>44409</v>
      </c>
      <c r="B475">
        <v>39150</v>
      </c>
      <c r="C475">
        <v>578</v>
      </c>
      <c r="D475">
        <v>8</v>
      </c>
      <c r="E475" s="1" t="s">
        <v>43</v>
      </c>
      <c r="F475">
        <v>6</v>
      </c>
      <c r="G475" s="1" t="s">
        <v>23</v>
      </c>
      <c r="H475">
        <v>38507.142857142855</v>
      </c>
      <c r="J475">
        <v>39150</v>
      </c>
      <c r="L475">
        <v>34000</v>
      </c>
      <c r="M475">
        <v>0</v>
      </c>
      <c r="N475">
        <v>118.3047</v>
      </c>
      <c r="O475">
        <v>2.8155580999999999E-2</v>
      </c>
      <c r="P475">
        <v>14450</v>
      </c>
      <c r="Q475">
        <v>27.58</v>
      </c>
      <c r="R475">
        <v>0.84</v>
      </c>
      <c r="S475">
        <v>76.66</v>
      </c>
      <c r="T475">
        <v>1</v>
      </c>
      <c r="U475" s="1" t="s">
        <v>26</v>
      </c>
      <c r="V475">
        <v>1.29</v>
      </c>
    </row>
    <row r="476" spans="1:22" x14ac:dyDescent="0.3">
      <c r="A476" s="2">
        <v>44410</v>
      </c>
      <c r="B476">
        <v>40400</v>
      </c>
      <c r="C476">
        <v>579</v>
      </c>
      <c r="D476">
        <v>8</v>
      </c>
      <c r="E476" s="1" t="s">
        <v>43</v>
      </c>
      <c r="F476">
        <v>0</v>
      </c>
      <c r="G476" s="1" t="s">
        <v>23</v>
      </c>
      <c r="H476">
        <v>38864.285714285717</v>
      </c>
      <c r="J476">
        <v>39150</v>
      </c>
      <c r="K476">
        <v>37900</v>
      </c>
      <c r="L476">
        <v>34000</v>
      </c>
      <c r="M476">
        <v>1250</v>
      </c>
      <c r="N476">
        <v>118.3047</v>
      </c>
      <c r="O476">
        <v>2.8155580999999999E-2</v>
      </c>
      <c r="P476">
        <v>14456</v>
      </c>
      <c r="Q476">
        <v>27.49</v>
      </c>
      <c r="R476">
        <v>0.54</v>
      </c>
      <c r="S476">
        <v>81.760000000000005</v>
      </c>
      <c r="T476">
        <v>2</v>
      </c>
      <c r="U476" s="1" t="s">
        <v>36</v>
      </c>
      <c r="V476">
        <v>3.19</v>
      </c>
    </row>
    <row r="477" spans="1:22" x14ac:dyDescent="0.3">
      <c r="A477" s="2">
        <v>44411</v>
      </c>
      <c r="B477">
        <v>40400</v>
      </c>
      <c r="C477">
        <v>580</v>
      </c>
      <c r="D477">
        <v>8</v>
      </c>
      <c r="E477" s="1" t="s">
        <v>43</v>
      </c>
      <c r="F477">
        <v>1</v>
      </c>
      <c r="G477" s="1" t="s">
        <v>23</v>
      </c>
      <c r="H477">
        <v>39221.428571428572</v>
      </c>
      <c r="J477">
        <v>40400</v>
      </c>
      <c r="K477">
        <v>37900</v>
      </c>
      <c r="L477">
        <v>34000</v>
      </c>
      <c r="M477">
        <v>0</v>
      </c>
      <c r="N477">
        <v>118.3047</v>
      </c>
      <c r="O477">
        <v>2.8155580999999999E-2</v>
      </c>
      <c r="P477">
        <v>14397.400390000001</v>
      </c>
      <c r="Q477">
        <v>27.61</v>
      </c>
      <c r="R477">
        <v>2</v>
      </c>
      <c r="S477">
        <v>79.84</v>
      </c>
      <c r="T477">
        <v>3</v>
      </c>
      <c r="U477" s="1" t="s">
        <v>25</v>
      </c>
      <c r="V477">
        <v>0</v>
      </c>
    </row>
    <row r="478" spans="1:22" x14ac:dyDescent="0.3">
      <c r="A478" s="2">
        <v>44412</v>
      </c>
      <c r="B478">
        <v>40400</v>
      </c>
      <c r="C478">
        <v>581</v>
      </c>
      <c r="D478">
        <v>8</v>
      </c>
      <c r="E478" s="1" t="s">
        <v>43</v>
      </c>
      <c r="F478">
        <v>2</v>
      </c>
      <c r="G478" s="1" t="s">
        <v>23</v>
      </c>
      <c r="H478">
        <v>39614.285714285717</v>
      </c>
      <c r="J478">
        <v>40400</v>
      </c>
      <c r="K478">
        <v>37650</v>
      </c>
      <c r="L478">
        <v>34250</v>
      </c>
      <c r="M478">
        <v>0</v>
      </c>
      <c r="N478">
        <v>118.3047</v>
      </c>
      <c r="O478">
        <v>2.8155580999999999E-2</v>
      </c>
      <c r="P478">
        <v>14349.5</v>
      </c>
      <c r="Q478">
        <v>27.45</v>
      </c>
      <c r="R478">
        <v>2.79</v>
      </c>
      <c r="S478">
        <v>81.83</v>
      </c>
      <c r="T478">
        <v>4</v>
      </c>
      <c r="U478" s="1" t="s">
        <v>25</v>
      </c>
      <c r="V478">
        <v>0</v>
      </c>
    </row>
    <row r="479" spans="1:22" x14ac:dyDescent="0.3">
      <c r="A479" s="2">
        <v>44413</v>
      </c>
      <c r="B479">
        <v>39900</v>
      </c>
      <c r="C479">
        <v>582</v>
      </c>
      <c r="D479">
        <v>8</v>
      </c>
      <c r="E479" s="1" t="s">
        <v>43</v>
      </c>
      <c r="F479">
        <v>3</v>
      </c>
      <c r="G479" s="1" t="s">
        <v>23</v>
      </c>
      <c r="H479">
        <v>39792.857142857145</v>
      </c>
      <c r="J479">
        <v>40400</v>
      </c>
      <c r="K479">
        <v>38650</v>
      </c>
      <c r="L479">
        <v>34250</v>
      </c>
      <c r="M479">
        <v>-500</v>
      </c>
      <c r="N479">
        <v>118.3047</v>
      </c>
      <c r="O479">
        <v>2.8155580999999999E-2</v>
      </c>
      <c r="P479">
        <v>14338.599609999999</v>
      </c>
      <c r="Q479">
        <v>26.56</v>
      </c>
      <c r="R479">
        <v>3.53</v>
      </c>
      <c r="S479">
        <v>80.900000000000006</v>
      </c>
      <c r="T479">
        <v>5</v>
      </c>
      <c r="U479" s="1" t="s">
        <v>24</v>
      </c>
      <c r="V479">
        <v>-1.24</v>
      </c>
    </row>
    <row r="480" spans="1:22" x14ac:dyDescent="0.3">
      <c r="A480" s="2">
        <v>44414</v>
      </c>
      <c r="B480">
        <v>41250</v>
      </c>
      <c r="C480">
        <v>583</v>
      </c>
      <c r="D480">
        <v>8</v>
      </c>
      <c r="E480" s="1" t="s">
        <v>43</v>
      </c>
      <c r="F480">
        <v>4</v>
      </c>
      <c r="G480" s="1" t="s">
        <v>23</v>
      </c>
      <c r="H480">
        <v>40092.857142857145</v>
      </c>
      <c r="J480">
        <v>39900</v>
      </c>
      <c r="K480">
        <v>39150</v>
      </c>
      <c r="L480">
        <v>34750</v>
      </c>
      <c r="M480">
        <v>1350</v>
      </c>
      <c r="N480">
        <v>118.3047</v>
      </c>
      <c r="O480">
        <v>2.8155580999999999E-2</v>
      </c>
      <c r="P480">
        <v>14385.5</v>
      </c>
      <c r="Q480">
        <v>26.55</v>
      </c>
      <c r="R480">
        <v>6.95</v>
      </c>
      <c r="S480">
        <v>81.99</v>
      </c>
      <c r="T480">
        <v>6</v>
      </c>
      <c r="U480" s="1" t="s">
        <v>63</v>
      </c>
      <c r="V480">
        <v>3.38</v>
      </c>
    </row>
    <row r="481" spans="1:22" x14ac:dyDescent="0.3">
      <c r="A481" s="2">
        <v>44415</v>
      </c>
      <c r="B481">
        <v>41250</v>
      </c>
      <c r="C481">
        <v>584</v>
      </c>
      <c r="D481">
        <v>8</v>
      </c>
      <c r="E481" s="1" t="s">
        <v>43</v>
      </c>
      <c r="F481">
        <v>5</v>
      </c>
      <c r="G481" s="1" t="s">
        <v>23</v>
      </c>
      <c r="H481">
        <v>40392.857142857145</v>
      </c>
      <c r="J481">
        <v>41250</v>
      </c>
      <c r="K481">
        <v>39150</v>
      </c>
      <c r="L481">
        <v>34750</v>
      </c>
      <c r="M481">
        <v>0</v>
      </c>
      <c r="N481">
        <v>118.3047</v>
      </c>
      <c r="O481">
        <v>2.8155580999999999E-2</v>
      </c>
      <c r="P481">
        <v>14385.5</v>
      </c>
      <c r="Q481">
        <v>25.78</v>
      </c>
      <c r="R481">
        <v>5.04</v>
      </c>
      <c r="S481">
        <v>83.38</v>
      </c>
      <c r="T481">
        <v>7</v>
      </c>
      <c r="U481" s="1" t="s">
        <v>63</v>
      </c>
      <c r="V481">
        <v>3.38</v>
      </c>
    </row>
    <row r="482" spans="1:22" x14ac:dyDescent="0.3">
      <c r="A482" s="2">
        <v>44416</v>
      </c>
      <c r="B482">
        <v>41250</v>
      </c>
      <c r="C482">
        <v>585</v>
      </c>
      <c r="D482">
        <v>8</v>
      </c>
      <c r="E482" s="1" t="s">
        <v>43</v>
      </c>
      <c r="F482">
        <v>6</v>
      </c>
      <c r="G482" s="1" t="s">
        <v>23</v>
      </c>
      <c r="H482">
        <v>40692.857142857145</v>
      </c>
      <c r="J482">
        <v>41250</v>
      </c>
      <c r="K482">
        <v>39150</v>
      </c>
      <c r="L482">
        <v>35500</v>
      </c>
      <c r="M482">
        <v>0</v>
      </c>
      <c r="N482">
        <v>118.3047</v>
      </c>
      <c r="O482">
        <v>2.8155580999999999E-2</v>
      </c>
      <c r="P482">
        <v>14385.5</v>
      </c>
      <c r="Q482">
        <v>26.23</v>
      </c>
      <c r="R482">
        <v>9.86</v>
      </c>
      <c r="S482">
        <v>82.32</v>
      </c>
      <c r="T482">
        <v>8</v>
      </c>
      <c r="U482" s="1" t="s">
        <v>63</v>
      </c>
      <c r="V482">
        <v>3.38</v>
      </c>
    </row>
    <row r="483" spans="1:22" x14ac:dyDescent="0.3">
      <c r="A483" s="2">
        <v>44417</v>
      </c>
      <c r="B483">
        <v>40400</v>
      </c>
      <c r="C483">
        <v>586</v>
      </c>
      <c r="D483">
        <v>8</v>
      </c>
      <c r="E483" s="1" t="s">
        <v>43</v>
      </c>
      <c r="F483">
        <v>0</v>
      </c>
      <c r="G483" s="1" t="s">
        <v>23</v>
      </c>
      <c r="H483">
        <v>40692.857142857145</v>
      </c>
      <c r="J483">
        <v>41250</v>
      </c>
      <c r="K483">
        <v>40400</v>
      </c>
      <c r="L483">
        <v>35500</v>
      </c>
      <c r="M483">
        <v>-850</v>
      </c>
      <c r="N483">
        <v>118.3047</v>
      </c>
      <c r="O483">
        <v>2.8155580999999999E-2</v>
      </c>
      <c r="P483">
        <v>14346</v>
      </c>
      <c r="Q483">
        <v>26.93</v>
      </c>
      <c r="R483">
        <v>3.94</v>
      </c>
      <c r="S483">
        <v>80.98</v>
      </c>
      <c r="T483">
        <v>9</v>
      </c>
      <c r="U483" s="1" t="s">
        <v>60</v>
      </c>
      <c r="V483">
        <v>-2.06</v>
      </c>
    </row>
    <row r="484" spans="1:22" x14ac:dyDescent="0.3">
      <c r="A484" s="2">
        <v>44418</v>
      </c>
      <c r="B484">
        <v>40400</v>
      </c>
      <c r="C484">
        <v>587</v>
      </c>
      <c r="D484">
        <v>8</v>
      </c>
      <c r="E484" s="1" t="s">
        <v>43</v>
      </c>
      <c r="F484">
        <v>1</v>
      </c>
      <c r="G484" s="1" t="s">
        <v>44</v>
      </c>
      <c r="H484">
        <v>40692.857142857145</v>
      </c>
      <c r="J484">
        <v>40400</v>
      </c>
      <c r="K484">
        <v>40400</v>
      </c>
      <c r="L484">
        <v>35500</v>
      </c>
      <c r="M484">
        <v>0</v>
      </c>
      <c r="N484">
        <v>118.3047</v>
      </c>
      <c r="O484">
        <v>2.8155580999999999E-2</v>
      </c>
      <c r="P484">
        <v>14402.099609999999</v>
      </c>
      <c r="Q484">
        <v>26.35</v>
      </c>
      <c r="R484">
        <v>0.9</v>
      </c>
      <c r="S484">
        <v>85.49</v>
      </c>
      <c r="T484">
        <v>10</v>
      </c>
      <c r="U484" s="1" t="s">
        <v>25</v>
      </c>
      <c r="V484">
        <v>0</v>
      </c>
    </row>
    <row r="485" spans="1:22" x14ac:dyDescent="0.3">
      <c r="A485" s="2">
        <v>44420</v>
      </c>
      <c r="B485">
        <v>39900</v>
      </c>
      <c r="C485">
        <v>589</v>
      </c>
      <c r="D485">
        <v>8</v>
      </c>
      <c r="E485" s="1" t="s">
        <v>43</v>
      </c>
      <c r="F485">
        <v>3</v>
      </c>
      <c r="G485" s="1" t="s">
        <v>23</v>
      </c>
      <c r="K485">
        <v>39900</v>
      </c>
      <c r="L485">
        <v>34650</v>
      </c>
      <c r="N485">
        <v>118.3047</v>
      </c>
      <c r="O485">
        <v>2.8155580999999999E-2</v>
      </c>
      <c r="P485">
        <v>14395</v>
      </c>
      <c r="Q485">
        <v>26.97</v>
      </c>
      <c r="R485">
        <v>4.68</v>
      </c>
      <c r="S485">
        <v>83.63</v>
      </c>
      <c r="T485">
        <v>12</v>
      </c>
      <c r="U485" s="1"/>
      <c r="V485">
        <v>0</v>
      </c>
    </row>
    <row r="486" spans="1:22" x14ac:dyDescent="0.3">
      <c r="A486" s="2">
        <v>44421</v>
      </c>
      <c r="B486">
        <v>39400</v>
      </c>
      <c r="C486">
        <v>590</v>
      </c>
      <c r="D486">
        <v>8</v>
      </c>
      <c r="E486" s="1" t="s">
        <v>43</v>
      </c>
      <c r="F486">
        <v>4</v>
      </c>
      <c r="G486" s="1" t="s">
        <v>23</v>
      </c>
      <c r="J486">
        <v>39900</v>
      </c>
      <c r="K486">
        <v>41250</v>
      </c>
      <c r="L486">
        <v>34650</v>
      </c>
      <c r="M486">
        <v>-500</v>
      </c>
      <c r="N486">
        <v>118.3047</v>
      </c>
      <c r="O486">
        <v>2.8155580999999999E-2</v>
      </c>
      <c r="P486">
        <v>14341</v>
      </c>
      <c r="Q486">
        <v>26.86</v>
      </c>
      <c r="R486">
        <v>2.79</v>
      </c>
      <c r="S486">
        <v>83.49</v>
      </c>
      <c r="T486">
        <v>13</v>
      </c>
      <c r="U486" s="1" t="s">
        <v>24</v>
      </c>
      <c r="V486">
        <v>-1.25</v>
      </c>
    </row>
    <row r="487" spans="1:22" x14ac:dyDescent="0.3">
      <c r="A487" s="2">
        <v>44422</v>
      </c>
      <c r="B487">
        <v>39400</v>
      </c>
      <c r="C487">
        <v>591</v>
      </c>
      <c r="D487">
        <v>8</v>
      </c>
      <c r="E487" s="1" t="s">
        <v>43</v>
      </c>
      <c r="F487">
        <v>5</v>
      </c>
      <c r="G487" s="1" t="s">
        <v>23</v>
      </c>
      <c r="J487">
        <v>39400</v>
      </c>
      <c r="K487">
        <v>41250</v>
      </c>
      <c r="L487">
        <v>35150</v>
      </c>
      <c r="M487">
        <v>0</v>
      </c>
      <c r="N487">
        <v>118.3047</v>
      </c>
      <c r="O487">
        <v>2.8155580999999999E-2</v>
      </c>
      <c r="P487">
        <v>14341</v>
      </c>
      <c r="Q487">
        <v>27.05</v>
      </c>
      <c r="R487">
        <v>3.06</v>
      </c>
      <c r="S487">
        <v>78.61</v>
      </c>
      <c r="T487">
        <v>14</v>
      </c>
      <c r="U487" s="1" t="s">
        <v>24</v>
      </c>
      <c r="V487">
        <v>-1.25</v>
      </c>
    </row>
    <row r="488" spans="1:22" x14ac:dyDescent="0.3">
      <c r="A488" s="2">
        <v>44424</v>
      </c>
      <c r="B488">
        <v>38900</v>
      </c>
      <c r="C488">
        <v>593</v>
      </c>
      <c r="D488">
        <v>8</v>
      </c>
      <c r="E488" s="1" t="s">
        <v>43</v>
      </c>
      <c r="F488">
        <v>0</v>
      </c>
      <c r="G488" s="1" t="s">
        <v>23</v>
      </c>
      <c r="K488">
        <v>40400</v>
      </c>
      <c r="N488">
        <v>118.3047</v>
      </c>
      <c r="O488">
        <v>2.8155580999999999E-2</v>
      </c>
      <c r="P488">
        <v>14381</v>
      </c>
      <c r="Q488">
        <v>26.68</v>
      </c>
      <c r="R488">
        <v>5.68</v>
      </c>
      <c r="S488">
        <v>82.79</v>
      </c>
      <c r="T488">
        <v>16</v>
      </c>
      <c r="U488" s="1" t="s">
        <v>24</v>
      </c>
      <c r="V488">
        <v>-1.27</v>
      </c>
    </row>
    <row r="489" spans="1:22" x14ac:dyDescent="0.3">
      <c r="A489" s="2">
        <v>44426</v>
      </c>
      <c r="B489">
        <v>39150</v>
      </c>
      <c r="C489">
        <v>595</v>
      </c>
      <c r="D489">
        <v>8</v>
      </c>
      <c r="E489" s="1" t="s">
        <v>43</v>
      </c>
      <c r="F489">
        <v>2</v>
      </c>
      <c r="G489" s="1" t="s">
        <v>23</v>
      </c>
      <c r="L489">
        <v>39900</v>
      </c>
      <c r="N489">
        <v>118.3047</v>
      </c>
      <c r="O489">
        <v>2.8155580999999999E-2</v>
      </c>
      <c r="P489">
        <v>14425.099609999999</v>
      </c>
      <c r="Q489">
        <v>27.15</v>
      </c>
      <c r="R489">
        <v>2.73</v>
      </c>
      <c r="S489">
        <v>80.28</v>
      </c>
      <c r="T489">
        <v>18</v>
      </c>
      <c r="U489" s="1"/>
      <c r="V489">
        <v>0</v>
      </c>
    </row>
    <row r="490" spans="1:22" x14ac:dyDescent="0.3">
      <c r="A490" s="2">
        <v>44427</v>
      </c>
      <c r="B490">
        <v>38650</v>
      </c>
      <c r="C490">
        <v>596</v>
      </c>
      <c r="D490">
        <v>8</v>
      </c>
      <c r="E490" s="1" t="s">
        <v>43</v>
      </c>
      <c r="F490">
        <v>3</v>
      </c>
      <c r="G490" s="1" t="s">
        <v>23</v>
      </c>
      <c r="J490">
        <v>39150</v>
      </c>
      <c r="K490">
        <v>39900</v>
      </c>
      <c r="M490">
        <v>-500</v>
      </c>
      <c r="N490">
        <v>118.3047</v>
      </c>
      <c r="O490">
        <v>2.8155580999999999E-2</v>
      </c>
      <c r="P490">
        <v>14454.200199999999</v>
      </c>
      <c r="Q490">
        <v>26.6</v>
      </c>
      <c r="R490">
        <v>23.81</v>
      </c>
      <c r="S490">
        <v>82.24</v>
      </c>
      <c r="T490">
        <v>19</v>
      </c>
      <c r="U490" s="1" t="s">
        <v>24</v>
      </c>
      <c r="V490">
        <v>-1.28</v>
      </c>
    </row>
    <row r="491" spans="1:22" x14ac:dyDescent="0.3">
      <c r="A491" s="2">
        <v>44428</v>
      </c>
      <c r="B491">
        <v>39150</v>
      </c>
      <c r="C491">
        <v>597</v>
      </c>
      <c r="D491">
        <v>8</v>
      </c>
      <c r="E491" s="1" t="s">
        <v>43</v>
      </c>
      <c r="F491">
        <v>4</v>
      </c>
      <c r="G491" s="1" t="s">
        <v>23</v>
      </c>
      <c r="J491">
        <v>38650</v>
      </c>
      <c r="K491">
        <v>39400</v>
      </c>
      <c r="L491">
        <v>38750</v>
      </c>
      <c r="M491">
        <v>500</v>
      </c>
      <c r="N491">
        <v>118.3047</v>
      </c>
      <c r="O491">
        <v>2.8155580999999999E-2</v>
      </c>
      <c r="P491">
        <v>14493.400390000001</v>
      </c>
      <c r="Q491">
        <v>26.26</v>
      </c>
      <c r="R491">
        <v>3.58</v>
      </c>
      <c r="S491">
        <v>76.75</v>
      </c>
      <c r="T491">
        <v>20</v>
      </c>
      <c r="U491" s="1" t="s">
        <v>26</v>
      </c>
      <c r="V491">
        <v>1.29</v>
      </c>
    </row>
    <row r="492" spans="1:22" x14ac:dyDescent="0.3">
      <c r="A492" s="2">
        <v>44429</v>
      </c>
      <c r="B492">
        <v>39150</v>
      </c>
      <c r="C492">
        <v>598</v>
      </c>
      <c r="D492">
        <v>8</v>
      </c>
      <c r="E492" s="1" t="s">
        <v>43</v>
      </c>
      <c r="F492">
        <v>5</v>
      </c>
      <c r="G492" s="1" t="s">
        <v>23</v>
      </c>
      <c r="J492">
        <v>39150</v>
      </c>
      <c r="K492">
        <v>39400</v>
      </c>
      <c r="L492">
        <v>38150</v>
      </c>
      <c r="M492">
        <v>0</v>
      </c>
      <c r="N492">
        <v>118.3047</v>
      </c>
      <c r="O492">
        <v>2.8155580999999999E-2</v>
      </c>
      <c r="P492">
        <v>14493.400390000001</v>
      </c>
      <c r="Q492">
        <v>26.58</v>
      </c>
      <c r="R492">
        <v>2.81</v>
      </c>
      <c r="S492">
        <v>79.83</v>
      </c>
      <c r="T492">
        <v>21</v>
      </c>
      <c r="U492" s="1" t="s">
        <v>26</v>
      </c>
      <c r="V492">
        <v>1.29</v>
      </c>
    </row>
    <row r="493" spans="1:22" x14ac:dyDescent="0.3">
      <c r="A493" s="2">
        <v>44430</v>
      </c>
      <c r="B493">
        <v>39150</v>
      </c>
      <c r="C493">
        <v>599</v>
      </c>
      <c r="D493">
        <v>8</v>
      </c>
      <c r="E493" s="1" t="s">
        <v>43</v>
      </c>
      <c r="F493">
        <v>6</v>
      </c>
      <c r="G493" s="1" t="s">
        <v>23</v>
      </c>
      <c r="J493">
        <v>39150</v>
      </c>
      <c r="L493">
        <v>38150</v>
      </c>
      <c r="M493">
        <v>0</v>
      </c>
      <c r="N493">
        <v>118.3047</v>
      </c>
      <c r="O493">
        <v>2.8155580999999999E-2</v>
      </c>
      <c r="P493">
        <v>14493.400390000001</v>
      </c>
      <c r="Q493">
        <v>26.81</v>
      </c>
      <c r="R493">
        <v>1.97</v>
      </c>
      <c r="S493">
        <v>79.75</v>
      </c>
      <c r="T493">
        <v>22</v>
      </c>
      <c r="U493" s="1" t="s">
        <v>26</v>
      </c>
      <c r="V493">
        <v>1.29</v>
      </c>
    </row>
    <row r="494" spans="1:22" x14ac:dyDescent="0.3">
      <c r="A494" s="2">
        <v>44431</v>
      </c>
      <c r="B494">
        <v>38400</v>
      </c>
      <c r="C494">
        <v>600</v>
      </c>
      <c r="D494">
        <v>8</v>
      </c>
      <c r="E494" s="1" t="s">
        <v>43</v>
      </c>
      <c r="F494">
        <v>0</v>
      </c>
      <c r="G494" s="1" t="s">
        <v>23</v>
      </c>
      <c r="J494">
        <v>39150</v>
      </c>
      <c r="K494">
        <v>38900</v>
      </c>
      <c r="L494">
        <v>38150</v>
      </c>
      <c r="M494">
        <v>-750</v>
      </c>
      <c r="N494">
        <v>118.3047</v>
      </c>
      <c r="O494">
        <v>2.8155580999999999E-2</v>
      </c>
      <c r="P494">
        <v>14446</v>
      </c>
      <c r="Q494">
        <v>26.54</v>
      </c>
      <c r="R494">
        <v>4.03</v>
      </c>
      <c r="S494">
        <v>83.32</v>
      </c>
      <c r="T494">
        <v>23</v>
      </c>
      <c r="U494" s="1" t="s">
        <v>42</v>
      </c>
      <c r="V494">
        <v>-1.92</v>
      </c>
    </row>
    <row r="495" spans="1:22" x14ac:dyDescent="0.3">
      <c r="A495" s="2">
        <v>44432</v>
      </c>
      <c r="B495">
        <v>38150</v>
      </c>
      <c r="C495">
        <v>601</v>
      </c>
      <c r="D495">
        <v>8</v>
      </c>
      <c r="E495" s="1" t="s">
        <v>43</v>
      </c>
      <c r="F495">
        <v>1</v>
      </c>
      <c r="G495" s="1" t="s">
        <v>23</v>
      </c>
      <c r="H495">
        <v>38828.571428571428</v>
      </c>
      <c r="J495">
        <v>38400</v>
      </c>
      <c r="M495">
        <v>-250</v>
      </c>
      <c r="N495">
        <v>118.3047</v>
      </c>
      <c r="O495">
        <v>2.8155580999999999E-2</v>
      </c>
      <c r="P495">
        <v>14430</v>
      </c>
      <c r="Q495">
        <v>26.43</v>
      </c>
      <c r="R495">
        <v>5.15</v>
      </c>
      <c r="S495">
        <v>77.81</v>
      </c>
      <c r="T495">
        <v>24</v>
      </c>
      <c r="U495" s="1" t="s">
        <v>35</v>
      </c>
      <c r="V495">
        <v>-0.65</v>
      </c>
    </row>
    <row r="496" spans="1:22" x14ac:dyDescent="0.3">
      <c r="A496" s="2">
        <v>44433</v>
      </c>
      <c r="B496">
        <v>36650</v>
      </c>
      <c r="C496">
        <v>602</v>
      </c>
      <c r="D496">
        <v>8</v>
      </c>
      <c r="E496" s="1" t="s">
        <v>43</v>
      </c>
      <c r="F496">
        <v>2</v>
      </c>
      <c r="G496" s="1" t="s">
        <v>23</v>
      </c>
      <c r="H496">
        <v>38471.428571428572</v>
      </c>
      <c r="J496">
        <v>38150</v>
      </c>
      <c r="K496">
        <v>39150</v>
      </c>
      <c r="L496">
        <v>37900</v>
      </c>
      <c r="M496">
        <v>-1500</v>
      </c>
      <c r="N496">
        <v>118.3047</v>
      </c>
      <c r="O496">
        <v>2.8155580999999999E-2</v>
      </c>
      <c r="P496">
        <v>14448.700199999999</v>
      </c>
      <c r="Q496">
        <v>25.58</v>
      </c>
      <c r="R496">
        <v>13.95</v>
      </c>
      <c r="S496">
        <v>84.32</v>
      </c>
      <c r="T496">
        <v>25</v>
      </c>
      <c r="U496" s="1" t="s">
        <v>37</v>
      </c>
      <c r="V496">
        <v>-3.93</v>
      </c>
    </row>
    <row r="497" spans="1:22" x14ac:dyDescent="0.3">
      <c r="A497" s="2">
        <v>44434</v>
      </c>
      <c r="B497">
        <v>36400</v>
      </c>
      <c r="C497">
        <v>603</v>
      </c>
      <c r="D497">
        <v>8</v>
      </c>
      <c r="E497" s="1" t="s">
        <v>43</v>
      </c>
      <c r="F497">
        <v>3</v>
      </c>
      <c r="G497" s="1" t="s">
        <v>23</v>
      </c>
      <c r="H497">
        <v>38150</v>
      </c>
      <c r="J497">
        <v>36650</v>
      </c>
      <c r="K497">
        <v>38650</v>
      </c>
      <c r="L497">
        <v>37900</v>
      </c>
      <c r="M497">
        <v>-250</v>
      </c>
      <c r="N497">
        <v>118.3047</v>
      </c>
      <c r="O497">
        <v>2.8155580999999999E-2</v>
      </c>
      <c r="P497">
        <v>14465.700199999999</v>
      </c>
      <c r="Q497">
        <v>26.64</v>
      </c>
      <c r="R497">
        <v>10.69</v>
      </c>
      <c r="S497">
        <v>77.44</v>
      </c>
      <c r="T497">
        <v>26</v>
      </c>
      <c r="U497" s="1" t="s">
        <v>35</v>
      </c>
      <c r="V497">
        <v>-0.68</v>
      </c>
    </row>
    <row r="498" spans="1:22" x14ac:dyDescent="0.3">
      <c r="A498" s="2">
        <v>44435</v>
      </c>
      <c r="B498">
        <v>37000</v>
      </c>
      <c r="C498">
        <v>604</v>
      </c>
      <c r="D498">
        <v>8</v>
      </c>
      <c r="E498" s="1" t="s">
        <v>43</v>
      </c>
      <c r="F498">
        <v>4</v>
      </c>
      <c r="G498" s="1" t="s">
        <v>23</v>
      </c>
      <c r="H498">
        <v>37842.857142857145</v>
      </c>
      <c r="J498">
        <v>36400</v>
      </c>
      <c r="K498">
        <v>39150</v>
      </c>
      <c r="L498">
        <v>37650</v>
      </c>
      <c r="M498">
        <v>600</v>
      </c>
      <c r="N498">
        <v>118.3047</v>
      </c>
      <c r="O498">
        <v>2.8155580999999999E-2</v>
      </c>
      <c r="P498">
        <v>14449.299800000001</v>
      </c>
      <c r="Q498">
        <v>26.7</v>
      </c>
      <c r="R498">
        <v>7.24</v>
      </c>
      <c r="S498">
        <v>80.47</v>
      </c>
      <c r="T498">
        <v>27</v>
      </c>
      <c r="U498" s="1" t="s">
        <v>64</v>
      </c>
      <c r="V498">
        <v>1.65</v>
      </c>
    </row>
    <row r="499" spans="1:22" x14ac:dyDescent="0.3">
      <c r="A499" s="2">
        <v>44436</v>
      </c>
      <c r="B499">
        <v>37000</v>
      </c>
      <c r="C499">
        <v>605</v>
      </c>
      <c r="D499">
        <v>8</v>
      </c>
      <c r="E499" s="1" t="s">
        <v>43</v>
      </c>
      <c r="F499">
        <v>5</v>
      </c>
      <c r="G499" s="1" t="s">
        <v>23</v>
      </c>
      <c r="H499">
        <v>37535.714285714283</v>
      </c>
      <c r="J499">
        <v>37000</v>
      </c>
      <c r="K499">
        <v>39150</v>
      </c>
      <c r="L499">
        <v>38650</v>
      </c>
      <c r="M499">
        <v>0</v>
      </c>
      <c r="N499">
        <v>118.3047</v>
      </c>
      <c r="O499">
        <v>2.8155580999999999E-2</v>
      </c>
      <c r="P499">
        <v>14449.299800000001</v>
      </c>
      <c r="Q499">
        <v>26.48</v>
      </c>
      <c r="R499">
        <v>5.86</v>
      </c>
      <c r="S499">
        <v>82.93</v>
      </c>
      <c r="T499">
        <v>28</v>
      </c>
      <c r="U499" s="1" t="s">
        <v>64</v>
      </c>
      <c r="V499">
        <v>1.65</v>
      </c>
    </row>
    <row r="500" spans="1:22" x14ac:dyDescent="0.3">
      <c r="A500" s="2">
        <v>44437</v>
      </c>
      <c r="B500">
        <v>37000</v>
      </c>
      <c r="C500">
        <v>606</v>
      </c>
      <c r="D500">
        <v>8</v>
      </c>
      <c r="E500" s="1" t="s">
        <v>43</v>
      </c>
      <c r="F500">
        <v>6</v>
      </c>
      <c r="G500" s="1" t="s">
        <v>23</v>
      </c>
      <c r="H500">
        <v>37228.571428571428</v>
      </c>
      <c r="J500">
        <v>37000</v>
      </c>
      <c r="K500">
        <v>39150</v>
      </c>
      <c r="L500">
        <v>39150</v>
      </c>
      <c r="M500">
        <v>0</v>
      </c>
      <c r="N500">
        <v>118.3047</v>
      </c>
      <c r="O500">
        <v>2.8155580999999999E-2</v>
      </c>
      <c r="P500">
        <v>14449.299800000001</v>
      </c>
      <c r="Q500">
        <v>26.49</v>
      </c>
      <c r="R500">
        <v>3.42</v>
      </c>
      <c r="S500">
        <v>83.37</v>
      </c>
      <c r="T500">
        <v>29</v>
      </c>
      <c r="U500" s="1" t="s">
        <v>64</v>
      </c>
      <c r="V500">
        <v>1.65</v>
      </c>
    </row>
    <row r="501" spans="1:22" x14ac:dyDescent="0.3">
      <c r="A501" s="2">
        <v>44438</v>
      </c>
      <c r="B501">
        <v>35750</v>
      </c>
      <c r="C501">
        <v>607</v>
      </c>
      <c r="D501">
        <v>8</v>
      </c>
      <c r="E501" s="1" t="s">
        <v>43</v>
      </c>
      <c r="F501">
        <v>0</v>
      </c>
      <c r="G501" s="1" t="s">
        <v>23</v>
      </c>
      <c r="H501">
        <v>36850</v>
      </c>
      <c r="J501">
        <v>37000</v>
      </c>
      <c r="K501">
        <v>38400</v>
      </c>
      <c r="L501">
        <v>39150</v>
      </c>
      <c r="M501">
        <v>-1250</v>
      </c>
      <c r="N501">
        <v>118.3047</v>
      </c>
      <c r="O501">
        <v>2.8155580999999999E-2</v>
      </c>
      <c r="P501">
        <v>14411</v>
      </c>
      <c r="Q501">
        <v>26.86</v>
      </c>
      <c r="R501">
        <v>4.8</v>
      </c>
      <c r="S501">
        <v>80.41</v>
      </c>
      <c r="T501">
        <v>30</v>
      </c>
      <c r="U501" s="1" t="s">
        <v>40</v>
      </c>
      <c r="V501">
        <v>-3.38</v>
      </c>
    </row>
    <row r="502" spans="1:22" x14ac:dyDescent="0.3">
      <c r="A502" s="2">
        <v>44439</v>
      </c>
      <c r="B502">
        <v>35750</v>
      </c>
      <c r="C502">
        <v>608</v>
      </c>
      <c r="D502">
        <v>8</v>
      </c>
      <c r="E502" s="1" t="s">
        <v>43</v>
      </c>
      <c r="F502">
        <v>1</v>
      </c>
      <c r="G502" s="1" t="s">
        <v>23</v>
      </c>
      <c r="H502">
        <v>36507.142857142855</v>
      </c>
      <c r="J502">
        <v>35750</v>
      </c>
      <c r="K502">
        <v>38150</v>
      </c>
      <c r="L502">
        <v>39150</v>
      </c>
      <c r="M502">
        <v>0</v>
      </c>
      <c r="N502">
        <v>118.3047</v>
      </c>
      <c r="O502">
        <v>2.8155580999999999E-2</v>
      </c>
      <c r="P502">
        <v>14362</v>
      </c>
      <c r="Q502">
        <v>27.01</v>
      </c>
      <c r="R502">
        <v>3.34</v>
      </c>
      <c r="S502">
        <v>80.62</v>
      </c>
      <c r="T502">
        <v>31</v>
      </c>
      <c r="U502" s="1" t="s">
        <v>25</v>
      </c>
      <c r="V502">
        <v>0</v>
      </c>
    </row>
    <row r="503" spans="1:22" x14ac:dyDescent="0.3">
      <c r="A503" s="2">
        <v>44440</v>
      </c>
      <c r="B503">
        <v>35500</v>
      </c>
      <c r="C503">
        <v>609</v>
      </c>
      <c r="D503">
        <v>9</v>
      </c>
      <c r="E503" s="1" t="s">
        <v>43</v>
      </c>
      <c r="F503">
        <v>2</v>
      </c>
      <c r="G503" s="1" t="s">
        <v>23</v>
      </c>
      <c r="H503">
        <v>36342.857142857145</v>
      </c>
      <c r="J503">
        <v>35750</v>
      </c>
      <c r="K503">
        <v>36650</v>
      </c>
      <c r="L503">
        <v>40400</v>
      </c>
      <c r="M503">
        <v>-250</v>
      </c>
      <c r="N503">
        <v>118.2603</v>
      </c>
      <c r="O503">
        <v>-3.7530208000000002E-2</v>
      </c>
      <c r="P503">
        <v>14246.5</v>
      </c>
      <c r="Q503">
        <v>27.04</v>
      </c>
      <c r="R503">
        <v>4.1399999999999997</v>
      </c>
      <c r="S503">
        <v>82.18</v>
      </c>
      <c r="T503">
        <v>1</v>
      </c>
      <c r="U503" s="1" t="s">
        <v>35</v>
      </c>
      <c r="V503">
        <v>-0.7</v>
      </c>
    </row>
    <row r="504" spans="1:22" x14ac:dyDescent="0.3">
      <c r="A504" s="2">
        <v>44441</v>
      </c>
      <c r="B504">
        <v>35500</v>
      </c>
      <c r="C504">
        <v>610</v>
      </c>
      <c r="D504">
        <v>9</v>
      </c>
      <c r="E504" s="1" t="s">
        <v>43</v>
      </c>
      <c r="F504">
        <v>3</v>
      </c>
      <c r="G504" s="1" t="s">
        <v>23</v>
      </c>
      <c r="H504">
        <v>36214.285714285717</v>
      </c>
      <c r="J504">
        <v>35500</v>
      </c>
      <c r="K504">
        <v>36400</v>
      </c>
      <c r="L504">
        <v>40400</v>
      </c>
      <c r="M504">
        <v>0</v>
      </c>
      <c r="N504">
        <v>118.2603</v>
      </c>
      <c r="O504">
        <v>-3.7530208000000002E-2</v>
      </c>
      <c r="P504">
        <v>14269.200199999999</v>
      </c>
      <c r="Q504">
        <v>26.79</v>
      </c>
      <c r="R504">
        <v>3.54</v>
      </c>
      <c r="S504">
        <v>81.31</v>
      </c>
      <c r="T504">
        <v>2</v>
      </c>
      <c r="U504" s="1" t="s">
        <v>25</v>
      </c>
      <c r="V504">
        <v>0</v>
      </c>
    </row>
    <row r="505" spans="1:22" x14ac:dyDescent="0.3">
      <c r="A505" s="2">
        <v>44442</v>
      </c>
      <c r="B505">
        <v>35500</v>
      </c>
      <c r="C505">
        <v>611</v>
      </c>
      <c r="D505">
        <v>9</v>
      </c>
      <c r="E505" s="1" t="s">
        <v>43</v>
      </c>
      <c r="F505">
        <v>4</v>
      </c>
      <c r="G505" s="1" t="s">
        <v>23</v>
      </c>
      <c r="H505">
        <v>36000</v>
      </c>
      <c r="J505">
        <v>35500</v>
      </c>
      <c r="K505">
        <v>37000</v>
      </c>
      <c r="L505">
        <v>40400</v>
      </c>
      <c r="M505">
        <v>0</v>
      </c>
      <c r="N505">
        <v>118.2603</v>
      </c>
      <c r="O505">
        <v>-3.7530208000000002E-2</v>
      </c>
      <c r="P505">
        <v>14245.5</v>
      </c>
      <c r="Q505">
        <v>27.04</v>
      </c>
      <c r="R505">
        <v>5.34</v>
      </c>
      <c r="S505">
        <v>79.099999999999994</v>
      </c>
      <c r="T505">
        <v>3</v>
      </c>
      <c r="U505" s="1" t="s">
        <v>25</v>
      </c>
      <c r="V505">
        <v>0</v>
      </c>
    </row>
    <row r="506" spans="1:22" x14ac:dyDescent="0.3">
      <c r="A506" s="2">
        <v>44443</v>
      </c>
      <c r="B506">
        <v>35500</v>
      </c>
      <c r="C506">
        <v>612</v>
      </c>
      <c r="D506">
        <v>9</v>
      </c>
      <c r="E506" s="1" t="s">
        <v>43</v>
      </c>
      <c r="F506">
        <v>5</v>
      </c>
      <c r="G506" s="1" t="s">
        <v>23</v>
      </c>
      <c r="H506">
        <v>35785.714285714283</v>
      </c>
      <c r="J506">
        <v>35500</v>
      </c>
      <c r="K506">
        <v>37000</v>
      </c>
      <c r="L506">
        <v>39900</v>
      </c>
      <c r="M506">
        <v>0</v>
      </c>
      <c r="N506">
        <v>118.2603</v>
      </c>
      <c r="O506">
        <v>-3.7530208000000002E-2</v>
      </c>
      <c r="P506">
        <v>14245.5</v>
      </c>
      <c r="Q506">
        <v>26.42</v>
      </c>
      <c r="R506">
        <v>12.69</v>
      </c>
      <c r="S506">
        <v>80.98</v>
      </c>
      <c r="T506">
        <v>4</v>
      </c>
      <c r="U506" s="1" t="s">
        <v>25</v>
      </c>
      <c r="V506">
        <v>0</v>
      </c>
    </row>
    <row r="507" spans="1:22" x14ac:dyDescent="0.3">
      <c r="A507" s="2">
        <v>44444</v>
      </c>
      <c r="B507">
        <v>35500</v>
      </c>
      <c r="C507">
        <v>613</v>
      </c>
      <c r="D507">
        <v>9</v>
      </c>
      <c r="E507" s="1" t="s">
        <v>43</v>
      </c>
      <c r="F507">
        <v>6</v>
      </c>
      <c r="G507" s="1" t="s">
        <v>23</v>
      </c>
      <c r="H507">
        <v>35571.428571428572</v>
      </c>
      <c r="J507">
        <v>35500</v>
      </c>
      <c r="K507">
        <v>37000</v>
      </c>
      <c r="L507">
        <v>41250</v>
      </c>
      <c r="M507">
        <v>0</v>
      </c>
      <c r="N507">
        <v>118.2603</v>
      </c>
      <c r="O507">
        <v>-3.7530208000000002E-2</v>
      </c>
      <c r="P507">
        <v>14245.5</v>
      </c>
      <c r="Q507">
        <v>26</v>
      </c>
      <c r="R507">
        <v>15.72</v>
      </c>
      <c r="S507">
        <v>81.98</v>
      </c>
      <c r="T507">
        <v>5</v>
      </c>
      <c r="U507" s="1" t="s">
        <v>25</v>
      </c>
      <c r="V507">
        <v>0</v>
      </c>
    </row>
    <row r="508" spans="1:22" x14ac:dyDescent="0.3">
      <c r="A508" s="2">
        <v>44445</v>
      </c>
      <c r="B508">
        <v>36250</v>
      </c>
      <c r="C508">
        <v>614</v>
      </c>
      <c r="D508">
        <v>9</v>
      </c>
      <c r="E508" s="1" t="s">
        <v>43</v>
      </c>
      <c r="F508">
        <v>0</v>
      </c>
      <c r="G508" s="1" t="s">
        <v>23</v>
      </c>
      <c r="H508">
        <v>35642.857142857145</v>
      </c>
      <c r="J508">
        <v>35500</v>
      </c>
      <c r="K508">
        <v>35750</v>
      </c>
      <c r="L508">
        <v>41250</v>
      </c>
      <c r="M508">
        <v>750</v>
      </c>
      <c r="N508">
        <v>118.2603</v>
      </c>
      <c r="O508">
        <v>-3.7530208000000002E-2</v>
      </c>
      <c r="P508">
        <v>14256</v>
      </c>
      <c r="Q508">
        <v>26.6</v>
      </c>
      <c r="R508">
        <v>5.99</v>
      </c>
      <c r="S508">
        <v>81.69</v>
      </c>
      <c r="T508">
        <v>6</v>
      </c>
      <c r="U508" s="1" t="s">
        <v>52</v>
      </c>
      <c r="V508">
        <v>2.11</v>
      </c>
    </row>
    <row r="509" spans="1:22" x14ac:dyDescent="0.3">
      <c r="A509" s="2">
        <v>44446</v>
      </c>
      <c r="B509">
        <v>36000</v>
      </c>
      <c r="C509">
        <v>615</v>
      </c>
      <c r="D509">
        <v>9</v>
      </c>
      <c r="E509" s="1" t="s">
        <v>43</v>
      </c>
      <c r="F509">
        <v>1</v>
      </c>
      <c r="G509" s="1" t="s">
        <v>23</v>
      </c>
      <c r="H509">
        <v>35678.571428571428</v>
      </c>
      <c r="J509">
        <v>36250</v>
      </c>
      <c r="K509">
        <v>35750</v>
      </c>
      <c r="L509">
        <v>41250</v>
      </c>
      <c r="M509">
        <v>-250</v>
      </c>
      <c r="N509">
        <v>118.2603</v>
      </c>
      <c r="O509">
        <v>-3.7530208000000002E-2</v>
      </c>
      <c r="P509">
        <v>14231.400390000001</v>
      </c>
      <c r="Q509">
        <v>27.11</v>
      </c>
      <c r="R509">
        <v>5.71</v>
      </c>
      <c r="S509">
        <v>77.58</v>
      </c>
      <c r="T509">
        <v>7</v>
      </c>
      <c r="U509" s="1" t="s">
        <v>35</v>
      </c>
      <c r="V509">
        <v>-0.69</v>
      </c>
    </row>
    <row r="510" spans="1:22" x14ac:dyDescent="0.3">
      <c r="A510" s="2">
        <v>44447</v>
      </c>
      <c r="B510">
        <v>36000</v>
      </c>
      <c r="C510">
        <v>616</v>
      </c>
      <c r="D510">
        <v>9</v>
      </c>
      <c r="E510" s="1" t="s">
        <v>43</v>
      </c>
      <c r="F510">
        <v>2</v>
      </c>
      <c r="G510" s="1" t="s">
        <v>23</v>
      </c>
      <c r="H510">
        <v>35750</v>
      </c>
      <c r="J510">
        <v>36000</v>
      </c>
      <c r="K510">
        <v>35500</v>
      </c>
      <c r="L510">
        <v>40400</v>
      </c>
      <c r="M510">
        <v>0</v>
      </c>
      <c r="N510">
        <v>118.2603</v>
      </c>
      <c r="O510">
        <v>-3.7530208000000002E-2</v>
      </c>
      <c r="P510">
        <v>14279.200199999999</v>
      </c>
      <c r="Q510">
        <v>26.65</v>
      </c>
      <c r="R510">
        <v>5.46</v>
      </c>
      <c r="S510">
        <v>82.59</v>
      </c>
      <c r="T510">
        <v>8</v>
      </c>
      <c r="U510" s="1" t="s">
        <v>25</v>
      </c>
      <c r="V510">
        <v>0</v>
      </c>
    </row>
    <row r="511" spans="1:22" x14ac:dyDescent="0.3">
      <c r="A511" s="2">
        <v>44448</v>
      </c>
      <c r="B511">
        <v>36000</v>
      </c>
      <c r="C511">
        <v>617</v>
      </c>
      <c r="D511">
        <v>9</v>
      </c>
      <c r="E511" s="1" t="s">
        <v>43</v>
      </c>
      <c r="F511">
        <v>3</v>
      </c>
      <c r="G511" s="1" t="s">
        <v>23</v>
      </c>
      <c r="H511">
        <v>35821.428571428572</v>
      </c>
      <c r="J511">
        <v>36000</v>
      </c>
      <c r="K511">
        <v>35500</v>
      </c>
      <c r="L511">
        <v>40400</v>
      </c>
      <c r="M511">
        <v>0</v>
      </c>
      <c r="N511">
        <v>118.2603</v>
      </c>
      <c r="O511">
        <v>-3.7530208000000002E-2</v>
      </c>
      <c r="P511">
        <v>14326.400390000001</v>
      </c>
      <c r="Q511">
        <v>25.88</v>
      </c>
      <c r="R511">
        <v>31.53</v>
      </c>
      <c r="S511">
        <v>86.21</v>
      </c>
      <c r="T511">
        <v>9</v>
      </c>
      <c r="U511" s="1" t="s">
        <v>25</v>
      </c>
      <c r="V511">
        <v>0</v>
      </c>
    </row>
    <row r="512" spans="1:22" x14ac:dyDescent="0.3">
      <c r="A512" s="2">
        <v>44449</v>
      </c>
      <c r="B512">
        <v>35750</v>
      </c>
      <c r="C512">
        <v>618</v>
      </c>
      <c r="D512">
        <v>9</v>
      </c>
      <c r="E512" s="1" t="s">
        <v>43</v>
      </c>
      <c r="F512">
        <v>4</v>
      </c>
      <c r="G512" s="1" t="s">
        <v>23</v>
      </c>
      <c r="H512">
        <v>35857.142857142855</v>
      </c>
      <c r="J512">
        <v>36000</v>
      </c>
      <c r="K512">
        <v>35500</v>
      </c>
      <c r="M512">
        <v>-250</v>
      </c>
      <c r="N512">
        <v>118.2603</v>
      </c>
      <c r="O512">
        <v>-3.7530208000000002E-2</v>
      </c>
      <c r="P512">
        <v>14258.799800000001</v>
      </c>
      <c r="Q512">
        <v>26.13</v>
      </c>
      <c r="R512">
        <v>3.38</v>
      </c>
      <c r="S512">
        <v>83.67</v>
      </c>
      <c r="T512">
        <v>10</v>
      </c>
      <c r="U512" s="1" t="s">
        <v>35</v>
      </c>
      <c r="V512">
        <v>-0.69</v>
      </c>
    </row>
    <row r="513" spans="1:22" x14ac:dyDescent="0.3">
      <c r="A513" s="2">
        <v>44450</v>
      </c>
      <c r="B513">
        <v>35750</v>
      </c>
      <c r="C513">
        <v>619</v>
      </c>
      <c r="D513">
        <v>9</v>
      </c>
      <c r="E513" s="1" t="s">
        <v>43</v>
      </c>
      <c r="F513">
        <v>5</v>
      </c>
      <c r="G513" s="1" t="s">
        <v>23</v>
      </c>
      <c r="H513">
        <v>35892.857142857145</v>
      </c>
      <c r="J513">
        <v>35750</v>
      </c>
      <c r="K513">
        <v>35500</v>
      </c>
      <c r="L513">
        <v>39900</v>
      </c>
      <c r="M513">
        <v>0</v>
      </c>
      <c r="N513">
        <v>118.2603</v>
      </c>
      <c r="O513">
        <v>-3.7530208000000002E-2</v>
      </c>
      <c r="P513">
        <v>14258.799800000001</v>
      </c>
      <c r="Q513">
        <v>25.83</v>
      </c>
      <c r="R513">
        <v>8.85</v>
      </c>
      <c r="S513">
        <v>86.44</v>
      </c>
      <c r="T513">
        <v>11</v>
      </c>
      <c r="U513" s="1" t="s">
        <v>35</v>
      </c>
      <c r="V513">
        <v>-0.69</v>
      </c>
    </row>
    <row r="514" spans="1:22" x14ac:dyDescent="0.3">
      <c r="A514" s="2">
        <v>44451</v>
      </c>
      <c r="B514">
        <v>35750</v>
      </c>
      <c r="C514">
        <v>620</v>
      </c>
      <c r="D514">
        <v>9</v>
      </c>
      <c r="E514" s="1" t="s">
        <v>43</v>
      </c>
      <c r="F514">
        <v>6</v>
      </c>
      <c r="G514" s="1" t="s">
        <v>23</v>
      </c>
      <c r="H514">
        <v>35928.571428571428</v>
      </c>
      <c r="J514">
        <v>35750</v>
      </c>
      <c r="K514">
        <v>35500</v>
      </c>
      <c r="L514">
        <v>39400</v>
      </c>
      <c r="M514">
        <v>0</v>
      </c>
      <c r="N514">
        <v>118.2603</v>
      </c>
      <c r="O514">
        <v>-3.7530208000000002E-2</v>
      </c>
      <c r="P514">
        <v>14258.799800000001</v>
      </c>
      <c r="Q514">
        <v>25.75</v>
      </c>
      <c r="R514">
        <v>10.65</v>
      </c>
      <c r="S514">
        <v>83.88</v>
      </c>
      <c r="T514">
        <v>12</v>
      </c>
      <c r="U514" s="1" t="s">
        <v>35</v>
      </c>
      <c r="V514">
        <v>-0.69</v>
      </c>
    </row>
    <row r="515" spans="1:22" x14ac:dyDescent="0.3">
      <c r="A515" s="2">
        <v>44452</v>
      </c>
      <c r="B515">
        <v>34750</v>
      </c>
      <c r="C515">
        <v>621</v>
      </c>
      <c r="D515">
        <v>9</v>
      </c>
      <c r="E515" s="1" t="s">
        <v>43</v>
      </c>
      <c r="F515">
        <v>0</v>
      </c>
      <c r="G515" s="1" t="s">
        <v>23</v>
      </c>
      <c r="H515">
        <v>35714.285714285717</v>
      </c>
      <c r="J515">
        <v>35750</v>
      </c>
      <c r="K515">
        <v>36250</v>
      </c>
      <c r="L515">
        <v>39400</v>
      </c>
      <c r="M515">
        <v>-1000</v>
      </c>
      <c r="N515">
        <v>118.2603</v>
      </c>
      <c r="O515">
        <v>-3.7530208000000002E-2</v>
      </c>
      <c r="P515">
        <v>14196</v>
      </c>
      <c r="Q515">
        <v>26.48</v>
      </c>
      <c r="R515">
        <v>11.53</v>
      </c>
      <c r="S515">
        <v>79.739999999999995</v>
      </c>
      <c r="T515">
        <v>13</v>
      </c>
      <c r="U515" s="1" t="s">
        <v>30</v>
      </c>
      <c r="V515">
        <v>-2.8</v>
      </c>
    </row>
    <row r="516" spans="1:22" x14ac:dyDescent="0.3">
      <c r="A516" s="2">
        <v>44453</v>
      </c>
      <c r="B516">
        <v>33900</v>
      </c>
      <c r="C516">
        <v>622</v>
      </c>
      <c r="D516">
        <v>9</v>
      </c>
      <c r="E516" s="1" t="s">
        <v>43</v>
      </c>
      <c r="F516">
        <v>1</v>
      </c>
      <c r="G516" s="1" t="s">
        <v>23</v>
      </c>
      <c r="H516">
        <v>35414.285714285717</v>
      </c>
      <c r="J516">
        <v>34750</v>
      </c>
      <c r="K516">
        <v>36000</v>
      </c>
      <c r="M516">
        <v>-850</v>
      </c>
      <c r="N516">
        <v>118.2603</v>
      </c>
      <c r="O516">
        <v>-3.7530208000000002E-2</v>
      </c>
      <c r="P516">
        <v>14291.599609999999</v>
      </c>
      <c r="Q516">
        <v>26.78</v>
      </c>
      <c r="R516">
        <v>10.68</v>
      </c>
      <c r="S516">
        <v>79.05</v>
      </c>
      <c r="T516">
        <v>14</v>
      </c>
      <c r="U516" s="1" t="s">
        <v>60</v>
      </c>
      <c r="V516">
        <v>-2.4500000000000002</v>
      </c>
    </row>
    <row r="517" spans="1:22" x14ac:dyDescent="0.3">
      <c r="A517" s="2">
        <v>44454</v>
      </c>
      <c r="B517">
        <v>33900</v>
      </c>
      <c r="C517">
        <v>623</v>
      </c>
      <c r="D517">
        <v>9</v>
      </c>
      <c r="E517" s="1" t="s">
        <v>43</v>
      </c>
      <c r="F517">
        <v>2</v>
      </c>
      <c r="G517" s="1" t="s">
        <v>23</v>
      </c>
      <c r="H517">
        <v>35114.285714285717</v>
      </c>
      <c r="J517">
        <v>33900</v>
      </c>
      <c r="K517">
        <v>36000</v>
      </c>
      <c r="L517">
        <v>38900</v>
      </c>
      <c r="M517">
        <v>0</v>
      </c>
      <c r="N517">
        <v>118.2603</v>
      </c>
      <c r="O517">
        <v>-3.7530208000000002E-2</v>
      </c>
      <c r="P517">
        <v>14249.700199999999</v>
      </c>
      <c r="Q517">
        <v>26.39</v>
      </c>
      <c r="R517">
        <v>8.2799999999999994</v>
      </c>
      <c r="S517">
        <v>81.84</v>
      </c>
      <c r="T517">
        <v>15</v>
      </c>
      <c r="U517" s="1" t="s">
        <v>25</v>
      </c>
      <c r="V517">
        <v>0</v>
      </c>
    </row>
    <row r="518" spans="1:22" x14ac:dyDescent="0.3">
      <c r="A518" s="2">
        <v>44455</v>
      </c>
      <c r="B518">
        <v>34000</v>
      </c>
      <c r="C518">
        <v>624</v>
      </c>
      <c r="D518">
        <v>9</v>
      </c>
      <c r="E518" s="1" t="s">
        <v>43</v>
      </c>
      <c r="F518">
        <v>3</v>
      </c>
      <c r="G518" s="1" t="s">
        <v>23</v>
      </c>
      <c r="H518">
        <v>34828.571428571428</v>
      </c>
      <c r="I518">
        <v>36430</v>
      </c>
      <c r="J518">
        <v>33900</v>
      </c>
      <c r="K518">
        <v>36000</v>
      </c>
      <c r="M518">
        <v>100</v>
      </c>
      <c r="N518">
        <v>118.2603</v>
      </c>
      <c r="O518">
        <v>-3.7530208000000002E-2</v>
      </c>
      <c r="P518">
        <v>14264.5</v>
      </c>
      <c r="Q518">
        <v>26.11</v>
      </c>
      <c r="R518">
        <v>11.79</v>
      </c>
      <c r="S518">
        <v>83.87</v>
      </c>
      <c r="T518">
        <v>16</v>
      </c>
      <c r="U518" s="1" t="s">
        <v>65</v>
      </c>
      <c r="V518">
        <v>0.28999999999999998</v>
      </c>
    </row>
    <row r="519" spans="1:22" x14ac:dyDescent="0.3">
      <c r="A519" s="2">
        <v>44456</v>
      </c>
      <c r="B519">
        <v>33500</v>
      </c>
      <c r="C519">
        <v>625</v>
      </c>
      <c r="D519">
        <v>9</v>
      </c>
      <c r="E519" s="1" t="s">
        <v>43</v>
      </c>
      <c r="F519">
        <v>4</v>
      </c>
      <c r="G519" s="1" t="s">
        <v>23</v>
      </c>
      <c r="H519">
        <v>34507.142857142855</v>
      </c>
      <c r="I519">
        <v>36241.666666666664</v>
      </c>
      <c r="J519">
        <v>34000</v>
      </c>
      <c r="K519">
        <v>35750</v>
      </c>
      <c r="L519">
        <v>39150</v>
      </c>
      <c r="M519">
        <v>-500</v>
      </c>
      <c r="N519">
        <v>118.2603</v>
      </c>
      <c r="O519">
        <v>-3.7530208000000002E-2</v>
      </c>
      <c r="P519">
        <v>14283.900390000001</v>
      </c>
      <c r="Q519">
        <v>26.06</v>
      </c>
      <c r="R519">
        <v>8.49</v>
      </c>
      <c r="S519">
        <v>84.53</v>
      </c>
      <c r="T519">
        <v>17</v>
      </c>
      <c r="U519" s="1" t="s">
        <v>24</v>
      </c>
      <c r="V519">
        <v>-1.47</v>
      </c>
    </row>
    <row r="520" spans="1:22" x14ac:dyDescent="0.3">
      <c r="A520" s="2">
        <v>44459</v>
      </c>
      <c r="B520">
        <v>33650</v>
      </c>
      <c r="C520">
        <v>628</v>
      </c>
      <c r="D520">
        <v>9</v>
      </c>
      <c r="E520" s="1" t="s">
        <v>43</v>
      </c>
      <c r="F520">
        <v>0</v>
      </c>
      <c r="G520" s="1" t="s">
        <v>23</v>
      </c>
      <c r="K520">
        <v>34750</v>
      </c>
      <c r="L520">
        <v>39150</v>
      </c>
      <c r="N520">
        <v>118.2603</v>
      </c>
      <c r="O520">
        <v>-3.7530208000000002E-2</v>
      </c>
      <c r="P520">
        <v>14221</v>
      </c>
      <c r="Q520">
        <v>25.96</v>
      </c>
      <c r="R520">
        <v>22.18</v>
      </c>
      <c r="S520">
        <v>86.84</v>
      </c>
      <c r="T520">
        <v>20</v>
      </c>
      <c r="U520" s="1" t="s">
        <v>66</v>
      </c>
      <c r="V520">
        <v>0.45</v>
      </c>
    </row>
    <row r="521" spans="1:22" x14ac:dyDescent="0.3">
      <c r="A521" s="2">
        <v>44460</v>
      </c>
      <c r="B521">
        <v>33650</v>
      </c>
      <c r="C521">
        <v>629</v>
      </c>
      <c r="D521">
        <v>9</v>
      </c>
      <c r="E521" s="1" t="s">
        <v>43</v>
      </c>
      <c r="F521">
        <v>1</v>
      </c>
      <c r="G521" s="1" t="s">
        <v>23</v>
      </c>
      <c r="J521">
        <v>33650</v>
      </c>
      <c r="K521">
        <v>33900</v>
      </c>
      <c r="L521">
        <v>39150</v>
      </c>
      <c r="M521">
        <v>0</v>
      </c>
      <c r="N521">
        <v>118.2603</v>
      </c>
      <c r="O521">
        <v>-3.7530208000000002E-2</v>
      </c>
      <c r="P521">
        <v>14320.5</v>
      </c>
      <c r="Q521">
        <v>25.35</v>
      </c>
      <c r="R521">
        <v>13.93</v>
      </c>
      <c r="S521">
        <v>88.01</v>
      </c>
      <c r="T521">
        <v>21</v>
      </c>
      <c r="U521" s="1" t="s">
        <v>25</v>
      </c>
      <c r="V521">
        <v>0</v>
      </c>
    </row>
    <row r="522" spans="1:22" x14ac:dyDescent="0.3">
      <c r="A522" s="2">
        <v>44461</v>
      </c>
      <c r="B522">
        <v>33650</v>
      </c>
      <c r="C522">
        <v>630</v>
      </c>
      <c r="D522">
        <v>9</v>
      </c>
      <c r="E522" s="1" t="s">
        <v>43</v>
      </c>
      <c r="F522">
        <v>2</v>
      </c>
      <c r="G522" s="1" t="s">
        <v>23</v>
      </c>
      <c r="J522">
        <v>33650</v>
      </c>
      <c r="K522">
        <v>33900</v>
      </c>
      <c r="L522">
        <v>38400</v>
      </c>
      <c r="M522">
        <v>0</v>
      </c>
      <c r="N522">
        <v>118.2603</v>
      </c>
      <c r="O522">
        <v>-3.7530208000000002E-2</v>
      </c>
      <c r="P522">
        <v>14237.5</v>
      </c>
      <c r="Q522">
        <v>25.74</v>
      </c>
      <c r="R522">
        <v>18.64</v>
      </c>
      <c r="S522">
        <v>84.15</v>
      </c>
      <c r="T522">
        <v>22</v>
      </c>
      <c r="U522" s="1" t="s">
        <v>25</v>
      </c>
      <c r="V522">
        <v>0</v>
      </c>
    </row>
    <row r="523" spans="1:22" x14ac:dyDescent="0.3">
      <c r="A523" s="2">
        <v>44462</v>
      </c>
      <c r="B523">
        <v>33650</v>
      </c>
      <c r="C523">
        <v>631</v>
      </c>
      <c r="D523">
        <v>9</v>
      </c>
      <c r="E523" s="1" t="s">
        <v>43</v>
      </c>
      <c r="F523">
        <v>3</v>
      </c>
      <c r="G523" s="1" t="s">
        <v>23</v>
      </c>
      <c r="J523">
        <v>33650</v>
      </c>
      <c r="K523">
        <v>34000</v>
      </c>
      <c r="L523">
        <v>38150</v>
      </c>
      <c r="M523">
        <v>0</v>
      </c>
      <c r="N523">
        <v>118.2603</v>
      </c>
      <c r="O523">
        <v>-3.7530208000000002E-2</v>
      </c>
      <c r="P523">
        <v>14279.200199999999</v>
      </c>
      <c r="Q523">
        <v>26.13</v>
      </c>
      <c r="R523">
        <v>5.09</v>
      </c>
      <c r="S523">
        <v>82.38</v>
      </c>
      <c r="T523">
        <v>23</v>
      </c>
      <c r="U523" s="1" t="s">
        <v>25</v>
      </c>
      <c r="V523">
        <v>0</v>
      </c>
    </row>
    <row r="524" spans="1:22" x14ac:dyDescent="0.3">
      <c r="A524" s="2">
        <v>44463</v>
      </c>
      <c r="B524">
        <v>33650</v>
      </c>
      <c r="C524">
        <v>632</v>
      </c>
      <c r="D524">
        <v>9</v>
      </c>
      <c r="E524" s="1" t="s">
        <v>43</v>
      </c>
      <c r="F524">
        <v>4</v>
      </c>
      <c r="G524" s="1" t="s">
        <v>23</v>
      </c>
      <c r="J524">
        <v>33650</v>
      </c>
      <c r="K524">
        <v>33500</v>
      </c>
      <c r="L524">
        <v>36650</v>
      </c>
      <c r="M524">
        <v>0</v>
      </c>
      <c r="N524">
        <v>118.2603</v>
      </c>
      <c r="O524">
        <v>-3.7530208000000002E-2</v>
      </c>
      <c r="P524">
        <v>14286.5</v>
      </c>
      <c r="Q524">
        <v>26.86</v>
      </c>
      <c r="R524">
        <v>6.83</v>
      </c>
      <c r="S524">
        <v>78.180000000000007</v>
      </c>
      <c r="T524">
        <v>24</v>
      </c>
      <c r="U524" s="1" t="s">
        <v>25</v>
      </c>
      <c r="V524">
        <v>0</v>
      </c>
    </row>
    <row r="525" spans="1:22" x14ac:dyDescent="0.3">
      <c r="A525" s="2">
        <v>44466</v>
      </c>
      <c r="B525">
        <v>33150</v>
      </c>
      <c r="C525">
        <v>635</v>
      </c>
      <c r="D525">
        <v>9</v>
      </c>
      <c r="E525" s="1" t="s">
        <v>43</v>
      </c>
      <c r="F525">
        <v>0</v>
      </c>
      <c r="G525" s="1" t="s">
        <v>23</v>
      </c>
      <c r="K525">
        <v>33650</v>
      </c>
      <c r="L525">
        <v>37000</v>
      </c>
      <c r="N525">
        <v>118.2603</v>
      </c>
      <c r="O525">
        <v>-3.7530208000000002E-2</v>
      </c>
      <c r="P525">
        <v>14251</v>
      </c>
      <c r="Q525">
        <v>27.21</v>
      </c>
      <c r="R525">
        <v>4.21</v>
      </c>
      <c r="S525">
        <v>81.069999999999993</v>
      </c>
      <c r="T525">
        <v>27</v>
      </c>
      <c r="U525" s="1"/>
      <c r="V525">
        <v>0</v>
      </c>
    </row>
    <row r="526" spans="1:22" x14ac:dyDescent="0.3">
      <c r="A526" s="2">
        <v>44467</v>
      </c>
      <c r="B526">
        <v>33150</v>
      </c>
      <c r="C526">
        <v>636</v>
      </c>
      <c r="D526">
        <v>9</v>
      </c>
      <c r="E526" s="1" t="s">
        <v>43</v>
      </c>
      <c r="F526">
        <v>1</v>
      </c>
      <c r="G526" s="1" t="s">
        <v>23</v>
      </c>
      <c r="J526">
        <v>33150</v>
      </c>
      <c r="K526">
        <v>33650</v>
      </c>
      <c r="L526">
        <v>37000</v>
      </c>
      <c r="M526">
        <v>0</v>
      </c>
      <c r="N526">
        <v>118.2603</v>
      </c>
      <c r="O526">
        <v>-3.7530208000000002E-2</v>
      </c>
      <c r="P526">
        <v>14242.5</v>
      </c>
      <c r="Q526">
        <v>27.13</v>
      </c>
      <c r="R526">
        <v>2.91</v>
      </c>
      <c r="S526">
        <v>82.22</v>
      </c>
      <c r="T526">
        <v>28</v>
      </c>
      <c r="U526" s="1" t="s">
        <v>25</v>
      </c>
      <c r="V526">
        <v>0</v>
      </c>
    </row>
    <row r="527" spans="1:22" x14ac:dyDescent="0.3">
      <c r="A527" s="2">
        <v>44468</v>
      </c>
      <c r="B527">
        <v>33150</v>
      </c>
      <c r="C527">
        <v>637</v>
      </c>
      <c r="D527">
        <v>9</v>
      </c>
      <c r="E527" s="1" t="s">
        <v>43</v>
      </c>
      <c r="F527">
        <v>2</v>
      </c>
      <c r="G527" s="1" t="s">
        <v>23</v>
      </c>
      <c r="J527">
        <v>33150</v>
      </c>
      <c r="K527">
        <v>33650</v>
      </c>
      <c r="L527">
        <v>35750</v>
      </c>
      <c r="M527">
        <v>0</v>
      </c>
      <c r="N527">
        <v>118.2603</v>
      </c>
      <c r="O527">
        <v>-3.7530208000000002E-2</v>
      </c>
      <c r="P527">
        <v>14318.599609999999</v>
      </c>
      <c r="Q527">
        <v>27.01</v>
      </c>
      <c r="R527">
        <v>1.93</v>
      </c>
      <c r="S527">
        <v>83.07</v>
      </c>
      <c r="T527">
        <v>29</v>
      </c>
      <c r="U527" s="1" t="s">
        <v>25</v>
      </c>
      <c r="V527">
        <v>0</v>
      </c>
    </row>
    <row r="528" spans="1:22" x14ac:dyDescent="0.3">
      <c r="A528" s="2">
        <v>44469</v>
      </c>
      <c r="B528">
        <v>32900</v>
      </c>
      <c r="C528">
        <v>638</v>
      </c>
      <c r="D528">
        <v>9</v>
      </c>
      <c r="E528" s="1" t="s">
        <v>43</v>
      </c>
      <c r="F528">
        <v>3</v>
      </c>
      <c r="G528" s="1" t="s">
        <v>23</v>
      </c>
      <c r="J528">
        <v>33150</v>
      </c>
      <c r="K528">
        <v>33650</v>
      </c>
      <c r="L528">
        <v>35750</v>
      </c>
      <c r="M528">
        <v>-250</v>
      </c>
      <c r="N528">
        <v>118.2603</v>
      </c>
      <c r="O528">
        <v>-3.7530208000000002E-2</v>
      </c>
      <c r="P528">
        <v>14385</v>
      </c>
      <c r="Q528">
        <v>26.86</v>
      </c>
      <c r="R528">
        <v>3.74</v>
      </c>
      <c r="S528">
        <v>86.81</v>
      </c>
      <c r="T528">
        <v>30</v>
      </c>
      <c r="U528" s="1" t="s">
        <v>35</v>
      </c>
      <c r="V528">
        <v>-0.75</v>
      </c>
    </row>
    <row r="529" spans="1:22" x14ac:dyDescent="0.3">
      <c r="A529" s="2">
        <v>44470</v>
      </c>
      <c r="B529">
        <v>32900</v>
      </c>
      <c r="C529">
        <v>639</v>
      </c>
      <c r="D529">
        <v>10</v>
      </c>
      <c r="E529" s="1" t="s">
        <v>22</v>
      </c>
      <c r="F529">
        <v>4</v>
      </c>
      <c r="G529" s="1" t="s">
        <v>23</v>
      </c>
      <c r="J529">
        <v>32900</v>
      </c>
      <c r="K529">
        <v>33650</v>
      </c>
      <c r="L529">
        <v>35500</v>
      </c>
      <c r="M529">
        <v>0</v>
      </c>
      <c r="N529">
        <v>118.4046</v>
      </c>
      <c r="O529">
        <v>0.12201897</v>
      </c>
      <c r="P529">
        <v>14328.599609999999</v>
      </c>
      <c r="Q529">
        <v>26.67</v>
      </c>
      <c r="R529">
        <v>29.59</v>
      </c>
      <c r="S529">
        <v>80.28</v>
      </c>
      <c r="T529">
        <v>1</v>
      </c>
      <c r="U529" s="1" t="s">
        <v>25</v>
      </c>
      <c r="V529">
        <v>0</v>
      </c>
    </row>
    <row r="530" spans="1:22" x14ac:dyDescent="0.3">
      <c r="A530" s="2">
        <v>44471</v>
      </c>
      <c r="B530">
        <v>32900</v>
      </c>
      <c r="C530">
        <v>640</v>
      </c>
      <c r="D530">
        <v>10</v>
      </c>
      <c r="E530" s="1" t="s">
        <v>22</v>
      </c>
      <c r="F530">
        <v>5</v>
      </c>
      <c r="G530" s="1" t="s">
        <v>23</v>
      </c>
      <c r="J530">
        <v>32900</v>
      </c>
      <c r="L530">
        <v>35500</v>
      </c>
      <c r="M530">
        <v>0</v>
      </c>
      <c r="N530">
        <v>118.4046</v>
      </c>
      <c r="O530">
        <v>0.12201897</v>
      </c>
      <c r="P530">
        <v>14328.599609999999</v>
      </c>
      <c r="Q530">
        <v>26.65</v>
      </c>
      <c r="R530">
        <v>16.61</v>
      </c>
      <c r="S530">
        <v>80.52</v>
      </c>
      <c r="T530">
        <v>2</v>
      </c>
      <c r="U530" s="1" t="s">
        <v>25</v>
      </c>
      <c r="V530">
        <v>0</v>
      </c>
    </row>
    <row r="531" spans="1:22" x14ac:dyDescent="0.3">
      <c r="A531" s="2">
        <v>44472</v>
      </c>
      <c r="B531">
        <v>32900</v>
      </c>
      <c r="C531">
        <v>641</v>
      </c>
      <c r="D531">
        <v>10</v>
      </c>
      <c r="E531" s="1" t="s">
        <v>22</v>
      </c>
      <c r="F531">
        <v>6</v>
      </c>
      <c r="G531" s="1" t="s">
        <v>23</v>
      </c>
      <c r="H531">
        <v>33007.142857142855</v>
      </c>
      <c r="J531">
        <v>32900</v>
      </c>
      <c r="L531">
        <v>35500</v>
      </c>
      <c r="M531">
        <v>0</v>
      </c>
      <c r="N531">
        <v>118.4046</v>
      </c>
      <c r="O531">
        <v>0.12201897</v>
      </c>
      <c r="P531">
        <v>14328.599609999999</v>
      </c>
      <c r="Q531">
        <v>27.17</v>
      </c>
      <c r="R531">
        <v>2.61</v>
      </c>
      <c r="S531">
        <v>76.92</v>
      </c>
      <c r="T531">
        <v>3</v>
      </c>
      <c r="U531" s="1" t="s">
        <v>25</v>
      </c>
      <c r="V531">
        <v>0</v>
      </c>
    </row>
    <row r="532" spans="1:22" x14ac:dyDescent="0.3">
      <c r="A532" s="2">
        <v>44473</v>
      </c>
      <c r="B532">
        <v>32000</v>
      </c>
      <c r="C532">
        <v>642</v>
      </c>
      <c r="D532">
        <v>10</v>
      </c>
      <c r="E532" s="1" t="s">
        <v>22</v>
      </c>
      <c r="F532">
        <v>0</v>
      </c>
      <c r="G532" s="1" t="s">
        <v>23</v>
      </c>
      <c r="H532">
        <v>32842.857142857145</v>
      </c>
      <c r="J532">
        <v>32900</v>
      </c>
      <c r="K532">
        <v>33150</v>
      </c>
      <c r="L532">
        <v>35500</v>
      </c>
      <c r="M532">
        <v>-900</v>
      </c>
      <c r="N532">
        <v>118.4046</v>
      </c>
      <c r="O532">
        <v>0.12201897</v>
      </c>
      <c r="P532">
        <v>14301</v>
      </c>
      <c r="Q532">
        <v>26.91</v>
      </c>
      <c r="R532">
        <v>5.1100000000000003</v>
      </c>
      <c r="S532">
        <v>81.48</v>
      </c>
      <c r="T532">
        <v>4</v>
      </c>
      <c r="U532" s="1" t="s">
        <v>67</v>
      </c>
      <c r="V532">
        <v>-2.74</v>
      </c>
    </row>
    <row r="533" spans="1:22" x14ac:dyDescent="0.3">
      <c r="A533" s="2">
        <v>44474</v>
      </c>
      <c r="B533">
        <v>32000</v>
      </c>
      <c r="C533">
        <v>643</v>
      </c>
      <c r="D533">
        <v>10</v>
      </c>
      <c r="E533" s="1" t="s">
        <v>22</v>
      </c>
      <c r="F533">
        <v>1</v>
      </c>
      <c r="G533" s="1" t="s">
        <v>23</v>
      </c>
      <c r="H533">
        <v>32678.571428571428</v>
      </c>
      <c r="J533">
        <v>32000</v>
      </c>
      <c r="K533">
        <v>33150</v>
      </c>
      <c r="L533">
        <v>35500</v>
      </c>
      <c r="M533">
        <v>0</v>
      </c>
      <c r="N533">
        <v>118.4046</v>
      </c>
      <c r="O533">
        <v>0.12201897</v>
      </c>
      <c r="P533">
        <v>14300.5</v>
      </c>
      <c r="Q533">
        <v>27.16</v>
      </c>
      <c r="R533">
        <v>0.37</v>
      </c>
      <c r="S533">
        <v>79.78</v>
      </c>
      <c r="T533">
        <v>5</v>
      </c>
      <c r="U533" s="1" t="s">
        <v>25</v>
      </c>
      <c r="V533">
        <v>0</v>
      </c>
    </row>
    <row r="534" spans="1:22" x14ac:dyDescent="0.3">
      <c r="A534" s="2">
        <v>44475</v>
      </c>
      <c r="B534">
        <v>32000</v>
      </c>
      <c r="C534">
        <v>644</v>
      </c>
      <c r="D534">
        <v>10</v>
      </c>
      <c r="E534" s="1" t="s">
        <v>22</v>
      </c>
      <c r="F534">
        <v>2</v>
      </c>
      <c r="G534" s="1" t="s">
        <v>23</v>
      </c>
      <c r="H534">
        <v>32514.285714285714</v>
      </c>
      <c r="J534">
        <v>32000</v>
      </c>
      <c r="K534">
        <v>33150</v>
      </c>
      <c r="L534">
        <v>36250</v>
      </c>
      <c r="M534">
        <v>0</v>
      </c>
      <c r="N534">
        <v>118.4046</v>
      </c>
      <c r="O534">
        <v>0.12201897</v>
      </c>
      <c r="P534">
        <v>14246</v>
      </c>
      <c r="Q534">
        <v>27.18</v>
      </c>
      <c r="R534">
        <v>1.04</v>
      </c>
      <c r="S534">
        <v>79.44</v>
      </c>
      <c r="T534">
        <v>6</v>
      </c>
      <c r="U534" s="1" t="s">
        <v>25</v>
      </c>
      <c r="V534">
        <v>0</v>
      </c>
    </row>
    <row r="535" spans="1:22" x14ac:dyDescent="0.3">
      <c r="A535" s="2">
        <v>44476</v>
      </c>
      <c r="B535">
        <v>32000</v>
      </c>
      <c r="C535">
        <v>645</v>
      </c>
      <c r="D535">
        <v>10</v>
      </c>
      <c r="E535" s="1" t="s">
        <v>22</v>
      </c>
      <c r="F535">
        <v>3</v>
      </c>
      <c r="G535" s="1" t="s">
        <v>23</v>
      </c>
      <c r="H535">
        <v>32385.714285714286</v>
      </c>
      <c r="J535">
        <v>32000</v>
      </c>
      <c r="K535">
        <v>32900</v>
      </c>
      <c r="L535">
        <v>36000</v>
      </c>
      <c r="M535">
        <v>0</v>
      </c>
      <c r="N535">
        <v>118.4046</v>
      </c>
      <c r="O535">
        <v>0.12201897</v>
      </c>
      <c r="P535">
        <v>14232.400390000001</v>
      </c>
      <c r="Q535">
        <v>28.06</v>
      </c>
      <c r="R535">
        <v>0.43</v>
      </c>
      <c r="S535">
        <v>74.89</v>
      </c>
      <c r="T535">
        <v>7</v>
      </c>
      <c r="U535" s="1" t="s">
        <v>25</v>
      </c>
      <c r="V535">
        <v>0</v>
      </c>
    </row>
    <row r="536" spans="1:22" x14ac:dyDescent="0.3">
      <c r="A536" s="2">
        <v>44477</v>
      </c>
      <c r="B536">
        <v>32000</v>
      </c>
      <c r="C536">
        <v>646</v>
      </c>
      <c r="D536">
        <v>10</v>
      </c>
      <c r="E536" s="1" t="s">
        <v>22</v>
      </c>
      <c r="F536">
        <v>4</v>
      </c>
      <c r="G536" s="1" t="s">
        <v>23</v>
      </c>
      <c r="H536">
        <v>32257.142857142859</v>
      </c>
      <c r="J536">
        <v>32000</v>
      </c>
      <c r="K536">
        <v>32900</v>
      </c>
      <c r="L536">
        <v>36000</v>
      </c>
      <c r="M536">
        <v>0</v>
      </c>
      <c r="N536">
        <v>118.4046</v>
      </c>
      <c r="O536">
        <v>0.12201897</v>
      </c>
      <c r="P536">
        <v>14170.799800000001</v>
      </c>
      <c r="Q536">
        <v>27.48</v>
      </c>
      <c r="R536">
        <v>1.41</v>
      </c>
      <c r="S536">
        <v>80.13</v>
      </c>
      <c r="T536">
        <v>8</v>
      </c>
      <c r="U536" s="1" t="s">
        <v>25</v>
      </c>
      <c r="V536">
        <v>0</v>
      </c>
    </row>
    <row r="537" spans="1:22" x14ac:dyDescent="0.3">
      <c r="A537" s="2">
        <v>44478</v>
      </c>
      <c r="B537">
        <v>32000</v>
      </c>
      <c r="C537">
        <v>647</v>
      </c>
      <c r="D537">
        <v>10</v>
      </c>
      <c r="E537" s="1" t="s">
        <v>22</v>
      </c>
      <c r="F537">
        <v>5</v>
      </c>
      <c r="G537" s="1" t="s">
        <v>23</v>
      </c>
      <c r="H537">
        <v>32128.571428571428</v>
      </c>
      <c r="J537">
        <v>32000</v>
      </c>
      <c r="K537">
        <v>32900</v>
      </c>
      <c r="L537">
        <v>36000</v>
      </c>
      <c r="M537">
        <v>0</v>
      </c>
      <c r="N537">
        <v>118.4046</v>
      </c>
      <c r="O537">
        <v>0.12201897</v>
      </c>
      <c r="P537">
        <v>14170.799800000001</v>
      </c>
      <c r="Q537">
        <v>27.14</v>
      </c>
      <c r="R537">
        <v>5.8</v>
      </c>
      <c r="S537">
        <v>79.59</v>
      </c>
      <c r="T537">
        <v>9</v>
      </c>
      <c r="U537" s="1" t="s">
        <v>25</v>
      </c>
      <c r="V537">
        <v>0</v>
      </c>
    </row>
    <row r="538" spans="1:22" x14ac:dyDescent="0.3">
      <c r="A538" s="2">
        <v>44479</v>
      </c>
      <c r="B538">
        <v>32000</v>
      </c>
      <c r="C538">
        <v>648</v>
      </c>
      <c r="D538">
        <v>10</v>
      </c>
      <c r="E538" s="1" t="s">
        <v>22</v>
      </c>
      <c r="F538">
        <v>6</v>
      </c>
      <c r="G538" s="1" t="s">
        <v>23</v>
      </c>
      <c r="H538">
        <v>32000</v>
      </c>
      <c r="J538">
        <v>32000</v>
      </c>
      <c r="K538">
        <v>32900</v>
      </c>
      <c r="L538">
        <v>35750</v>
      </c>
      <c r="M538">
        <v>0</v>
      </c>
      <c r="N538">
        <v>118.4046</v>
      </c>
      <c r="O538">
        <v>0.12201897</v>
      </c>
      <c r="P538">
        <v>14170.799800000001</v>
      </c>
      <c r="Q538">
        <v>27.31</v>
      </c>
      <c r="R538">
        <v>1.45</v>
      </c>
      <c r="S538">
        <v>80.45</v>
      </c>
      <c r="T538">
        <v>10</v>
      </c>
      <c r="U538" s="1" t="s">
        <v>25</v>
      </c>
      <c r="V538">
        <v>0</v>
      </c>
    </row>
    <row r="539" spans="1:22" x14ac:dyDescent="0.3">
      <c r="A539" s="2">
        <v>44480</v>
      </c>
      <c r="B539">
        <v>32000</v>
      </c>
      <c r="C539">
        <v>649</v>
      </c>
      <c r="D539">
        <v>10</v>
      </c>
      <c r="E539" s="1" t="s">
        <v>22</v>
      </c>
      <c r="F539">
        <v>0</v>
      </c>
      <c r="G539" s="1" t="s">
        <v>23</v>
      </c>
      <c r="H539">
        <v>32000</v>
      </c>
      <c r="J539">
        <v>32000</v>
      </c>
      <c r="K539">
        <v>32000</v>
      </c>
      <c r="L539">
        <v>35750</v>
      </c>
      <c r="M539">
        <v>0</v>
      </c>
      <c r="N539">
        <v>118.4046</v>
      </c>
      <c r="O539">
        <v>0.12201897</v>
      </c>
      <c r="P539">
        <v>14216</v>
      </c>
      <c r="Q539">
        <v>28.08</v>
      </c>
      <c r="R539">
        <v>0.85</v>
      </c>
      <c r="S539">
        <v>80.56</v>
      </c>
      <c r="T539">
        <v>11</v>
      </c>
      <c r="U539" s="1" t="s">
        <v>25</v>
      </c>
      <c r="V539">
        <v>0</v>
      </c>
    </row>
    <row r="540" spans="1:22" x14ac:dyDescent="0.3">
      <c r="A540" s="2">
        <v>44481</v>
      </c>
      <c r="B540">
        <v>32000</v>
      </c>
      <c r="C540">
        <v>650</v>
      </c>
      <c r="D540">
        <v>10</v>
      </c>
      <c r="E540" s="1" t="s">
        <v>22</v>
      </c>
      <c r="F540">
        <v>1</v>
      </c>
      <c r="G540" s="1" t="s">
        <v>23</v>
      </c>
      <c r="H540">
        <v>32000</v>
      </c>
      <c r="J540">
        <v>32000</v>
      </c>
      <c r="K540">
        <v>32000</v>
      </c>
      <c r="L540">
        <v>35750</v>
      </c>
      <c r="M540">
        <v>0</v>
      </c>
      <c r="N540">
        <v>118.4046</v>
      </c>
      <c r="O540">
        <v>0.12201897</v>
      </c>
      <c r="P540">
        <v>14194</v>
      </c>
      <c r="Q540">
        <v>28.03</v>
      </c>
      <c r="R540">
        <v>0.87</v>
      </c>
      <c r="S540">
        <v>78</v>
      </c>
      <c r="T540">
        <v>12</v>
      </c>
      <c r="U540" s="1" t="s">
        <v>25</v>
      </c>
      <c r="V540">
        <v>0</v>
      </c>
    </row>
    <row r="541" spans="1:22" x14ac:dyDescent="0.3">
      <c r="A541" s="2">
        <v>44482</v>
      </c>
      <c r="B541">
        <v>32000</v>
      </c>
      <c r="C541">
        <v>651</v>
      </c>
      <c r="D541">
        <v>10</v>
      </c>
      <c r="E541" s="1" t="s">
        <v>22</v>
      </c>
      <c r="F541">
        <v>2</v>
      </c>
      <c r="G541" s="1" t="s">
        <v>23</v>
      </c>
      <c r="H541">
        <v>32000</v>
      </c>
      <c r="J541">
        <v>32000</v>
      </c>
      <c r="K541">
        <v>32000</v>
      </c>
      <c r="L541">
        <v>34750</v>
      </c>
      <c r="M541">
        <v>0</v>
      </c>
      <c r="N541">
        <v>118.4046</v>
      </c>
      <c r="O541">
        <v>0.12201897</v>
      </c>
      <c r="P541">
        <v>14221.200199999999</v>
      </c>
      <c r="Q541">
        <v>27.63</v>
      </c>
      <c r="R541">
        <v>1.88</v>
      </c>
      <c r="S541">
        <v>80.36</v>
      </c>
      <c r="T541">
        <v>13</v>
      </c>
      <c r="U541" s="1" t="s">
        <v>25</v>
      </c>
      <c r="V541">
        <v>0</v>
      </c>
    </row>
    <row r="542" spans="1:22" x14ac:dyDescent="0.3">
      <c r="A542" s="2">
        <v>44483</v>
      </c>
      <c r="B542">
        <v>32000</v>
      </c>
      <c r="C542">
        <v>652</v>
      </c>
      <c r="D542">
        <v>10</v>
      </c>
      <c r="E542" s="1" t="s">
        <v>22</v>
      </c>
      <c r="F542">
        <v>3</v>
      </c>
      <c r="G542" s="1" t="s">
        <v>23</v>
      </c>
      <c r="H542">
        <v>32000</v>
      </c>
      <c r="J542">
        <v>32000</v>
      </c>
      <c r="K542">
        <v>32000</v>
      </c>
      <c r="L542">
        <v>33900</v>
      </c>
      <c r="M542">
        <v>0</v>
      </c>
      <c r="N542">
        <v>118.4046</v>
      </c>
      <c r="O542">
        <v>0.12201897</v>
      </c>
      <c r="P542">
        <v>14219.700199999999</v>
      </c>
      <c r="Q542">
        <v>27.39</v>
      </c>
      <c r="R542">
        <v>1.1100000000000001</v>
      </c>
      <c r="S542">
        <v>80.83</v>
      </c>
      <c r="T542">
        <v>14</v>
      </c>
      <c r="U542" s="1" t="s">
        <v>25</v>
      </c>
      <c r="V542">
        <v>0</v>
      </c>
    </row>
    <row r="543" spans="1:22" x14ac:dyDescent="0.3">
      <c r="A543" s="2">
        <v>44484</v>
      </c>
      <c r="B543">
        <v>32000</v>
      </c>
      <c r="C543">
        <v>653</v>
      </c>
      <c r="D543">
        <v>10</v>
      </c>
      <c r="E543" s="1" t="s">
        <v>22</v>
      </c>
      <c r="F543">
        <v>4</v>
      </c>
      <c r="G543" s="1" t="s">
        <v>23</v>
      </c>
      <c r="H543">
        <v>32000</v>
      </c>
      <c r="J543">
        <v>32000</v>
      </c>
      <c r="K543">
        <v>32000</v>
      </c>
      <c r="L543">
        <v>33900</v>
      </c>
      <c r="M543">
        <v>0</v>
      </c>
      <c r="N543">
        <v>118.4046</v>
      </c>
      <c r="O543">
        <v>0.12201897</v>
      </c>
      <c r="P543">
        <v>14078.5</v>
      </c>
      <c r="Q543">
        <v>27.76</v>
      </c>
      <c r="R543">
        <v>1.06</v>
      </c>
      <c r="S543">
        <v>80.02</v>
      </c>
      <c r="T543">
        <v>15</v>
      </c>
      <c r="U543" s="1" t="s">
        <v>25</v>
      </c>
      <c r="V543">
        <v>0</v>
      </c>
    </row>
    <row r="544" spans="1:22" x14ac:dyDescent="0.3">
      <c r="A544" s="2">
        <v>44485</v>
      </c>
      <c r="B544">
        <v>32000</v>
      </c>
      <c r="C544">
        <v>654</v>
      </c>
      <c r="D544">
        <v>10</v>
      </c>
      <c r="E544" s="1" t="s">
        <v>22</v>
      </c>
      <c r="F544">
        <v>5</v>
      </c>
      <c r="G544" s="1" t="s">
        <v>23</v>
      </c>
      <c r="H544">
        <v>32000</v>
      </c>
      <c r="J544">
        <v>32000</v>
      </c>
      <c r="K544">
        <v>32000</v>
      </c>
      <c r="L544">
        <v>34000</v>
      </c>
      <c r="M544">
        <v>0</v>
      </c>
      <c r="N544">
        <v>118.4046</v>
      </c>
      <c r="O544">
        <v>0.12201897</v>
      </c>
      <c r="P544">
        <v>14078.5</v>
      </c>
      <c r="Q544">
        <v>28.1</v>
      </c>
      <c r="R544">
        <v>0.49</v>
      </c>
      <c r="S544">
        <v>76.64</v>
      </c>
      <c r="T544">
        <v>16</v>
      </c>
      <c r="U544" s="1" t="s">
        <v>25</v>
      </c>
      <c r="V544">
        <v>0</v>
      </c>
    </row>
    <row r="545" spans="1:22" x14ac:dyDescent="0.3">
      <c r="A545" s="2">
        <v>44486</v>
      </c>
      <c r="B545">
        <v>32000</v>
      </c>
      <c r="C545">
        <v>655</v>
      </c>
      <c r="D545">
        <v>10</v>
      </c>
      <c r="E545" s="1" t="s">
        <v>22</v>
      </c>
      <c r="F545">
        <v>6</v>
      </c>
      <c r="G545" s="1" t="s">
        <v>23</v>
      </c>
      <c r="H545">
        <v>32000</v>
      </c>
      <c r="J545">
        <v>32000</v>
      </c>
      <c r="K545">
        <v>32000</v>
      </c>
      <c r="L545">
        <v>33500</v>
      </c>
      <c r="M545">
        <v>0</v>
      </c>
      <c r="N545">
        <v>118.4046</v>
      </c>
      <c r="O545">
        <v>0.12201897</v>
      </c>
      <c r="P545">
        <v>14078.5</v>
      </c>
      <c r="Q545">
        <v>27.34</v>
      </c>
      <c r="R545">
        <v>0.47</v>
      </c>
      <c r="S545">
        <v>82.52</v>
      </c>
      <c r="T545">
        <v>17</v>
      </c>
      <c r="U545" s="1" t="s">
        <v>25</v>
      </c>
      <c r="V545">
        <v>0</v>
      </c>
    </row>
    <row r="546" spans="1:22" x14ac:dyDescent="0.3">
      <c r="A546" s="2">
        <v>44487</v>
      </c>
      <c r="B546">
        <v>32500</v>
      </c>
      <c r="C546">
        <v>656</v>
      </c>
      <c r="D546">
        <v>10</v>
      </c>
      <c r="E546" s="1" t="s">
        <v>22</v>
      </c>
      <c r="F546">
        <v>0</v>
      </c>
      <c r="G546" s="1" t="s">
        <v>23</v>
      </c>
      <c r="H546">
        <v>32071.428571428572</v>
      </c>
      <c r="J546">
        <v>32000</v>
      </c>
      <c r="K546">
        <v>32000</v>
      </c>
      <c r="M546">
        <v>500</v>
      </c>
      <c r="N546">
        <v>118.4046</v>
      </c>
      <c r="O546">
        <v>0.12201897</v>
      </c>
      <c r="P546">
        <v>14067</v>
      </c>
      <c r="Q546">
        <v>27.44</v>
      </c>
      <c r="R546">
        <v>4.38</v>
      </c>
      <c r="S546">
        <v>83.67</v>
      </c>
      <c r="T546">
        <v>18</v>
      </c>
      <c r="U546" s="1" t="s">
        <v>26</v>
      </c>
      <c r="V546">
        <v>1.56</v>
      </c>
    </row>
    <row r="547" spans="1:22" x14ac:dyDescent="0.3">
      <c r="A547" s="2">
        <v>44488</v>
      </c>
      <c r="B547">
        <v>32750</v>
      </c>
      <c r="C547">
        <v>657</v>
      </c>
      <c r="D547">
        <v>10</v>
      </c>
      <c r="E547" s="1" t="s">
        <v>22</v>
      </c>
      <c r="F547">
        <v>1</v>
      </c>
      <c r="G547" s="1" t="s">
        <v>44</v>
      </c>
      <c r="H547">
        <v>32178.571428571428</v>
      </c>
      <c r="J547">
        <v>32500</v>
      </c>
      <c r="K547">
        <v>32000</v>
      </c>
      <c r="M547">
        <v>250</v>
      </c>
      <c r="N547">
        <v>118.4046</v>
      </c>
      <c r="O547">
        <v>0.12201897</v>
      </c>
      <c r="P547">
        <v>14157.200199999999</v>
      </c>
      <c r="Q547">
        <v>27.77</v>
      </c>
      <c r="R547">
        <v>3.69</v>
      </c>
      <c r="S547">
        <v>77.13</v>
      </c>
      <c r="T547">
        <v>19</v>
      </c>
      <c r="U547" s="1" t="s">
        <v>34</v>
      </c>
      <c r="V547">
        <v>0.77</v>
      </c>
    </row>
    <row r="548" spans="1:22" x14ac:dyDescent="0.3">
      <c r="A548" s="2">
        <v>44490</v>
      </c>
      <c r="B548">
        <v>32750</v>
      </c>
      <c r="C548">
        <v>659</v>
      </c>
      <c r="D548">
        <v>10</v>
      </c>
      <c r="E548" s="1" t="s">
        <v>22</v>
      </c>
      <c r="F548">
        <v>3</v>
      </c>
      <c r="G548" s="1" t="s">
        <v>23</v>
      </c>
      <c r="K548">
        <v>32000</v>
      </c>
      <c r="L548">
        <v>33650</v>
      </c>
      <c r="N548">
        <v>118.4046</v>
      </c>
      <c r="O548">
        <v>0.12201897</v>
      </c>
      <c r="P548">
        <v>14119.799800000001</v>
      </c>
      <c r="Q548">
        <v>26.76</v>
      </c>
      <c r="R548">
        <v>7.29</v>
      </c>
      <c r="S548">
        <v>85.05</v>
      </c>
      <c r="T548">
        <v>21</v>
      </c>
      <c r="U548" s="1"/>
      <c r="V548">
        <v>0</v>
      </c>
    </row>
    <row r="549" spans="1:22" x14ac:dyDescent="0.3">
      <c r="A549" s="2">
        <v>44491</v>
      </c>
      <c r="B549">
        <v>32750</v>
      </c>
      <c r="C549">
        <v>660</v>
      </c>
      <c r="D549">
        <v>10</v>
      </c>
      <c r="E549" s="1" t="s">
        <v>22</v>
      </c>
      <c r="F549">
        <v>4</v>
      </c>
      <c r="G549" s="1" t="s">
        <v>23</v>
      </c>
      <c r="J549">
        <v>32750</v>
      </c>
      <c r="K549">
        <v>32000</v>
      </c>
      <c r="L549">
        <v>33650</v>
      </c>
      <c r="M549">
        <v>0</v>
      </c>
      <c r="N549">
        <v>118.4046</v>
      </c>
      <c r="O549">
        <v>0.12201897</v>
      </c>
      <c r="P549">
        <v>14175</v>
      </c>
      <c r="Q549">
        <v>26.54</v>
      </c>
      <c r="R549">
        <v>13.69</v>
      </c>
      <c r="S549">
        <v>84.02</v>
      </c>
      <c r="T549">
        <v>22</v>
      </c>
      <c r="U549" s="1" t="s">
        <v>25</v>
      </c>
      <c r="V549">
        <v>0</v>
      </c>
    </row>
    <row r="550" spans="1:22" x14ac:dyDescent="0.3">
      <c r="A550" s="2">
        <v>44494</v>
      </c>
      <c r="B550">
        <v>32750</v>
      </c>
      <c r="C550">
        <v>663</v>
      </c>
      <c r="D550">
        <v>10</v>
      </c>
      <c r="E550" s="1" t="s">
        <v>22</v>
      </c>
      <c r="F550">
        <v>0</v>
      </c>
      <c r="G550" s="1" t="s">
        <v>23</v>
      </c>
      <c r="K550">
        <v>32500</v>
      </c>
      <c r="N550">
        <v>118.4046</v>
      </c>
      <c r="O550">
        <v>0.12201897</v>
      </c>
      <c r="P550">
        <v>14116</v>
      </c>
      <c r="Q550">
        <v>27.6</v>
      </c>
      <c r="R550">
        <v>0.09</v>
      </c>
      <c r="S550">
        <v>77.23</v>
      </c>
      <c r="T550">
        <v>25</v>
      </c>
      <c r="U550" s="1" t="s">
        <v>25</v>
      </c>
      <c r="V550">
        <v>0</v>
      </c>
    </row>
    <row r="551" spans="1:22" x14ac:dyDescent="0.3">
      <c r="A551" s="2">
        <v>44495</v>
      </c>
      <c r="B551">
        <v>32750</v>
      </c>
      <c r="C551">
        <v>664</v>
      </c>
      <c r="D551">
        <v>10</v>
      </c>
      <c r="E551" s="1" t="s">
        <v>22</v>
      </c>
      <c r="F551">
        <v>1</v>
      </c>
      <c r="G551" s="1" t="s">
        <v>23</v>
      </c>
      <c r="J551">
        <v>32750</v>
      </c>
      <c r="K551">
        <v>32750</v>
      </c>
      <c r="M551">
        <v>0</v>
      </c>
      <c r="N551">
        <v>118.4046</v>
      </c>
      <c r="O551">
        <v>0.12201897</v>
      </c>
      <c r="P551">
        <v>14193.5</v>
      </c>
      <c r="Q551">
        <v>27.28</v>
      </c>
      <c r="R551">
        <v>1.75</v>
      </c>
      <c r="S551">
        <v>81.66</v>
      </c>
      <c r="T551">
        <v>26</v>
      </c>
      <c r="U551" s="1" t="s">
        <v>25</v>
      </c>
      <c r="V551">
        <v>0</v>
      </c>
    </row>
    <row r="552" spans="1:22" x14ac:dyDescent="0.3">
      <c r="A552" s="2">
        <v>44496</v>
      </c>
      <c r="B552">
        <v>32750</v>
      </c>
      <c r="C552">
        <v>665</v>
      </c>
      <c r="D552">
        <v>10</v>
      </c>
      <c r="E552" s="1" t="s">
        <v>22</v>
      </c>
      <c r="F552">
        <v>2</v>
      </c>
      <c r="G552" s="1" t="s">
        <v>23</v>
      </c>
      <c r="J552">
        <v>32750</v>
      </c>
      <c r="L552">
        <v>33150</v>
      </c>
      <c r="M552">
        <v>0</v>
      </c>
      <c r="N552">
        <v>118.4046</v>
      </c>
      <c r="O552">
        <v>0.12201897</v>
      </c>
      <c r="P552">
        <v>14175.700199999999</v>
      </c>
      <c r="Q552">
        <v>27.4</v>
      </c>
      <c r="R552">
        <v>1.43</v>
      </c>
      <c r="S552">
        <v>80.78</v>
      </c>
      <c r="T552">
        <v>27</v>
      </c>
      <c r="U552" s="1" t="s">
        <v>25</v>
      </c>
      <c r="V552">
        <v>0</v>
      </c>
    </row>
    <row r="553" spans="1:22" x14ac:dyDescent="0.3">
      <c r="A553" s="2">
        <v>44497</v>
      </c>
      <c r="B553">
        <v>32750</v>
      </c>
      <c r="C553">
        <v>666</v>
      </c>
      <c r="D553">
        <v>10</v>
      </c>
      <c r="E553" s="1" t="s">
        <v>22</v>
      </c>
      <c r="F553">
        <v>3</v>
      </c>
      <c r="G553" s="1" t="s">
        <v>23</v>
      </c>
      <c r="J553">
        <v>32750</v>
      </c>
      <c r="K553">
        <v>32750</v>
      </c>
      <c r="L553">
        <v>33150</v>
      </c>
      <c r="M553">
        <v>0</v>
      </c>
      <c r="N553">
        <v>118.4046</v>
      </c>
      <c r="O553">
        <v>0.12201897</v>
      </c>
      <c r="P553">
        <v>14217.099609999999</v>
      </c>
      <c r="Q553">
        <v>27.39</v>
      </c>
      <c r="R553">
        <v>4.74</v>
      </c>
      <c r="S553">
        <v>83.32</v>
      </c>
      <c r="T553">
        <v>28</v>
      </c>
      <c r="U553" s="1" t="s">
        <v>25</v>
      </c>
      <c r="V553">
        <v>0</v>
      </c>
    </row>
    <row r="554" spans="1:22" x14ac:dyDescent="0.3">
      <c r="A554" s="2">
        <v>44498</v>
      </c>
      <c r="B554">
        <v>31250</v>
      </c>
      <c r="C554">
        <v>667</v>
      </c>
      <c r="D554">
        <v>10</v>
      </c>
      <c r="E554" s="1" t="s">
        <v>22</v>
      </c>
      <c r="F554">
        <v>4</v>
      </c>
      <c r="G554" s="1" t="s">
        <v>23</v>
      </c>
      <c r="J554">
        <v>32750</v>
      </c>
      <c r="K554">
        <v>32750</v>
      </c>
      <c r="L554">
        <v>33150</v>
      </c>
      <c r="M554">
        <v>-1500</v>
      </c>
      <c r="N554">
        <v>118.4046</v>
      </c>
      <c r="O554">
        <v>0.12201897</v>
      </c>
      <c r="P554">
        <v>14229</v>
      </c>
      <c r="Q554">
        <v>27.97</v>
      </c>
      <c r="R554">
        <v>4.51</v>
      </c>
      <c r="S554">
        <v>79.83</v>
      </c>
      <c r="T554">
        <v>29</v>
      </c>
      <c r="U554" s="1" t="s">
        <v>37</v>
      </c>
      <c r="V554">
        <v>-4.58</v>
      </c>
    </row>
    <row r="555" spans="1:22" x14ac:dyDescent="0.3">
      <c r="A555" s="2">
        <v>44499</v>
      </c>
      <c r="B555">
        <v>31250</v>
      </c>
      <c r="C555">
        <v>668</v>
      </c>
      <c r="D555">
        <v>10</v>
      </c>
      <c r="E555" s="1" t="s">
        <v>22</v>
      </c>
      <c r="F555">
        <v>5</v>
      </c>
      <c r="G555" s="1" t="s">
        <v>23</v>
      </c>
      <c r="J555">
        <v>31250</v>
      </c>
      <c r="L555">
        <v>32900</v>
      </c>
      <c r="M555">
        <v>0</v>
      </c>
      <c r="N555">
        <v>118.4046</v>
      </c>
      <c r="O555">
        <v>0.12201897</v>
      </c>
      <c r="P555">
        <v>14229</v>
      </c>
      <c r="Q555">
        <v>27.27</v>
      </c>
      <c r="R555">
        <v>17</v>
      </c>
      <c r="S555">
        <v>80.19</v>
      </c>
      <c r="T555">
        <v>30</v>
      </c>
      <c r="U555" s="1" t="s">
        <v>37</v>
      </c>
      <c r="V555">
        <v>-4.58</v>
      </c>
    </row>
    <row r="556" spans="1:22" x14ac:dyDescent="0.3">
      <c r="A556" s="2">
        <v>44500</v>
      </c>
      <c r="B556">
        <v>31250</v>
      </c>
      <c r="C556">
        <v>669</v>
      </c>
      <c r="D556">
        <v>10</v>
      </c>
      <c r="E556" s="1" t="s">
        <v>22</v>
      </c>
      <c r="F556">
        <v>6</v>
      </c>
      <c r="G556" s="1" t="s">
        <v>23</v>
      </c>
      <c r="H556">
        <v>32107.142857142859</v>
      </c>
      <c r="J556">
        <v>31250</v>
      </c>
      <c r="L556">
        <v>32900</v>
      </c>
      <c r="M556">
        <v>0</v>
      </c>
      <c r="N556">
        <v>118.4046</v>
      </c>
      <c r="O556">
        <v>0.12201897</v>
      </c>
      <c r="P556">
        <v>14229</v>
      </c>
      <c r="Q556">
        <v>26.81</v>
      </c>
      <c r="R556">
        <v>20.67</v>
      </c>
      <c r="S556">
        <v>76.58</v>
      </c>
      <c r="T556">
        <v>31</v>
      </c>
      <c r="U556" s="1" t="s">
        <v>37</v>
      </c>
      <c r="V556">
        <v>-4.58</v>
      </c>
    </row>
    <row r="557" spans="1:22" x14ac:dyDescent="0.3">
      <c r="A557" s="2">
        <v>44501</v>
      </c>
      <c r="B557">
        <v>30250</v>
      </c>
      <c r="C557">
        <v>670</v>
      </c>
      <c r="D557">
        <v>11</v>
      </c>
      <c r="E557" s="1" t="s">
        <v>22</v>
      </c>
      <c r="F557">
        <v>0</v>
      </c>
      <c r="G557" s="1" t="s">
        <v>23</v>
      </c>
      <c r="H557">
        <v>31750</v>
      </c>
      <c r="J557">
        <v>31250</v>
      </c>
      <c r="K557">
        <v>32750</v>
      </c>
      <c r="L557">
        <v>32900</v>
      </c>
      <c r="M557">
        <v>-1000</v>
      </c>
      <c r="N557">
        <v>118.83750000000001</v>
      </c>
      <c r="O557">
        <v>0.36561079600000002</v>
      </c>
      <c r="P557">
        <v>14228.5</v>
      </c>
      <c r="Q557">
        <v>27.77</v>
      </c>
      <c r="R557">
        <v>2.79</v>
      </c>
      <c r="S557">
        <v>71.760000000000005</v>
      </c>
      <c r="T557">
        <v>1</v>
      </c>
      <c r="U557" s="1" t="s">
        <v>30</v>
      </c>
      <c r="V557">
        <v>-3.2</v>
      </c>
    </row>
    <row r="558" spans="1:22" x14ac:dyDescent="0.3">
      <c r="A558" s="2">
        <v>44502</v>
      </c>
      <c r="B558">
        <v>30250</v>
      </c>
      <c r="C558">
        <v>671</v>
      </c>
      <c r="D558">
        <v>11</v>
      </c>
      <c r="E558" s="1" t="s">
        <v>22</v>
      </c>
      <c r="F558">
        <v>1</v>
      </c>
      <c r="G558" s="1" t="s">
        <v>23</v>
      </c>
      <c r="H558">
        <v>31392.857142857141</v>
      </c>
      <c r="J558">
        <v>30250</v>
      </c>
      <c r="K558">
        <v>32750</v>
      </c>
      <c r="L558">
        <v>32900</v>
      </c>
      <c r="M558">
        <v>0</v>
      </c>
      <c r="N558">
        <v>118.83750000000001</v>
      </c>
      <c r="O558">
        <v>0.36561079600000002</v>
      </c>
      <c r="P558">
        <v>14276.599609999999</v>
      </c>
      <c r="Q558">
        <v>27.75</v>
      </c>
      <c r="R558">
        <v>3.38</v>
      </c>
      <c r="S558">
        <v>76.88</v>
      </c>
      <c r="T558">
        <v>2</v>
      </c>
      <c r="U558" s="1" t="s">
        <v>25</v>
      </c>
      <c r="V558">
        <v>0</v>
      </c>
    </row>
    <row r="559" spans="1:22" x14ac:dyDescent="0.3">
      <c r="A559" s="2">
        <v>44503</v>
      </c>
      <c r="B559">
        <v>30250</v>
      </c>
      <c r="C559">
        <v>672</v>
      </c>
      <c r="D559">
        <v>11</v>
      </c>
      <c r="E559" s="1" t="s">
        <v>22</v>
      </c>
      <c r="F559">
        <v>2</v>
      </c>
      <c r="G559" s="1" t="s">
        <v>23</v>
      </c>
      <c r="H559">
        <v>31035.714285714286</v>
      </c>
      <c r="J559">
        <v>30250</v>
      </c>
      <c r="K559">
        <v>32750</v>
      </c>
      <c r="L559">
        <v>32000</v>
      </c>
      <c r="M559">
        <v>0</v>
      </c>
      <c r="N559">
        <v>118.83750000000001</v>
      </c>
      <c r="O559">
        <v>0.36561079600000002</v>
      </c>
      <c r="P559">
        <v>14289.900390000001</v>
      </c>
      <c r="Q559">
        <v>27.38</v>
      </c>
      <c r="R559">
        <v>8.25</v>
      </c>
      <c r="S559">
        <v>81.67</v>
      </c>
      <c r="T559">
        <v>3</v>
      </c>
      <c r="U559" s="1" t="s">
        <v>25</v>
      </c>
      <c r="V559">
        <v>0</v>
      </c>
    </row>
    <row r="560" spans="1:22" x14ac:dyDescent="0.3">
      <c r="A560" s="2">
        <v>44504</v>
      </c>
      <c r="B560">
        <v>30000</v>
      </c>
      <c r="C560">
        <v>673</v>
      </c>
      <c r="D560">
        <v>11</v>
      </c>
      <c r="E560" s="1" t="s">
        <v>22</v>
      </c>
      <c r="F560">
        <v>3</v>
      </c>
      <c r="G560" s="1" t="s">
        <v>23</v>
      </c>
      <c r="H560">
        <v>30642.857142857141</v>
      </c>
      <c r="J560">
        <v>30250</v>
      </c>
      <c r="K560">
        <v>32750</v>
      </c>
      <c r="L560">
        <v>32000</v>
      </c>
      <c r="M560">
        <v>-250</v>
      </c>
      <c r="N560">
        <v>118.83750000000001</v>
      </c>
      <c r="O560">
        <v>0.36561079600000002</v>
      </c>
      <c r="P560">
        <v>14366</v>
      </c>
      <c r="Q560">
        <v>27.15</v>
      </c>
      <c r="R560">
        <v>7.92</v>
      </c>
      <c r="S560">
        <v>82.32</v>
      </c>
      <c r="T560">
        <v>4</v>
      </c>
      <c r="U560" s="1" t="s">
        <v>35</v>
      </c>
      <c r="V560">
        <v>-0.83</v>
      </c>
    </row>
    <row r="561" spans="1:22" x14ac:dyDescent="0.3">
      <c r="A561" s="2">
        <v>44505</v>
      </c>
      <c r="B561">
        <v>30000</v>
      </c>
      <c r="C561">
        <v>674</v>
      </c>
      <c r="D561">
        <v>11</v>
      </c>
      <c r="E561" s="1" t="s">
        <v>22</v>
      </c>
      <c r="F561">
        <v>4</v>
      </c>
      <c r="G561" s="1" t="s">
        <v>23</v>
      </c>
      <c r="H561">
        <v>30464.285714285714</v>
      </c>
      <c r="J561">
        <v>30000</v>
      </c>
      <c r="K561">
        <v>31250</v>
      </c>
      <c r="L561">
        <v>32000</v>
      </c>
      <c r="M561">
        <v>0</v>
      </c>
      <c r="N561">
        <v>118.83750000000001</v>
      </c>
      <c r="O561">
        <v>0.36561079600000002</v>
      </c>
      <c r="P561">
        <v>14414</v>
      </c>
      <c r="Q561">
        <v>27.06</v>
      </c>
      <c r="R561">
        <v>29.4</v>
      </c>
      <c r="S561">
        <v>84.6</v>
      </c>
      <c r="T561">
        <v>5</v>
      </c>
      <c r="U561" s="1" t="s">
        <v>25</v>
      </c>
      <c r="V561">
        <v>0</v>
      </c>
    </row>
    <row r="562" spans="1:22" x14ac:dyDescent="0.3">
      <c r="A562" s="2">
        <v>44508</v>
      </c>
      <c r="B562">
        <v>30500</v>
      </c>
      <c r="C562">
        <v>677</v>
      </c>
      <c r="D562">
        <v>11</v>
      </c>
      <c r="E562" s="1" t="s">
        <v>22</v>
      </c>
      <c r="F562">
        <v>0</v>
      </c>
      <c r="G562" s="1" t="s">
        <v>23</v>
      </c>
      <c r="K562">
        <v>30250</v>
      </c>
      <c r="L562">
        <v>32000</v>
      </c>
      <c r="N562">
        <v>118.83750000000001</v>
      </c>
      <c r="O562">
        <v>0.36561079600000002</v>
      </c>
      <c r="P562">
        <v>14319.799800000001</v>
      </c>
      <c r="Q562">
        <v>27.29</v>
      </c>
      <c r="R562">
        <v>9.69</v>
      </c>
      <c r="S562">
        <v>84.98</v>
      </c>
      <c r="T562">
        <v>8</v>
      </c>
      <c r="U562" s="1"/>
      <c r="V562">
        <v>0</v>
      </c>
    </row>
    <row r="563" spans="1:22" x14ac:dyDescent="0.3">
      <c r="A563" s="2">
        <v>44509</v>
      </c>
      <c r="B563">
        <v>29750</v>
      </c>
      <c r="C563">
        <v>678</v>
      </c>
      <c r="D563">
        <v>11</v>
      </c>
      <c r="E563" s="1" t="s">
        <v>22</v>
      </c>
      <c r="F563">
        <v>1</v>
      </c>
      <c r="G563" s="1" t="s">
        <v>23</v>
      </c>
      <c r="J563">
        <v>30500</v>
      </c>
      <c r="K563">
        <v>30250</v>
      </c>
      <c r="L563">
        <v>32000</v>
      </c>
      <c r="M563">
        <v>-750</v>
      </c>
      <c r="N563">
        <v>118.83750000000001</v>
      </c>
      <c r="O563">
        <v>0.36561079600000002</v>
      </c>
      <c r="P563">
        <v>14252</v>
      </c>
      <c r="Q563">
        <v>27.39</v>
      </c>
      <c r="R563">
        <v>7.31</v>
      </c>
      <c r="S563">
        <v>81.099999999999994</v>
      </c>
      <c r="T563">
        <v>9</v>
      </c>
      <c r="U563" s="1" t="s">
        <v>42</v>
      </c>
      <c r="V563">
        <v>-2.46</v>
      </c>
    </row>
    <row r="564" spans="1:22" x14ac:dyDescent="0.3">
      <c r="A564" s="2">
        <v>44510</v>
      </c>
      <c r="B564">
        <v>29750</v>
      </c>
      <c r="C564">
        <v>679</v>
      </c>
      <c r="D564">
        <v>11</v>
      </c>
      <c r="E564" s="1" t="s">
        <v>22</v>
      </c>
      <c r="F564">
        <v>2</v>
      </c>
      <c r="G564" s="1" t="s">
        <v>23</v>
      </c>
      <c r="J564">
        <v>29750</v>
      </c>
      <c r="K564">
        <v>30250</v>
      </c>
      <c r="L564">
        <v>32000</v>
      </c>
      <c r="M564">
        <v>0</v>
      </c>
      <c r="N564">
        <v>118.83750000000001</v>
      </c>
      <c r="O564">
        <v>0.36561079600000002</v>
      </c>
      <c r="P564">
        <v>14290</v>
      </c>
      <c r="Q564">
        <v>27.11</v>
      </c>
      <c r="R564">
        <v>8.5500000000000007</v>
      </c>
      <c r="S564">
        <v>84.3</v>
      </c>
      <c r="T564">
        <v>10</v>
      </c>
      <c r="U564" s="1" t="s">
        <v>25</v>
      </c>
      <c r="V564">
        <v>0</v>
      </c>
    </row>
    <row r="565" spans="1:22" x14ac:dyDescent="0.3">
      <c r="A565" s="2">
        <v>44511</v>
      </c>
      <c r="B565">
        <v>29750</v>
      </c>
      <c r="C565">
        <v>680</v>
      </c>
      <c r="D565">
        <v>11</v>
      </c>
      <c r="E565" s="1" t="s">
        <v>22</v>
      </c>
      <c r="F565">
        <v>3</v>
      </c>
      <c r="G565" s="1" t="s">
        <v>23</v>
      </c>
      <c r="J565">
        <v>29750</v>
      </c>
      <c r="K565">
        <v>30000</v>
      </c>
      <c r="L565">
        <v>32000</v>
      </c>
      <c r="M565">
        <v>0</v>
      </c>
      <c r="N565">
        <v>118.83750000000001</v>
      </c>
      <c r="O565">
        <v>0.36561079600000002</v>
      </c>
      <c r="P565">
        <v>14302.400390000001</v>
      </c>
      <c r="Q565">
        <v>27.13</v>
      </c>
      <c r="R565">
        <v>6.22</v>
      </c>
      <c r="S565">
        <v>84.94</v>
      </c>
      <c r="T565">
        <v>11</v>
      </c>
      <c r="U565" s="1" t="s">
        <v>25</v>
      </c>
      <c r="V565">
        <v>0</v>
      </c>
    </row>
    <row r="566" spans="1:22" x14ac:dyDescent="0.3">
      <c r="A566" s="2">
        <v>44512</v>
      </c>
      <c r="B566">
        <v>29500</v>
      </c>
      <c r="C566">
        <v>681</v>
      </c>
      <c r="D566">
        <v>11</v>
      </c>
      <c r="E566" s="1" t="s">
        <v>22</v>
      </c>
      <c r="F566">
        <v>4</v>
      </c>
      <c r="G566" s="1" t="s">
        <v>23</v>
      </c>
      <c r="J566">
        <v>29750</v>
      </c>
      <c r="K566">
        <v>30000</v>
      </c>
      <c r="L566">
        <v>32000</v>
      </c>
      <c r="M566">
        <v>-250</v>
      </c>
      <c r="N566">
        <v>118.83750000000001</v>
      </c>
      <c r="O566">
        <v>0.36561079600000002</v>
      </c>
      <c r="P566">
        <v>14261.700199999999</v>
      </c>
      <c r="Q566">
        <v>26.78</v>
      </c>
      <c r="R566">
        <v>10.31</v>
      </c>
      <c r="S566">
        <v>86.42</v>
      </c>
      <c r="T566">
        <v>12</v>
      </c>
      <c r="U566" s="1" t="s">
        <v>35</v>
      </c>
      <c r="V566">
        <v>-0.84</v>
      </c>
    </row>
    <row r="567" spans="1:22" x14ac:dyDescent="0.3">
      <c r="A567" s="2">
        <v>44513</v>
      </c>
      <c r="B567">
        <v>29500</v>
      </c>
      <c r="C567">
        <v>682</v>
      </c>
      <c r="D567">
        <v>11</v>
      </c>
      <c r="E567" s="1" t="s">
        <v>22</v>
      </c>
      <c r="F567">
        <v>5</v>
      </c>
      <c r="G567" s="1" t="s">
        <v>23</v>
      </c>
      <c r="J567">
        <v>29500</v>
      </c>
      <c r="L567">
        <v>32000</v>
      </c>
      <c r="M567">
        <v>0</v>
      </c>
      <c r="N567">
        <v>118.83750000000001</v>
      </c>
      <c r="O567">
        <v>0.36561079600000002</v>
      </c>
      <c r="P567">
        <v>14261.700199999999</v>
      </c>
      <c r="Q567">
        <v>26.77</v>
      </c>
      <c r="R567">
        <v>8.84</v>
      </c>
      <c r="S567">
        <v>84.29</v>
      </c>
      <c r="T567">
        <v>13</v>
      </c>
      <c r="U567" s="1" t="s">
        <v>35</v>
      </c>
      <c r="V567">
        <v>-0.84</v>
      </c>
    </row>
    <row r="568" spans="1:22" x14ac:dyDescent="0.3">
      <c r="A568" s="2">
        <v>44514</v>
      </c>
      <c r="B568">
        <v>29500</v>
      </c>
      <c r="C568">
        <v>683</v>
      </c>
      <c r="D568">
        <v>11</v>
      </c>
      <c r="E568" s="1" t="s">
        <v>22</v>
      </c>
      <c r="F568">
        <v>6</v>
      </c>
      <c r="G568" s="1" t="s">
        <v>23</v>
      </c>
      <c r="H568">
        <v>29750</v>
      </c>
      <c r="J568">
        <v>29500</v>
      </c>
      <c r="L568">
        <v>32000</v>
      </c>
      <c r="M568">
        <v>0</v>
      </c>
      <c r="N568">
        <v>118.83750000000001</v>
      </c>
      <c r="O568">
        <v>0.36561079600000002</v>
      </c>
      <c r="P568">
        <v>14261.700199999999</v>
      </c>
      <c r="Q568">
        <v>27.22</v>
      </c>
      <c r="R568">
        <v>10.02</v>
      </c>
      <c r="S568">
        <v>77.16</v>
      </c>
      <c r="T568">
        <v>14</v>
      </c>
      <c r="U568" s="1" t="s">
        <v>35</v>
      </c>
      <c r="V568">
        <v>-0.84</v>
      </c>
    </row>
    <row r="569" spans="1:22" x14ac:dyDescent="0.3">
      <c r="A569" s="2">
        <v>44515</v>
      </c>
      <c r="B569">
        <v>29750</v>
      </c>
      <c r="C569">
        <v>684</v>
      </c>
      <c r="D569">
        <v>11</v>
      </c>
      <c r="E569" s="1" t="s">
        <v>22</v>
      </c>
      <c r="F569">
        <v>0</v>
      </c>
      <c r="G569" s="1" t="s">
        <v>23</v>
      </c>
      <c r="H569">
        <v>29642.857142857141</v>
      </c>
      <c r="J569">
        <v>29500</v>
      </c>
      <c r="K569">
        <v>30500</v>
      </c>
      <c r="L569">
        <v>32000</v>
      </c>
      <c r="M569">
        <v>250</v>
      </c>
      <c r="N569">
        <v>118.83750000000001</v>
      </c>
      <c r="O569">
        <v>0.36561079600000002</v>
      </c>
      <c r="P569">
        <v>14186.700199999999</v>
      </c>
      <c r="Q569">
        <v>26.41</v>
      </c>
      <c r="R569">
        <v>7.69</v>
      </c>
      <c r="S569">
        <v>86.13</v>
      </c>
      <c r="T569">
        <v>15</v>
      </c>
      <c r="U569" s="1" t="s">
        <v>34</v>
      </c>
      <c r="V569">
        <v>0.85</v>
      </c>
    </row>
    <row r="570" spans="1:22" x14ac:dyDescent="0.3">
      <c r="A570" s="2">
        <v>44516</v>
      </c>
      <c r="B570">
        <v>29500</v>
      </c>
      <c r="C570">
        <v>685</v>
      </c>
      <c r="D570">
        <v>11</v>
      </c>
      <c r="E570" s="1" t="s">
        <v>22</v>
      </c>
      <c r="F570">
        <v>1</v>
      </c>
      <c r="G570" s="1" t="s">
        <v>23</v>
      </c>
      <c r="H570">
        <v>29607.142857142859</v>
      </c>
      <c r="J570">
        <v>29750</v>
      </c>
      <c r="K570">
        <v>29750</v>
      </c>
      <c r="L570">
        <v>32000</v>
      </c>
      <c r="M570">
        <v>-250</v>
      </c>
      <c r="N570">
        <v>118.83750000000001</v>
      </c>
      <c r="O570">
        <v>0.36561079600000002</v>
      </c>
      <c r="P570">
        <v>14185.400390000001</v>
      </c>
      <c r="Q570">
        <v>26.95</v>
      </c>
      <c r="R570">
        <v>4.0999999999999996</v>
      </c>
      <c r="S570">
        <v>81.2</v>
      </c>
      <c r="T570">
        <v>16</v>
      </c>
      <c r="U570" s="1" t="s">
        <v>35</v>
      </c>
      <c r="V570">
        <v>-0.84</v>
      </c>
    </row>
    <row r="571" spans="1:22" x14ac:dyDescent="0.3">
      <c r="A571" s="2">
        <v>44517</v>
      </c>
      <c r="B571">
        <v>29500</v>
      </c>
      <c r="C571">
        <v>686</v>
      </c>
      <c r="D571">
        <v>11</v>
      </c>
      <c r="E571" s="1" t="s">
        <v>22</v>
      </c>
      <c r="F571">
        <v>2</v>
      </c>
      <c r="G571" s="1" t="s">
        <v>23</v>
      </c>
      <c r="H571">
        <v>29571.428571428572</v>
      </c>
      <c r="J571">
        <v>29500</v>
      </c>
      <c r="K571">
        <v>29750</v>
      </c>
      <c r="L571">
        <v>32500</v>
      </c>
      <c r="M571">
        <v>0</v>
      </c>
      <c r="N571">
        <v>118.83750000000001</v>
      </c>
      <c r="O571">
        <v>0.36561079600000002</v>
      </c>
      <c r="P571">
        <v>14274.200199999999</v>
      </c>
      <c r="Q571">
        <v>27.16</v>
      </c>
      <c r="R571">
        <v>9.81</v>
      </c>
      <c r="S571">
        <v>79.48</v>
      </c>
      <c r="T571">
        <v>17</v>
      </c>
      <c r="U571" s="1" t="s">
        <v>25</v>
      </c>
      <c r="V571">
        <v>0</v>
      </c>
    </row>
    <row r="572" spans="1:22" x14ac:dyDescent="0.3">
      <c r="A572" s="2">
        <v>44518</v>
      </c>
      <c r="B572">
        <v>28750</v>
      </c>
      <c r="C572">
        <v>687</v>
      </c>
      <c r="D572">
        <v>11</v>
      </c>
      <c r="E572" s="1" t="s">
        <v>22</v>
      </c>
      <c r="F572">
        <v>3</v>
      </c>
      <c r="G572" s="1" t="s">
        <v>23</v>
      </c>
      <c r="H572">
        <v>29428.571428571428</v>
      </c>
      <c r="J572">
        <v>29500</v>
      </c>
      <c r="K572">
        <v>29750</v>
      </c>
      <c r="L572">
        <v>32750</v>
      </c>
      <c r="M572">
        <v>-750</v>
      </c>
      <c r="N572">
        <v>118.83750000000001</v>
      </c>
      <c r="O572">
        <v>0.36561079600000002</v>
      </c>
      <c r="P572">
        <v>14223.799800000001</v>
      </c>
      <c r="Q572">
        <v>27.05</v>
      </c>
      <c r="R572">
        <v>7.3</v>
      </c>
      <c r="S572">
        <v>83.26</v>
      </c>
      <c r="T572">
        <v>18</v>
      </c>
      <c r="U572" s="1" t="s">
        <v>42</v>
      </c>
      <c r="V572">
        <v>-2.54</v>
      </c>
    </row>
    <row r="573" spans="1:22" x14ac:dyDescent="0.3">
      <c r="A573" s="2">
        <v>44519</v>
      </c>
      <c r="B573">
        <v>28750</v>
      </c>
      <c r="C573">
        <v>688</v>
      </c>
      <c r="D573">
        <v>11</v>
      </c>
      <c r="E573" s="1" t="s">
        <v>22</v>
      </c>
      <c r="F573">
        <v>4</v>
      </c>
      <c r="G573" s="1" t="s">
        <v>23</v>
      </c>
      <c r="H573">
        <v>29321.428571428572</v>
      </c>
      <c r="J573">
        <v>28750</v>
      </c>
      <c r="K573">
        <v>29500</v>
      </c>
      <c r="M573">
        <v>0</v>
      </c>
      <c r="N573">
        <v>118.83750000000001</v>
      </c>
      <c r="O573">
        <v>0.36561079600000002</v>
      </c>
      <c r="P573">
        <v>14204.700199999999</v>
      </c>
      <c r="Q573">
        <v>27.54</v>
      </c>
      <c r="R573">
        <v>1.67</v>
      </c>
      <c r="S573">
        <v>80.95</v>
      </c>
      <c r="T573">
        <v>19</v>
      </c>
      <c r="U573" s="1" t="s">
        <v>25</v>
      </c>
      <c r="V573">
        <v>0</v>
      </c>
    </row>
    <row r="574" spans="1:22" x14ac:dyDescent="0.3">
      <c r="A574" s="2">
        <v>44522</v>
      </c>
      <c r="B574">
        <v>28400</v>
      </c>
      <c r="C574">
        <v>691</v>
      </c>
      <c r="D574">
        <v>11</v>
      </c>
      <c r="E574" s="1" t="s">
        <v>22</v>
      </c>
      <c r="F574">
        <v>0</v>
      </c>
      <c r="G574" s="1" t="s">
        <v>23</v>
      </c>
      <c r="K574">
        <v>29750</v>
      </c>
      <c r="N574">
        <v>118.83750000000001</v>
      </c>
      <c r="O574">
        <v>0.36561079600000002</v>
      </c>
      <c r="P574">
        <v>14265.099609999999</v>
      </c>
      <c r="Q574">
        <v>26.99</v>
      </c>
      <c r="R574">
        <v>6.78</v>
      </c>
      <c r="S574">
        <v>81.17</v>
      </c>
      <c r="T574">
        <v>22</v>
      </c>
      <c r="U574" s="1"/>
      <c r="V574">
        <v>0</v>
      </c>
    </row>
    <row r="575" spans="1:22" x14ac:dyDescent="0.3">
      <c r="A575" s="2">
        <v>44523</v>
      </c>
      <c r="B575">
        <v>28650</v>
      </c>
      <c r="C575">
        <v>692</v>
      </c>
      <c r="D575">
        <v>11</v>
      </c>
      <c r="E575" s="1" t="s">
        <v>22</v>
      </c>
      <c r="F575">
        <v>1</v>
      </c>
      <c r="G575" s="1" t="s">
        <v>23</v>
      </c>
      <c r="J575">
        <v>28400</v>
      </c>
      <c r="K575">
        <v>29500</v>
      </c>
      <c r="M575">
        <v>250</v>
      </c>
      <c r="N575">
        <v>118.83750000000001</v>
      </c>
      <c r="O575">
        <v>0.36561079600000002</v>
      </c>
      <c r="P575">
        <v>14259.599609999999</v>
      </c>
      <c r="Q575">
        <v>26.55</v>
      </c>
      <c r="R575">
        <v>4.8</v>
      </c>
      <c r="S575">
        <v>83.27</v>
      </c>
      <c r="T575">
        <v>23</v>
      </c>
      <c r="U575" s="1" t="s">
        <v>34</v>
      </c>
      <c r="V575">
        <v>0.88</v>
      </c>
    </row>
    <row r="576" spans="1:22" x14ac:dyDescent="0.3">
      <c r="A576" s="2">
        <v>44524</v>
      </c>
      <c r="B576">
        <v>28650</v>
      </c>
      <c r="C576">
        <v>693</v>
      </c>
      <c r="D576">
        <v>11</v>
      </c>
      <c r="E576" s="1" t="s">
        <v>22</v>
      </c>
      <c r="F576">
        <v>2</v>
      </c>
      <c r="G576" s="1" t="s">
        <v>23</v>
      </c>
      <c r="J576">
        <v>28650</v>
      </c>
      <c r="K576">
        <v>29500</v>
      </c>
      <c r="L576">
        <v>32750</v>
      </c>
      <c r="M576">
        <v>0</v>
      </c>
      <c r="N576">
        <v>118.83750000000001</v>
      </c>
      <c r="O576">
        <v>0.36561079600000002</v>
      </c>
      <c r="P576">
        <v>14272.5</v>
      </c>
      <c r="Q576">
        <v>27.07</v>
      </c>
      <c r="R576">
        <v>6.34</v>
      </c>
      <c r="S576">
        <v>79.69</v>
      </c>
      <c r="T576">
        <v>24</v>
      </c>
      <c r="U576" s="1" t="s">
        <v>25</v>
      </c>
      <c r="V576">
        <v>0</v>
      </c>
    </row>
    <row r="577" spans="1:22" x14ac:dyDescent="0.3">
      <c r="A577" s="2">
        <v>44525</v>
      </c>
      <c r="B577">
        <v>27900</v>
      </c>
      <c r="C577">
        <v>694</v>
      </c>
      <c r="D577">
        <v>11</v>
      </c>
      <c r="E577" s="1" t="s">
        <v>22</v>
      </c>
      <c r="F577">
        <v>3</v>
      </c>
      <c r="G577" s="1" t="s">
        <v>23</v>
      </c>
      <c r="J577">
        <v>28650</v>
      </c>
      <c r="K577">
        <v>28750</v>
      </c>
      <c r="L577">
        <v>32750</v>
      </c>
      <c r="M577">
        <v>-750</v>
      </c>
      <c r="N577">
        <v>118.83750000000001</v>
      </c>
      <c r="O577">
        <v>0.36561079600000002</v>
      </c>
      <c r="P577">
        <v>14303.400390000001</v>
      </c>
      <c r="Q577">
        <v>26.75</v>
      </c>
      <c r="R577">
        <v>10.87</v>
      </c>
      <c r="S577">
        <v>84.78</v>
      </c>
      <c r="T577">
        <v>25</v>
      </c>
      <c r="U577" s="1" t="s">
        <v>42</v>
      </c>
      <c r="V577">
        <v>-2.62</v>
      </c>
    </row>
    <row r="578" spans="1:22" x14ac:dyDescent="0.3">
      <c r="A578" s="2">
        <v>44526</v>
      </c>
      <c r="B578">
        <v>28650</v>
      </c>
      <c r="C578">
        <v>695</v>
      </c>
      <c r="D578">
        <v>11</v>
      </c>
      <c r="E578" s="1" t="s">
        <v>22</v>
      </c>
      <c r="F578">
        <v>4</v>
      </c>
      <c r="G578" s="1" t="s">
        <v>23</v>
      </c>
      <c r="J578">
        <v>27900</v>
      </c>
      <c r="K578">
        <v>28750</v>
      </c>
      <c r="L578">
        <v>32750</v>
      </c>
      <c r="M578">
        <v>750</v>
      </c>
      <c r="N578">
        <v>118.83750000000001</v>
      </c>
      <c r="O578">
        <v>0.36561079600000002</v>
      </c>
      <c r="P578">
        <v>14320</v>
      </c>
      <c r="Q578">
        <v>26.26</v>
      </c>
      <c r="R578">
        <v>6.47</v>
      </c>
      <c r="S578">
        <v>83.81</v>
      </c>
      <c r="T578">
        <v>26</v>
      </c>
      <c r="U578" s="1" t="s">
        <v>52</v>
      </c>
      <c r="V578">
        <v>2.69</v>
      </c>
    </row>
    <row r="579" spans="1:22" x14ac:dyDescent="0.3">
      <c r="A579" s="2">
        <v>44527</v>
      </c>
      <c r="B579">
        <v>28650</v>
      </c>
      <c r="C579">
        <v>696</v>
      </c>
      <c r="D579">
        <v>11</v>
      </c>
      <c r="E579" s="1" t="s">
        <v>22</v>
      </c>
      <c r="F579">
        <v>5</v>
      </c>
      <c r="G579" s="1" t="s">
        <v>23</v>
      </c>
      <c r="J579">
        <v>28650</v>
      </c>
      <c r="L579">
        <v>32750</v>
      </c>
      <c r="M579">
        <v>0</v>
      </c>
      <c r="N579">
        <v>118.83750000000001</v>
      </c>
      <c r="O579">
        <v>0.36561079600000002</v>
      </c>
      <c r="P579">
        <v>14320</v>
      </c>
      <c r="Q579">
        <v>26.48</v>
      </c>
      <c r="R579">
        <v>7.1</v>
      </c>
      <c r="S579">
        <v>83.28</v>
      </c>
      <c r="T579">
        <v>27</v>
      </c>
      <c r="U579" s="1" t="s">
        <v>52</v>
      </c>
      <c r="V579">
        <v>2.69</v>
      </c>
    </row>
    <row r="580" spans="1:22" x14ac:dyDescent="0.3">
      <c r="A580" s="2">
        <v>44528</v>
      </c>
      <c r="B580">
        <v>28650</v>
      </c>
      <c r="C580">
        <v>697</v>
      </c>
      <c r="D580">
        <v>11</v>
      </c>
      <c r="E580" s="1" t="s">
        <v>22</v>
      </c>
      <c r="F580">
        <v>6</v>
      </c>
      <c r="G580" s="1" t="s">
        <v>23</v>
      </c>
      <c r="H580">
        <v>28507.142857142859</v>
      </c>
      <c r="J580">
        <v>28650</v>
      </c>
      <c r="L580">
        <v>31250</v>
      </c>
      <c r="M580">
        <v>0</v>
      </c>
      <c r="N580">
        <v>118.83750000000001</v>
      </c>
      <c r="O580">
        <v>0.36561079600000002</v>
      </c>
      <c r="P580">
        <v>14320</v>
      </c>
      <c r="Q580">
        <v>26.74</v>
      </c>
      <c r="R580">
        <v>5.13</v>
      </c>
      <c r="S580">
        <v>82.89</v>
      </c>
      <c r="T580">
        <v>28</v>
      </c>
      <c r="U580" s="1" t="s">
        <v>52</v>
      </c>
      <c r="V580">
        <v>2.69</v>
      </c>
    </row>
    <row r="581" spans="1:22" x14ac:dyDescent="0.3">
      <c r="A581" s="2">
        <v>44529</v>
      </c>
      <c r="B581">
        <v>28650</v>
      </c>
      <c r="C581">
        <v>698</v>
      </c>
      <c r="D581">
        <v>11</v>
      </c>
      <c r="E581" s="1" t="s">
        <v>22</v>
      </c>
      <c r="F581">
        <v>0</v>
      </c>
      <c r="G581" s="1" t="s">
        <v>23</v>
      </c>
      <c r="H581">
        <v>28542.857142857141</v>
      </c>
      <c r="J581">
        <v>28650</v>
      </c>
      <c r="K581">
        <v>28400</v>
      </c>
      <c r="L581">
        <v>31250</v>
      </c>
      <c r="M581">
        <v>0</v>
      </c>
      <c r="N581">
        <v>118.83750000000001</v>
      </c>
      <c r="O581">
        <v>0.36561079600000002</v>
      </c>
      <c r="P581">
        <v>14408.200199999999</v>
      </c>
      <c r="Q581">
        <v>27.11</v>
      </c>
      <c r="R581">
        <v>13.74</v>
      </c>
      <c r="S581">
        <v>79.72</v>
      </c>
      <c r="T581">
        <v>29</v>
      </c>
      <c r="U581" s="1" t="s">
        <v>25</v>
      </c>
      <c r="V581">
        <v>0</v>
      </c>
    </row>
    <row r="582" spans="1:22" x14ac:dyDescent="0.3">
      <c r="A582" s="2">
        <v>44530</v>
      </c>
      <c r="B582">
        <v>28400</v>
      </c>
      <c r="C582">
        <v>699</v>
      </c>
      <c r="D582">
        <v>11</v>
      </c>
      <c r="E582" s="1" t="s">
        <v>22</v>
      </c>
      <c r="F582">
        <v>1</v>
      </c>
      <c r="G582" s="1" t="s">
        <v>23</v>
      </c>
      <c r="H582">
        <v>28507.142857142859</v>
      </c>
      <c r="J582">
        <v>28650</v>
      </c>
      <c r="K582">
        <v>28650</v>
      </c>
      <c r="L582">
        <v>31250</v>
      </c>
      <c r="M582">
        <v>-250</v>
      </c>
      <c r="N582">
        <v>118.83750000000001</v>
      </c>
      <c r="O582">
        <v>0.36561079600000002</v>
      </c>
      <c r="P582">
        <v>14377</v>
      </c>
      <c r="Q582">
        <v>26.32</v>
      </c>
      <c r="R582">
        <v>26.32</v>
      </c>
      <c r="S582">
        <v>84.85</v>
      </c>
      <c r="T582">
        <v>30</v>
      </c>
      <c r="U582" s="1" t="s">
        <v>35</v>
      </c>
      <c r="V582">
        <v>-0.87</v>
      </c>
    </row>
    <row r="583" spans="1:22" x14ac:dyDescent="0.3">
      <c r="A583" s="2">
        <v>44531</v>
      </c>
      <c r="B583">
        <v>28400</v>
      </c>
      <c r="C583">
        <v>700</v>
      </c>
      <c r="D583">
        <v>12</v>
      </c>
      <c r="E583" s="1" t="s">
        <v>22</v>
      </c>
      <c r="F583">
        <v>2</v>
      </c>
      <c r="G583" s="1" t="s">
        <v>23</v>
      </c>
      <c r="H583">
        <v>28471.428571428572</v>
      </c>
      <c r="J583">
        <v>28400</v>
      </c>
      <c r="K583">
        <v>28650</v>
      </c>
      <c r="L583">
        <v>30250</v>
      </c>
      <c r="M583">
        <v>0</v>
      </c>
      <c r="N583">
        <v>119.5147</v>
      </c>
      <c r="O583">
        <v>0.56985379199999997</v>
      </c>
      <c r="P583">
        <v>14333</v>
      </c>
      <c r="Q583">
        <v>26.73</v>
      </c>
      <c r="R583">
        <v>7.7</v>
      </c>
      <c r="S583">
        <v>81.23</v>
      </c>
      <c r="T583">
        <v>1</v>
      </c>
      <c r="U583" s="1" t="s">
        <v>25</v>
      </c>
      <c r="V583">
        <v>0</v>
      </c>
    </row>
    <row r="584" spans="1:22" x14ac:dyDescent="0.3">
      <c r="A584" s="2">
        <v>44532</v>
      </c>
      <c r="B584">
        <v>28400</v>
      </c>
      <c r="C584">
        <v>701</v>
      </c>
      <c r="D584">
        <v>12</v>
      </c>
      <c r="E584" s="1" t="s">
        <v>22</v>
      </c>
      <c r="F584">
        <v>3</v>
      </c>
      <c r="G584" s="1" t="s">
        <v>23</v>
      </c>
      <c r="H584">
        <v>28542.857142857141</v>
      </c>
      <c r="J584">
        <v>28400</v>
      </c>
      <c r="K584">
        <v>27900</v>
      </c>
      <c r="L584">
        <v>30250</v>
      </c>
      <c r="M584">
        <v>0</v>
      </c>
      <c r="N584">
        <v>119.5147</v>
      </c>
      <c r="O584">
        <v>0.56985379199999997</v>
      </c>
      <c r="P584">
        <v>14376</v>
      </c>
      <c r="Q584">
        <v>26.98</v>
      </c>
      <c r="R584">
        <v>8.8699999999999992</v>
      </c>
      <c r="S584">
        <v>82.85</v>
      </c>
      <c r="T584">
        <v>2</v>
      </c>
      <c r="U584" s="1" t="s">
        <v>25</v>
      </c>
      <c r="V584">
        <v>0</v>
      </c>
    </row>
    <row r="585" spans="1:22" x14ac:dyDescent="0.3">
      <c r="A585" s="2">
        <v>44533</v>
      </c>
      <c r="B585">
        <v>28500</v>
      </c>
      <c r="C585">
        <v>702</v>
      </c>
      <c r="D585">
        <v>12</v>
      </c>
      <c r="E585" s="1" t="s">
        <v>22</v>
      </c>
      <c r="F585">
        <v>4</v>
      </c>
      <c r="G585" s="1" t="s">
        <v>23</v>
      </c>
      <c r="H585">
        <v>28521.428571428572</v>
      </c>
      <c r="J585">
        <v>28400</v>
      </c>
      <c r="K585">
        <v>28650</v>
      </c>
      <c r="L585">
        <v>30250</v>
      </c>
      <c r="M585">
        <v>100</v>
      </c>
      <c r="N585">
        <v>119.5147</v>
      </c>
      <c r="O585">
        <v>0.56985379199999997</v>
      </c>
      <c r="P585">
        <v>14443.799800000001</v>
      </c>
      <c r="Q585">
        <v>27.08</v>
      </c>
      <c r="R585">
        <v>12.38</v>
      </c>
      <c r="S585">
        <v>84.15</v>
      </c>
      <c r="T585">
        <v>3</v>
      </c>
      <c r="U585" s="1" t="s">
        <v>65</v>
      </c>
      <c r="V585">
        <v>0.35</v>
      </c>
    </row>
    <row r="586" spans="1:22" x14ac:dyDescent="0.3">
      <c r="A586" s="2">
        <v>44536</v>
      </c>
      <c r="B586">
        <v>29000</v>
      </c>
      <c r="C586">
        <v>705</v>
      </c>
      <c r="D586">
        <v>12</v>
      </c>
      <c r="E586" s="1" t="s">
        <v>22</v>
      </c>
      <c r="F586">
        <v>0</v>
      </c>
      <c r="G586" s="1" t="s">
        <v>23</v>
      </c>
      <c r="K586">
        <v>28650</v>
      </c>
      <c r="N586">
        <v>119.5147</v>
      </c>
      <c r="O586">
        <v>0.56985379199999997</v>
      </c>
      <c r="P586">
        <v>14514</v>
      </c>
      <c r="Q586">
        <v>27.05</v>
      </c>
      <c r="R586">
        <v>7.63</v>
      </c>
      <c r="S586">
        <v>86.5</v>
      </c>
      <c r="T586">
        <v>6</v>
      </c>
      <c r="U586" s="1"/>
      <c r="V586">
        <v>0</v>
      </c>
    </row>
    <row r="587" spans="1:22" x14ac:dyDescent="0.3">
      <c r="A587" s="2">
        <v>44537</v>
      </c>
      <c r="B587">
        <v>29000</v>
      </c>
      <c r="C587">
        <v>706</v>
      </c>
      <c r="D587">
        <v>12</v>
      </c>
      <c r="E587" s="1" t="s">
        <v>22</v>
      </c>
      <c r="F587">
        <v>1</v>
      </c>
      <c r="G587" s="1" t="s">
        <v>23</v>
      </c>
      <c r="J587">
        <v>29000</v>
      </c>
      <c r="K587">
        <v>28400</v>
      </c>
      <c r="M587">
        <v>0</v>
      </c>
      <c r="N587">
        <v>119.5147</v>
      </c>
      <c r="O587">
        <v>0.56985379199999997</v>
      </c>
      <c r="P587">
        <v>14490</v>
      </c>
      <c r="Q587">
        <v>26.95</v>
      </c>
      <c r="R587">
        <v>12.34</v>
      </c>
      <c r="S587">
        <v>85.63</v>
      </c>
      <c r="T587">
        <v>7</v>
      </c>
      <c r="U587" s="1" t="s">
        <v>25</v>
      </c>
      <c r="V587">
        <v>0</v>
      </c>
    </row>
    <row r="588" spans="1:22" x14ac:dyDescent="0.3">
      <c r="A588" s="2">
        <v>44538</v>
      </c>
      <c r="B588">
        <v>29250</v>
      </c>
      <c r="C588">
        <v>707</v>
      </c>
      <c r="D588">
        <v>12</v>
      </c>
      <c r="E588" s="1" t="s">
        <v>22</v>
      </c>
      <c r="F588">
        <v>2</v>
      </c>
      <c r="G588" s="1" t="s">
        <v>23</v>
      </c>
      <c r="J588">
        <v>29000</v>
      </c>
      <c r="K588">
        <v>28400</v>
      </c>
      <c r="L588">
        <v>30500</v>
      </c>
      <c r="M588">
        <v>250</v>
      </c>
      <c r="N588">
        <v>119.5147</v>
      </c>
      <c r="O588">
        <v>0.56985379199999997</v>
      </c>
      <c r="P588">
        <v>14393.299800000001</v>
      </c>
      <c r="Q588">
        <v>27.23</v>
      </c>
      <c r="R588">
        <v>5.63</v>
      </c>
      <c r="S588">
        <v>84.56</v>
      </c>
      <c r="T588">
        <v>8</v>
      </c>
      <c r="U588" s="1" t="s">
        <v>34</v>
      </c>
      <c r="V588">
        <v>0.86</v>
      </c>
    </row>
    <row r="589" spans="1:22" x14ac:dyDescent="0.3">
      <c r="A589" s="2">
        <v>44539</v>
      </c>
      <c r="B589">
        <v>28650</v>
      </c>
      <c r="C589">
        <v>708</v>
      </c>
      <c r="D589">
        <v>12</v>
      </c>
      <c r="E589" s="1" t="s">
        <v>22</v>
      </c>
      <c r="F589">
        <v>3</v>
      </c>
      <c r="G589" s="1" t="s">
        <v>23</v>
      </c>
      <c r="J589">
        <v>29250</v>
      </c>
      <c r="K589">
        <v>28400</v>
      </c>
      <c r="L589">
        <v>29750</v>
      </c>
      <c r="M589">
        <v>-600</v>
      </c>
      <c r="N589">
        <v>119.5147</v>
      </c>
      <c r="O589">
        <v>0.56985379199999997</v>
      </c>
      <c r="P589">
        <v>14335</v>
      </c>
      <c r="Q589">
        <v>27.27</v>
      </c>
      <c r="R589">
        <v>2.59</v>
      </c>
      <c r="S589">
        <v>84.74</v>
      </c>
      <c r="T589">
        <v>9</v>
      </c>
      <c r="U589" s="1" t="s">
        <v>62</v>
      </c>
      <c r="V589">
        <v>-2.0499999999999998</v>
      </c>
    </row>
    <row r="590" spans="1:22" x14ac:dyDescent="0.3">
      <c r="A590" s="2">
        <v>44540</v>
      </c>
      <c r="B590">
        <v>28650</v>
      </c>
      <c r="C590">
        <v>709</v>
      </c>
      <c r="D590">
        <v>12</v>
      </c>
      <c r="E590" s="1" t="s">
        <v>22</v>
      </c>
      <c r="F590">
        <v>4</v>
      </c>
      <c r="G590" s="1" t="s">
        <v>23</v>
      </c>
      <c r="J590">
        <v>28650</v>
      </c>
      <c r="K590">
        <v>28500</v>
      </c>
      <c r="L590">
        <v>29750</v>
      </c>
      <c r="M590">
        <v>0</v>
      </c>
      <c r="N590">
        <v>119.5147</v>
      </c>
      <c r="O590">
        <v>0.56985379199999997</v>
      </c>
      <c r="P590">
        <v>14297.400390000001</v>
      </c>
      <c r="Q590">
        <v>27.5</v>
      </c>
      <c r="R590">
        <v>1.79</v>
      </c>
      <c r="S590">
        <v>84.62</v>
      </c>
      <c r="T590">
        <v>10</v>
      </c>
      <c r="U590" s="1" t="s">
        <v>25</v>
      </c>
      <c r="V590">
        <v>0</v>
      </c>
    </row>
    <row r="591" spans="1:22" x14ac:dyDescent="0.3">
      <c r="A591" s="2">
        <v>44541</v>
      </c>
      <c r="B591">
        <v>28650</v>
      </c>
      <c r="C591">
        <v>710</v>
      </c>
      <c r="D591">
        <v>12</v>
      </c>
      <c r="E591" s="1" t="s">
        <v>22</v>
      </c>
      <c r="F591">
        <v>5</v>
      </c>
      <c r="G591" s="1" t="s">
        <v>23</v>
      </c>
      <c r="J591">
        <v>28650</v>
      </c>
      <c r="L591">
        <v>29750</v>
      </c>
      <c r="M591">
        <v>0</v>
      </c>
      <c r="N591">
        <v>119.5147</v>
      </c>
      <c r="O591">
        <v>0.56985379199999997</v>
      </c>
      <c r="P591">
        <v>14297.400390000001</v>
      </c>
      <c r="Q591">
        <v>27.39</v>
      </c>
      <c r="R591">
        <v>4.74</v>
      </c>
      <c r="S591">
        <v>85.69</v>
      </c>
      <c r="T591">
        <v>11</v>
      </c>
      <c r="U591" s="1" t="s">
        <v>25</v>
      </c>
      <c r="V591">
        <v>0</v>
      </c>
    </row>
    <row r="592" spans="1:22" x14ac:dyDescent="0.3">
      <c r="A592" s="2">
        <v>44542</v>
      </c>
      <c r="B592">
        <v>28650</v>
      </c>
      <c r="C592">
        <v>711</v>
      </c>
      <c r="D592">
        <v>12</v>
      </c>
      <c r="E592" s="1" t="s">
        <v>22</v>
      </c>
      <c r="F592">
        <v>6</v>
      </c>
      <c r="G592" s="1" t="s">
        <v>23</v>
      </c>
      <c r="H592">
        <v>28835.714285714286</v>
      </c>
      <c r="J592">
        <v>28650</v>
      </c>
      <c r="L592">
        <v>29500</v>
      </c>
      <c r="M592">
        <v>0</v>
      </c>
      <c r="N592">
        <v>119.5147</v>
      </c>
      <c r="O592">
        <v>0.56985379199999997</v>
      </c>
      <c r="P592">
        <v>14297.400390000001</v>
      </c>
      <c r="Q592">
        <v>27.2</v>
      </c>
      <c r="R592">
        <v>6.13</v>
      </c>
      <c r="S592">
        <v>85.73</v>
      </c>
      <c r="T592">
        <v>12</v>
      </c>
      <c r="U592" s="1" t="s">
        <v>25</v>
      </c>
      <c r="V592">
        <v>0</v>
      </c>
    </row>
    <row r="593" spans="1:22" x14ac:dyDescent="0.3">
      <c r="A593" s="2">
        <v>44543</v>
      </c>
      <c r="B593">
        <v>32400</v>
      </c>
      <c r="C593">
        <v>712</v>
      </c>
      <c r="D593">
        <v>12</v>
      </c>
      <c r="E593" s="1" t="s">
        <v>22</v>
      </c>
      <c r="F593">
        <v>0</v>
      </c>
      <c r="G593" s="1" t="s">
        <v>23</v>
      </c>
      <c r="H593">
        <v>29321.428571428572</v>
      </c>
      <c r="J593">
        <v>28650</v>
      </c>
      <c r="K593">
        <v>29000</v>
      </c>
      <c r="L593">
        <v>29500</v>
      </c>
      <c r="M593">
        <v>3750</v>
      </c>
      <c r="N593">
        <v>119.5147</v>
      </c>
      <c r="O593">
        <v>0.56985379199999997</v>
      </c>
      <c r="P593">
        <v>14351.900390000001</v>
      </c>
      <c r="Q593">
        <v>26.89</v>
      </c>
      <c r="R593">
        <v>3.23</v>
      </c>
      <c r="S593">
        <v>85.68</v>
      </c>
      <c r="T593">
        <v>13</v>
      </c>
      <c r="U593" s="1" t="s">
        <v>61</v>
      </c>
      <c r="V593">
        <v>13.09</v>
      </c>
    </row>
    <row r="594" spans="1:22" x14ac:dyDescent="0.3">
      <c r="A594" s="2">
        <v>44544</v>
      </c>
      <c r="B594">
        <v>32650</v>
      </c>
      <c r="C594">
        <v>713</v>
      </c>
      <c r="D594">
        <v>12</v>
      </c>
      <c r="E594" s="1" t="s">
        <v>22</v>
      </c>
      <c r="F594">
        <v>1</v>
      </c>
      <c r="G594" s="1" t="s">
        <v>23</v>
      </c>
      <c r="H594">
        <v>29842.857142857141</v>
      </c>
      <c r="J594">
        <v>32400</v>
      </c>
      <c r="K594">
        <v>29000</v>
      </c>
      <c r="L594">
        <v>29500</v>
      </c>
      <c r="M594">
        <v>250</v>
      </c>
      <c r="N594">
        <v>119.5147</v>
      </c>
      <c r="O594">
        <v>0.56985379199999997</v>
      </c>
      <c r="P594">
        <v>14324.700199999999</v>
      </c>
      <c r="Q594">
        <v>26.78</v>
      </c>
      <c r="R594">
        <v>6.23</v>
      </c>
      <c r="S594">
        <v>87.21</v>
      </c>
      <c r="T594">
        <v>14</v>
      </c>
      <c r="U594" s="1" t="s">
        <v>34</v>
      </c>
      <c r="V594">
        <v>0.77</v>
      </c>
    </row>
    <row r="595" spans="1:22" x14ac:dyDescent="0.3">
      <c r="A595" s="2">
        <v>44545</v>
      </c>
      <c r="B595">
        <v>32900</v>
      </c>
      <c r="C595">
        <v>714</v>
      </c>
      <c r="D595">
        <v>12</v>
      </c>
      <c r="E595" s="1" t="s">
        <v>22</v>
      </c>
      <c r="F595">
        <v>2</v>
      </c>
      <c r="G595" s="1" t="s">
        <v>23</v>
      </c>
      <c r="H595">
        <v>30364.285714285714</v>
      </c>
      <c r="J595">
        <v>32650</v>
      </c>
      <c r="K595">
        <v>29250</v>
      </c>
      <c r="L595">
        <v>29750</v>
      </c>
      <c r="M595">
        <v>250</v>
      </c>
      <c r="N595">
        <v>119.5147</v>
      </c>
      <c r="O595">
        <v>0.56985379199999997</v>
      </c>
      <c r="P595">
        <v>14342.5</v>
      </c>
      <c r="Q595">
        <v>27.05</v>
      </c>
      <c r="R595">
        <v>2.93</v>
      </c>
      <c r="S595">
        <v>83.54</v>
      </c>
      <c r="T595">
        <v>15</v>
      </c>
      <c r="U595" s="1" t="s">
        <v>34</v>
      </c>
      <c r="V595">
        <v>0.77</v>
      </c>
    </row>
    <row r="596" spans="1:22" x14ac:dyDescent="0.3">
      <c r="A596" s="2">
        <v>44546</v>
      </c>
      <c r="B596">
        <v>32650</v>
      </c>
      <c r="C596">
        <v>715</v>
      </c>
      <c r="D596">
        <v>12</v>
      </c>
      <c r="E596" s="1" t="s">
        <v>22</v>
      </c>
      <c r="F596">
        <v>3</v>
      </c>
      <c r="G596" s="1" t="s">
        <v>23</v>
      </c>
      <c r="H596">
        <v>30935.714285714286</v>
      </c>
      <c r="J596">
        <v>32900</v>
      </c>
      <c r="K596">
        <v>28650</v>
      </c>
      <c r="L596">
        <v>29500</v>
      </c>
      <c r="M596">
        <v>-250</v>
      </c>
      <c r="N596">
        <v>119.5147</v>
      </c>
      <c r="O596">
        <v>0.56985379199999997</v>
      </c>
      <c r="P596">
        <v>14297.5</v>
      </c>
      <c r="Q596">
        <v>27.53</v>
      </c>
      <c r="R596">
        <v>2.52</v>
      </c>
      <c r="S596">
        <v>83.37</v>
      </c>
      <c r="T596">
        <v>16</v>
      </c>
      <c r="U596" s="1" t="s">
        <v>35</v>
      </c>
      <c r="V596">
        <v>-0.76</v>
      </c>
    </row>
    <row r="597" spans="1:22" x14ac:dyDescent="0.3">
      <c r="A597" s="2">
        <v>44547</v>
      </c>
      <c r="B597">
        <v>32650</v>
      </c>
      <c r="C597">
        <v>716</v>
      </c>
      <c r="D597">
        <v>12</v>
      </c>
      <c r="E597" s="1" t="s">
        <v>22</v>
      </c>
      <c r="F597">
        <v>4</v>
      </c>
      <c r="G597" s="1" t="s">
        <v>23</v>
      </c>
      <c r="H597">
        <v>31507.142857142859</v>
      </c>
      <c r="J597">
        <v>32650</v>
      </c>
      <c r="K597">
        <v>28650</v>
      </c>
      <c r="L597">
        <v>29500</v>
      </c>
      <c r="M597">
        <v>0</v>
      </c>
      <c r="N597">
        <v>119.5147</v>
      </c>
      <c r="O597">
        <v>0.56985379199999997</v>
      </c>
      <c r="P597">
        <v>14380</v>
      </c>
      <c r="Q597">
        <v>28.06</v>
      </c>
      <c r="R597">
        <v>4.87</v>
      </c>
      <c r="S597">
        <v>81.2</v>
      </c>
      <c r="T597">
        <v>17</v>
      </c>
      <c r="U597" s="1" t="s">
        <v>25</v>
      </c>
      <c r="V597">
        <v>0</v>
      </c>
    </row>
    <row r="598" spans="1:22" x14ac:dyDescent="0.3">
      <c r="A598" s="2">
        <v>44550</v>
      </c>
      <c r="B598">
        <v>32650</v>
      </c>
      <c r="C598">
        <v>719</v>
      </c>
      <c r="D598">
        <v>12</v>
      </c>
      <c r="E598" s="1" t="s">
        <v>22</v>
      </c>
      <c r="F598">
        <v>0</v>
      </c>
      <c r="G598" s="1" t="s">
        <v>23</v>
      </c>
      <c r="K598">
        <v>32400</v>
      </c>
      <c r="N598">
        <v>119.5147</v>
      </c>
      <c r="O598">
        <v>0.56985379199999997</v>
      </c>
      <c r="P598">
        <v>14385.700199999999</v>
      </c>
      <c r="Q598">
        <v>26.46</v>
      </c>
      <c r="R598">
        <v>27.47</v>
      </c>
      <c r="S598">
        <v>86.62</v>
      </c>
      <c r="T598">
        <v>20</v>
      </c>
      <c r="U598" s="1"/>
      <c r="V598">
        <v>0</v>
      </c>
    </row>
    <row r="599" spans="1:22" x14ac:dyDescent="0.3">
      <c r="A599" s="2">
        <v>44551</v>
      </c>
      <c r="B599">
        <v>33000</v>
      </c>
      <c r="C599">
        <v>720</v>
      </c>
      <c r="D599">
        <v>12</v>
      </c>
      <c r="E599" s="1" t="s">
        <v>22</v>
      </c>
      <c r="F599">
        <v>1</v>
      </c>
      <c r="G599" s="1" t="s">
        <v>23</v>
      </c>
      <c r="J599">
        <v>32650</v>
      </c>
      <c r="K599">
        <v>32650</v>
      </c>
      <c r="M599">
        <v>350</v>
      </c>
      <c r="N599">
        <v>119.5147</v>
      </c>
      <c r="O599">
        <v>0.56985379199999997</v>
      </c>
      <c r="P599">
        <v>14388.700199999999</v>
      </c>
      <c r="Q599">
        <v>26.11</v>
      </c>
      <c r="R599">
        <v>4.79</v>
      </c>
      <c r="S599">
        <v>81.09</v>
      </c>
      <c r="T599">
        <v>21</v>
      </c>
      <c r="U599" s="1" t="s">
        <v>68</v>
      </c>
      <c r="V599">
        <v>1.07</v>
      </c>
    </row>
    <row r="600" spans="1:22" x14ac:dyDescent="0.3">
      <c r="A600" s="2">
        <v>44552</v>
      </c>
      <c r="B600">
        <v>33150</v>
      </c>
      <c r="C600">
        <v>721</v>
      </c>
      <c r="D600">
        <v>12</v>
      </c>
      <c r="E600" s="1" t="s">
        <v>22</v>
      </c>
      <c r="F600">
        <v>2</v>
      </c>
      <c r="G600" s="1" t="s">
        <v>23</v>
      </c>
      <c r="J600">
        <v>33000</v>
      </c>
      <c r="K600">
        <v>32900</v>
      </c>
      <c r="L600">
        <v>28400</v>
      </c>
      <c r="M600">
        <v>150</v>
      </c>
      <c r="N600">
        <v>119.5147</v>
      </c>
      <c r="O600">
        <v>0.56985379199999997</v>
      </c>
      <c r="P600">
        <v>14263.900390000001</v>
      </c>
      <c r="Q600">
        <v>26.05</v>
      </c>
      <c r="R600">
        <v>6.32</v>
      </c>
      <c r="S600">
        <v>87.16</v>
      </c>
      <c r="T600">
        <v>22</v>
      </c>
      <c r="U600" s="1" t="s">
        <v>66</v>
      </c>
      <c r="V600">
        <v>0.45</v>
      </c>
    </row>
    <row r="601" spans="1:22" x14ac:dyDescent="0.3">
      <c r="A601" s="2">
        <v>44553</v>
      </c>
      <c r="B601">
        <v>33900</v>
      </c>
      <c r="C601">
        <v>722</v>
      </c>
      <c r="D601">
        <v>12</v>
      </c>
      <c r="E601" s="1" t="s">
        <v>22</v>
      </c>
      <c r="F601">
        <v>3</v>
      </c>
      <c r="G601" s="1" t="s">
        <v>23</v>
      </c>
      <c r="J601">
        <v>33150</v>
      </c>
      <c r="K601">
        <v>32650</v>
      </c>
      <c r="L601">
        <v>28650</v>
      </c>
      <c r="M601">
        <v>750</v>
      </c>
      <c r="N601">
        <v>119.5147</v>
      </c>
      <c r="O601">
        <v>0.56985379199999997</v>
      </c>
      <c r="P601">
        <v>14193.799800000001</v>
      </c>
      <c r="Q601">
        <v>26.01</v>
      </c>
      <c r="R601">
        <v>16.25</v>
      </c>
      <c r="S601">
        <v>85.43</v>
      </c>
      <c r="T601">
        <v>23</v>
      </c>
      <c r="U601" s="1" t="s">
        <v>52</v>
      </c>
      <c r="V601">
        <v>2.2599999999999998</v>
      </c>
    </row>
    <row r="602" spans="1:22" x14ac:dyDescent="0.3">
      <c r="A602" s="2">
        <v>44554</v>
      </c>
      <c r="B602">
        <v>33900</v>
      </c>
      <c r="C602">
        <v>723</v>
      </c>
      <c r="D602">
        <v>12</v>
      </c>
      <c r="E602" s="1" t="s">
        <v>22</v>
      </c>
      <c r="F602">
        <v>4</v>
      </c>
      <c r="G602" s="1" t="s">
        <v>23</v>
      </c>
      <c r="J602">
        <v>33900</v>
      </c>
      <c r="K602">
        <v>32650</v>
      </c>
      <c r="L602">
        <v>28650</v>
      </c>
      <c r="M602">
        <v>0</v>
      </c>
      <c r="N602">
        <v>119.5147</v>
      </c>
      <c r="O602">
        <v>0.56985379199999997</v>
      </c>
      <c r="P602">
        <v>14167.799800000001</v>
      </c>
      <c r="Q602">
        <v>26.44</v>
      </c>
      <c r="R602">
        <v>8.15</v>
      </c>
      <c r="S602">
        <v>84.71</v>
      </c>
      <c r="T602">
        <v>24</v>
      </c>
      <c r="U602" s="1" t="s">
        <v>25</v>
      </c>
      <c r="V602">
        <v>0</v>
      </c>
    </row>
    <row r="603" spans="1:22" x14ac:dyDescent="0.3">
      <c r="A603" s="2">
        <v>44557</v>
      </c>
      <c r="B603">
        <v>33900</v>
      </c>
      <c r="C603">
        <v>726</v>
      </c>
      <c r="D603">
        <v>12</v>
      </c>
      <c r="E603" s="1" t="s">
        <v>22</v>
      </c>
      <c r="F603">
        <v>0</v>
      </c>
      <c r="G603" s="1" t="s">
        <v>23</v>
      </c>
      <c r="K603">
        <v>32650</v>
      </c>
      <c r="L603">
        <v>28650</v>
      </c>
      <c r="N603">
        <v>119.5147</v>
      </c>
      <c r="O603">
        <v>0.56985379199999997</v>
      </c>
      <c r="P603">
        <v>14189.299800000001</v>
      </c>
      <c r="Q603">
        <v>26.24</v>
      </c>
      <c r="R603">
        <v>10.71</v>
      </c>
      <c r="S603">
        <v>87.26</v>
      </c>
      <c r="T603">
        <v>27</v>
      </c>
      <c r="U603" s="1" t="s">
        <v>25</v>
      </c>
      <c r="V603">
        <v>0</v>
      </c>
    </row>
    <row r="604" spans="1:22" x14ac:dyDescent="0.3">
      <c r="A604" s="2">
        <v>44558</v>
      </c>
      <c r="B604">
        <v>33650</v>
      </c>
      <c r="C604">
        <v>727</v>
      </c>
      <c r="D604">
        <v>12</v>
      </c>
      <c r="E604" s="1" t="s">
        <v>22</v>
      </c>
      <c r="F604">
        <v>1</v>
      </c>
      <c r="G604" s="1" t="s">
        <v>23</v>
      </c>
      <c r="J604">
        <v>33900</v>
      </c>
      <c r="K604">
        <v>33000</v>
      </c>
      <c r="L604">
        <v>28650</v>
      </c>
      <c r="M604">
        <v>-250</v>
      </c>
      <c r="N604">
        <v>119.5147</v>
      </c>
      <c r="O604">
        <v>0.56985379199999997</v>
      </c>
      <c r="P604">
        <v>14220</v>
      </c>
      <c r="Q604">
        <v>26.04</v>
      </c>
      <c r="R604">
        <v>12.06</v>
      </c>
      <c r="S604">
        <v>83.25</v>
      </c>
      <c r="T604">
        <v>28</v>
      </c>
      <c r="U604" s="1" t="s">
        <v>35</v>
      </c>
      <c r="V604">
        <v>-0.74</v>
      </c>
    </row>
    <row r="605" spans="1:22" x14ac:dyDescent="0.3">
      <c r="A605" s="2">
        <v>44559</v>
      </c>
      <c r="B605">
        <v>33650</v>
      </c>
      <c r="C605">
        <v>728</v>
      </c>
      <c r="D605">
        <v>12</v>
      </c>
      <c r="E605" s="1" t="s">
        <v>22</v>
      </c>
      <c r="F605">
        <v>2</v>
      </c>
      <c r="G605" s="1" t="s">
        <v>23</v>
      </c>
      <c r="J605">
        <v>33650</v>
      </c>
      <c r="K605">
        <v>33150</v>
      </c>
      <c r="L605">
        <v>28650</v>
      </c>
      <c r="M605">
        <v>0</v>
      </c>
      <c r="N605">
        <v>119.5147</v>
      </c>
      <c r="O605">
        <v>0.56985379199999997</v>
      </c>
      <c r="P605">
        <v>14238.200199999999</v>
      </c>
      <c r="Q605">
        <v>26.42</v>
      </c>
      <c r="R605">
        <v>3.47</v>
      </c>
      <c r="S605">
        <v>82.34</v>
      </c>
      <c r="T605">
        <v>29</v>
      </c>
      <c r="U605" s="1" t="s">
        <v>25</v>
      </c>
      <c r="V605">
        <v>0</v>
      </c>
    </row>
    <row r="606" spans="1:22" x14ac:dyDescent="0.3">
      <c r="A606" s="2">
        <v>44560</v>
      </c>
      <c r="B606">
        <v>33650</v>
      </c>
      <c r="C606">
        <v>729</v>
      </c>
      <c r="D606">
        <v>12</v>
      </c>
      <c r="E606" s="1" t="s">
        <v>22</v>
      </c>
      <c r="F606">
        <v>3</v>
      </c>
      <c r="G606" s="1" t="s">
        <v>23</v>
      </c>
      <c r="J606">
        <v>33650</v>
      </c>
      <c r="K606">
        <v>33900</v>
      </c>
      <c r="L606">
        <v>28400</v>
      </c>
      <c r="M606">
        <v>0</v>
      </c>
      <c r="N606">
        <v>119.5147</v>
      </c>
      <c r="O606">
        <v>0.56985379199999997</v>
      </c>
      <c r="P606">
        <v>14237</v>
      </c>
      <c r="Q606">
        <v>26.38</v>
      </c>
      <c r="R606">
        <v>5.34</v>
      </c>
      <c r="S606">
        <v>84.88</v>
      </c>
      <c r="T606">
        <v>30</v>
      </c>
      <c r="U606" s="1" t="s">
        <v>25</v>
      </c>
      <c r="V606">
        <v>0</v>
      </c>
    </row>
    <row r="607" spans="1:22" x14ac:dyDescent="0.3">
      <c r="A607" s="2">
        <v>44561</v>
      </c>
      <c r="B607">
        <v>33400</v>
      </c>
      <c r="C607">
        <v>730</v>
      </c>
      <c r="D607">
        <v>12</v>
      </c>
      <c r="E607" s="1" t="s">
        <v>22</v>
      </c>
      <c r="F607">
        <v>4</v>
      </c>
      <c r="G607" s="1" t="s">
        <v>23</v>
      </c>
      <c r="J607">
        <v>33650</v>
      </c>
      <c r="K607">
        <v>33900</v>
      </c>
      <c r="L607">
        <v>28400</v>
      </c>
      <c r="M607">
        <v>-250</v>
      </c>
      <c r="N607">
        <v>119.5147</v>
      </c>
      <c r="O607">
        <v>0.56985379199999997</v>
      </c>
      <c r="P607">
        <v>14285.200199999999</v>
      </c>
      <c r="Q607">
        <v>25.93</v>
      </c>
      <c r="R607">
        <v>17.350000000000001</v>
      </c>
      <c r="S607">
        <v>86.57</v>
      </c>
      <c r="T607">
        <v>31</v>
      </c>
      <c r="U607" s="1" t="s">
        <v>35</v>
      </c>
      <c r="V607">
        <v>-0.74</v>
      </c>
    </row>
    <row r="608" spans="1:22" x14ac:dyDescent="0.3">
      <c r="A608" s="2">
        <v>44562</v>
      </c>
      <c r="B608">
        <v>33400</v>
      </c>
      <c r="C608">
        <v>731</v>
      </c>
      <c r="D608">
        <v>1</v>
      </c>
      <c r="E608" s="1" t="s">
        <v>22</v>
      </c>
      <c r="F608">
        <v>5</v>
      </c>
      <c r="G608" s="1" t="s">
        <v>44</v>
      </c>
      <c r="J608">
        <v>33400</v>
      </c>
      <c r="L608">
        <v>28400</v>
      </c>
      <c r="M608">
        <v>0</v>
      </c>
      <c r="N608">
        <v>120.1808</v>
      </c>
      <c r="O608">
        <v>0.55733729799999998</v>
      </c>
      <c r="P608">
        <v>14285.200199999999</v>
      </c>
      <c r="Q608">
        <v>25.76</v>
      </c>
      <c r="R608">
        <v>15.18</v>
      </c>
      <c r="S608">
        <v>87.21</v>
      </c>
      <c r="T608">
        <v>1</v>
      </c>
      <c r="U608" s="1" t="s">
        <v>35</v>
      </c>
      <c r="V608">
        <v>-0.74</v>
      </c>
    </row>
    <row r="609" spans="1:22" x14ac:dyDescent="0.3">
      <c r="A609" s="2">
        <v>44563</v>
      </c>
      <c r="B609">
        <v>33400</v>
      </c>
      <c r="C609">
        <v>732</v>
      </c>
      <c r="D609">
        <v>1</v>
      </c>
      <c r="E609" s="1" t="s">
        <v>22</v>
      </c>
      <c r="F609">
        <v>6</v>
      </c>
      <c r="G609" s="1" t="s">
        <v>23</v>
      </c>
      <c r="H609">
        <v>33578.571428571428</v>
      </c>
      <c r="J609">
        <v>33400</v>
      </c>
      <c r="L609">
        <v>28500</v>
      </c>
      <c r="M609">
        <v>0</v>
      </c>
      <c r="N609">
        <v>120.1808</v>
      </c>
      <c r="O609">
        <v>0.55733729799999998</v>
      </c>
      <c r="P609">
        <v>14285.200199999999</v>
      </c>
      <c r="Q609">
        <v>26.14</v>
      </c>
      <c r="R609">
        <v>9.51</v>
      </c>
      <c r="S609">
        <v>86.5</v>
      </c>
      <c r="T609">
        <v>2</v>
      </c>
      <c r="U609" s="1" t="s">
        <v>35</v>
      </c>
      <c r="V609">
        <v>-0.74</v>
      </c>
    </row>
    <row r="610" spans="1:22" x14ac:dyDescent="0.3">
      <c r="A610" s="2">
        <v>44564</v>
      </c>
      <c r="B610">
        <v>33400</v>
      </c>
      <c r="C610">
        <v>733</v>
      </c>
      <c r="D610">
        <v>1</v>
      </c>
      <c r="E610" s="1" t="s">
        <v>22</v>
      </c>
      <c r="F610">
        <v>0</v>
      </c>
      <c r="G610" s="1" t="s">
        <v>23</v>
      </c>
      <c r="H610">
        <v>33507.142857142855</v>
      </c>
      <c r="J610">
        <v>33400</v>
      </c>
      <c r="K610">
        <v>33900</v>
      </c>
      <c r="M610">
        <v>0</v>
      </c>
      <c r="N610">
        <v>120.1808</v>
      </c>
      <c r="O610">
        <v>0.55733729799999998</v>
      </c>
      <c r="P610">
        <v>14215</v>
      </c>
      <c r="Q610">
        <v>26.01</v>
      </c>
      <c r="R610">
        <v>6.89</v>
      </c>
      <c r="S610">
        <v>84.26</v>
      </c>
      <c r="T610">
        <v>3</v>
      </c>
      <c r="U610" s="1" t="s">
        <v>25</v>
      </c>
      <c r="V610">
        <v>0</v>
      </c>
    </row>
    <row r="611" spans="1:22" x14ac:dyDescent="0.3">
      <c r="A611" s="2">
        <v>44565</v>
      </c>
      <c r="B611">
        <v>34250</v>
      </c>
      <c r="C611">
        <v>734</v>
      </c>
      <c r="D611">
        <v>1</v>
      </c>
      <c r="E611" s="1" t="s">
        <v>22</v>
      </c>
      <c r="F611">
        <v>1</v>
      </c>
      <c r="G611" s="1" t="s">
        <v>23</v>
      </c>
      <c r="H611">
        <v>33592.857142857145</v>
      </c>
      <c r="J611">
        <v>33400</v>
      </c>
      <c r="K611">
        <v>33650</v>
      </c>
      <c r="M611">
        <v>850</v>
      </c>
      <c r="N611">
        <v>120.1808</v>
      </c>
      <c r="O611">
        <v>0.55733729799999998</v>
      </c>
      <c r="P611">
        <v>14283.599609999999</v>
      </c>
      <c r="Q611">
        <v>26.01</v>
      </c>
      <c r="R611">
        <v>7.85</v>
      </c>
      <c r="S611">
        <v>84.39</v>
      </c>
      <c r="T611">
        <v>4</v>
      </c>
      <c r="U611" s="1" t="s">
        <v>69</v>
      </c>
      <c r="V611">
        <v>2.54</v>
      </c>
    </row>
    <row r="612" spans="1:22" x14ac:dyDescent="0.3">
      <c r="A612" s="2">
        <v>44566</v>
      </c>
      <c r="B612">
        <v>34250</v>
      </c>
      <c r="C612">
        <v>735</v>
      </c>
      <c r="D612">
        <v>1</v>
      </c>
      <c r="E612" s="1" t="s">
        <v>22</v>
      </c>
      <c r="F612">
        <v>2</v>
      </c>
      <c r="G612" s="1" t="s">
        <v>23</v>
      </c>
      <c r="H612">
        <v>33678.571428571428</v>
      </c>
      <c r="J612">
        <v>34250</v>
      </c>
      <c r="K612">
        <v>33650</v>
      </c>
      <c r="L612">
        <v>29000</v>
      </c>
      <c r="M612">
        <v>0</v>
      </c>
      <c r="N612">
        <v>120.1808</v>
      </c>
      <c r="O612">
        <v>0.55733729799999998</v>
      </c>
      <c r="P612">
        <v>14385.5</v>
      </c>
      <c r="Q612">
        <v>25.95</v>
      </c>
      <c r="R612">
        <v>9.61</v>
      </c>
      <c r="S612">
        <v>85.25</v>
      </c>
      <c r="T612">
        <v>5</v>
      </c>
      <c r="U612" s="1" t="s">
        <v>25</v>
      </c>
      <c r="V612">
        <v>0</v>
      </c>
    </row>
    <row r="613" spans="1:22" x14ac:dyDescent="0.3">
      <c r="A613" s="2">
        <v>44567</v>
      </c>
      <c r="B613">
        <v>34650</v>
      </c>
      <c r="C613">
        <v>736</v>
      </c>
      <c r="D613">
        <v>1</v>
      </c>
      <c r="E613" s="1" t="s">
        <v>22</v>
      </c>
      <c r="F613">
        <v>3</v>
      </c>
      <c r="G613" s="1" t="s">
        <v>23</v>
      </c>
      <c r="H613">
        <v>33821.428571428572</v>
      </c>
      <c r="J613">
        <v>34250</v>
      </c>
      <c r="K613">
        <v>33650</v>
      </c>
      <c r="L613">
        <v>29000</v>
      </c>
      <c r="M613">
        <v>400</v>
      </c>
      <c r="N613">
        <v>120.1808</v>
      </c>
      <c r="O613">
        <v>0.55733729799999998</v>
      </c>
      <c r="P613">
        <v>14446.5</v>
      </c>
      <c r="Q613">
        <v>26.45</v>
      </c>
      <c r="R613">
        <v>9.2100000000000009</v>
      </c>
      <c r="S613">
        <v>85.42</v>
      </c>
      <c r="T613">
        <v>6</v>
      </c>
      <c r="U613" s="1" t="s">
        <v>70</v>
      </c>
      <c r="V613">
        <v>1.17</v>
      </c>
    </row>
    <row r="614" spans="1:22" x14ac:dyDescent="0.3">
      <c r="A614" s="2">
        <v>44568</v>
      </c>
      <c r="B614">
        <v>35650</v>
      </c>
      <c r="C614">
        <v>737</v>
      </c>
      <c r="D614">
        <v>1</v>
      </c>
      <c r="E614" s="1" t="s">
        <v>22</v>
      </c>
      <c r="F614">
        <v>4</v>
      </c>
      <c r="G614" s="1" t="s">
        <v>23</v>
      </c>
      <c r="H614">
        <v>34142.857142857145</v>
      </c>
      <c r="J614">
        <v>34650</v>
      </c>
      <c r="K614">
        <v>33400</v>
      </c>
      <c r="L614">
        <v>29250</v>
      </c>
      <c r="M614">
        <v>1000</v>
      </c>
      <c r="N614">
        <v>120.1808</v>
      </c>
      <c r="O614">
        <v>0.55733729799999998</v>
      </c>
      <c r="P614">
        <v>14408</v>
      </c>
      <c r="Q614">
        <v>26.5</v>
      </c>
      <c r="R614">
        <v>7.06</v>
      </c>
      <c r="S614">
        <v>86.09</v>
      </c>
      <c r="T614">
        <v>7</v>
      </c>
      <c r="U614" s="1" t="s">
        <v>29</v>
      </c>
      <c r="V614">
        <v>2.89</v>
      </c>
    </row>
    <row r="615" spans="1:22" x14ac:dyDescent="0.3">
      <c r="A615" s="2">
        <v>44569</v>
      </c>
      <c r="B615">
        <v>35650</v>
      </c>
      <c r="C615">
        <v>738</v>
      </c>
      <c r="D615">
        <v>1</v>
      </c>
      <c r="E615" s="1" t="s">
        <v>22</v>
      </c>
      <c r="F615">
        <v>5</v>
      </c>
      <c r="G615" s="1" t="s">
        <v>23</v>
      </c>
      <c r="H615">
        <v>34464.285714285717</v>
      </c>
      <c r="J615">
        <v>35650</v>
      </c>
      <c r="K615">
        <v>33400</v>
      </c>
      <c r="L615">
        <v>28650</v>
      </c>
      <c r="M615">
        <v>0</v>
      </c>
      <c r="N615">
        <v>120.1808</v>
      </c>
      <c r="O615">
        <v>0.55733729799999998</v>
      </c>
      <c r="P615">
        <v>14408</v>
      </c>
      <c r="Q615">
        <v>26.13</v>
      </c>
      <c r="R615">
        <v>1.54</v>
      </c>
      <c r="S615">
        <v>86.21</v>
      </c>
      <c r="T615">
        <v>8</v>
      </c>
      <c r="U615" s="1" t="s">
        <v>29</v>
      </c>
      <c r="V615">
        <v>2.89</v>
      </c>
    </row>
    <row r="616" spans="1:22" x14ac:dyDescent="0.3">
      <c r="A616" s="2">
        <v>44570</v>
      </c>
      <c r="B616">
        <v>35650</v>
      </c>
      <c r="C616">
        <v>739</v>
      </c>
      <c r="D616">
        <v>1</v>
      </c>
      <c r="E616" s="1" t="s">
        <v>22</v>
      </c>
      <c r="F616">
        <v>6</v>
      </c>
      <c r="G616" s="1" t="s">
        <v>23</v>
      </c>
      <c r="H616">
        <v>34785.714285714283</v>
      </c>
      <c r="J616">
        <v>35650</v>
      </c>
      <c r="K616">
        <v>33400</v>
      </c>
      <c r="L616">
        <v>28650</v>
      </c>
      <c r="M616">
        <v>0</v>
      </c>
      <c r="N616">
        <v>120.1808</v>
      </c>
      <c r="O616">
        <v>0.55733729799999998</v>
      </c>
      <c r="P616">
        <v>14408</v>
      </c>
      <c r="Q616">
        <v>26.55</v>
      </c>
      <c r="R616">
        <v>1.33</v>
      </c>
      <c r="S616">
        <v>83.64</v>
      </c>
      <c r="T616">
        <v>9</v>
      </c>
      <c r="U616" s="1" t="s">
        <v>29</v>
      </c>
      <c r="V616">
        <v>2.89</v>
      </c>
    </row>
    <row r="617" spans="1:22" x14ac:dyDescent="0.3">
      <c r="A617" s="2">
        <v>44571</v>
      </c>
      <c r="B617">
        <v>41150</v>
      </c>
      <c r="C617">
        <v>740</v>
      </c>
      <c r="D617">
        <v>1</v>
      </c>
      <c r="E617" s="1" t="s">
        <v>22</v>
      </c>
      <c r="F617">
        <v>0</v>
      </c>
      <c r="G617" s="1" t="s">
        <v>23</v>
      </c>
      <c r="H617">
        <v>35892.857142857145</v>
      </c>
      <c r="J617">
        <v>35650</v>
      </c>
      <c r="K617">
        <v>33400</v>
      </c>
      <c r="L617">
        <v>28650</v>
      </c>
      <c r="M617">
        <v>5500</v>
      </c>
      <c r="N617">
        <v>120.1808</v>
      </c>
      <c r="O617">
        <v>0.55733729799999998</v>
      </c>
      <c r="P617">
        <v>14318.5</v>
      </c>
      <c r="Q617">
        <v>26.87</v>
      </c>
      <c r="R617">
        <v>0.59</v>
      </c>
      <c r="S617">
        <v>82.4</v>
      </c>
      <c r="T617">
        <v>10</v>
      </c>
      <c r="U617" s="1" t="s">
        <v>71</v>
      </c>
      <c r="V617">
        <v>15.43</v>
      </c>
    </row>
    <row r="618" spans="1:22" x14ac:dyDescent="0.3">
      <c r="A618" s="2">
        <v>44572</v>
      </c>
      <c r="B618">
        <v>39650</v>
      </c>
      <c r="C618">
        <v>741</v>
      </c>
      <c r="D618">
        <v>1</v>
      </c>
      <c r="E618" s="1" t="s">
        <v>22</v>
      </c>
      <c r="F618">
        <v>1</v>
      </c>
      <c r="G618" s="1" t="s">
        <v>23</v>
      </c>
      <c r="H618">
        <v>36664.285714285717</v>
      </c>
      <c r="J618">
        <v>41150</v>
      </c>
      <c r="K618">
        <v>34250</v>
      </c>
      <c r="L618">
        <v>28650</v>
      </c>
      <c r="M618">
        <v>-1500</v>
      </c>
      <c r="N618">
        <v>120.1808</v>
      </c>
      <c r="O618">
        <v>0.55733729799999998</v>
      </c>
      <c r="P618">
        <v>14313</v>
      </c>
      <c r="Q618">
        <v>26.76</v>
      </c>
      <c r="R618">
        <v>4.66</v>
      </c>
      <c r="S618">
        <v>84.36</v>
      </c>
      <c r="T618">
        <v>11</v>
      </c>
      <c r="U618" s="1" t="s">
        <v>37</v>
      </c>
      <c r="V618">
        <v>-3.65</v>
      </c>
    </row>
    <row r="619" spans="1:22" x14ac:dyDescent="0.3">
      <c r="A619" s="2">
        <v>44573</v>
      </c>
      <c r="B619">
        <v>39000</v>
      </c>
      <c r="C619">
        <v>742</v>
      </c>
      <c r="D619">
        <v>1</v>
      </c>
      <c r="E619" s="1" t="s">
        <v>22</v>
      </c>
      <c r="F619">
        <v>2</v>
      </c>
      <c r="G619" s="1" t="s">
        <v>23</v>
      </c>
      <c r="H619">
        <v>37342.857142857145</v>
      </c>
      <c r="J619">
        <v>39650</v>
      </c>
      <c r="K619">
        <v>34250</v>
      </c>
      <c r="L619">
        <v>32400</v>
      </c>
      <c r="M619">
        <v>-650</v>
      </c>
      <c r="N619">
        <v>120.1808</v>
      </c>
      <c r="O619">
        <v>0.55733729799999998</v>
      </c>
      <c r="P619">
        <v>14277</v>
      </c>
      <c r="Q619">
        <v>26.7</v>
      </c>
      <c r="R619">
        <v>3.74</v>
      </c>
      <c r="S619">
        <v>83.41</v>
      </c>
      <c r="T619">
        <v>12</v>
      </c>
      <c r="U619" s="1" t="s">
        <v>72</v>
      </c>
      <c r="V619">
        <v>-1.64</v>
      </c>
    </row>
    <row r="620" spans="1:22" x14ac:dyDescent="0.3">
      <c r="A620" s="2">
        <v>44574</v>
      </c>
      <c r="B620">
        <v>39650</v>
      </c>
      <c r="C620">
        <v>743</v>
      </c>
      <c r="D620">
        <v>1</v>
      </c>
      <c r="E620" s="1" t="s">
        <v>22</v>
      </c>
      <c r="F620">
        <v>3</v>
      </c>
      <c r="G620" s="1" t="s">
        <v>23</v>
      </c>
      <c r="H620">
        <v>38057.142857142855</v>
      </c>
      <c r="J620">
        <v>39000</v>
      </c>
      <c r="K620">
        <v>34650</v>
      </c>
      <c r="L620">
        <v>32650</v>
      </c>
      <c r="M620">
        <v>650</v>
      </c>
      <c r="N620">
        <v>120.1808</v>
      </c>
      <c r="O620">
        <v>0.55733729799999998</v>
      </c>
      <c r="P620">
        <v>14298.900390000001</v>
      </c>
      <c r="Q620">
        <v>27.06</v>
      </c>
      <c r="R620">
        <v>1.25</v>
      </c>
      <c r="S620">
        <v>81.819999999999993</v>
      </c>
      <c r="T620">
        <v>13</v>
      </c>
      <c r="U620" s="1" t="s">
        <v>73</v>
      </c>
      <c r="V620">
        <v>1.67</v>
      </c>
    </row>
    <row r="621" spans="1:22" x14ac:dyDescent="0.3">
      <c r="A621" s="2">
        <v>44575</v>
      </c>
      <c r="B621">
        <v>39650</v>
      </c>
      <c r="C621">
        <v>744</v>
      </c>
      <c r="D621">
        <v>1</v>
      </c>
      <c r="E621" s="1" t="s">
        <v>22</v>
      </c>
      <c r="F621">
        <v>4</v>
      </c>
      <c r="G621" s="1" t="s">
        <v>23</v>
      </c>
      <c r="H621">
        <v>38628.571428571428</v>
      </c>
      <c r="J621">
        <v>39650</v>
      </c>
      <c r="K621">
        <v>35650</v>
      </c>
      <c r="L621">
        <v>32900</v>
      </c>
      <c r="M621">
        <v>0</v>
      </c>
      <c r="N621">
        <v>120.1808</v>
      </c>
      <c r="O621">
        <v>0.55733729799999998</v>
      </c>
      <c r="P621">
        <v>14276</v>
      </c>
      <c r="Q621">
        <v>26.38</v>
      </c>
      <c r="R621">
        <v>5.78</v>
      </c>
      <c r="S621">
        <v>87.17</v>
      </c>
      <c r="T621">
        <v>14</v>
      </c>
      <c r="U621" s="1" t="s">
        <v>25</v>
      </c>
      <c r="V621">
        <v>0</v>
      </c>
    </row>
    <row r="622" spans="1:22" x14ac:dyDescent="0.3">
      <c r="A622" s="2">
        <v>44578</v>
      </c>
      <c r="B622">
        <v>39000</v>
      </c>
      <c r="C622">
        <v>747</v>
      </c>
      <c r="D622">
        <v>1</v>
      </c>
      <c r="E622" s="1" t="s">
        <v>22</v>
      </c>
      <c r="F622">
        <v>0</v>
      </c>
      <c r="G622" s="1" t="s">
        <v>23</v>
      </c>
      <c r="K622">
        <v>41150</v>
      </c>
      <c r="N622">
        <v>120.1808</v>
      </c>
      <c r="O622">
        <v>0.55733729799999998</v>
      </c>
      <c r="P622">
        <v>14314.5</v>
      </c>
      <c r="Q622">
        <v>25.32</v>
      </c>
      <c r="R622">
        <v>15.1</v>
      </c>
      <c r="S622">
        <v>84.46</v>
      </c>
      <c r="T622">
        <v>17</v>
      </c>
      <c r="U622" s="1"/>
      <c r="V622">
        <v>0</v>
      </c>
    </row>
    <row r="623" spans="1:22" x14ac:dyDescent="0.3">
      <c r="A623" s="2">
        <v>44579</v>
      </c>
      <c r="B623">
        <v>38400</v>
      </c>
      <c r="C623">
        <v>748</v>
      </c>
      <c r="D623">
        <v>1</v>
      </c>
      <c r="E623" s="1" t="s">
        <v>22</v>
      </c>
      <c r="F623">
        <v>1</v>
      </c>
      <c r="G623" s="1" t="s">
        <v>23</v>
      </c>
      <c r="J623">
        <v>39000</v>
      </c>
      <c r="K623">
        <v>39650</v>
      </c>
      <c r="M623">
        <v>-600</v>
      </c>
      <c r="N623">
        <v>120.1808</v>
      </c>
      <c r="O623">
        <v>0.55733729799999998</v>
      </c>
      <c r="P623">
        <v>14349.700199999999</v>
      </c>
      <c r="Q623">
        <v>25.64</v>
      </c>
      <c r="R623">
        <v>7.08</v>
      </c>
      <c r="S623">
        <v>84.68</v>
      </c>
      <c r="T623">
        <v>18</v>
      </c>
      <c r="U623" s="1" t="s">
        <v>62</v>
      </c>
      <c r="V623">
        <v>-1.54</v>
      </c>
    </row>
    <row r="624" spans="1:22" x14ac:dyDescent="0.3">
      <c r="A624" s="2">
        <v>44580</v>
      </c>
      <c r="B624">
        <v>38400</v>
      </c>
      <c r="C624">
        <v>749</v>
      </c>
      <c r="D624">
        <v>1</v>
      </c>
      <c r="E624" s="1" t="s">
        <v>22</v>
      </c>
      <c r="F624">
        <v>2</v>
      </c>
      <c r="G624" s="1" t="s">
        <v>23</v>
      </c>
      <c r="J624">
        <v>38400</v>
      </c>
      <c r="K624">
        <v>39000</v>
      </c>
      <c r="L624">
        <v>32650</v>
      </c>
      <c r="M624">
        <v>0</v>
      </c>
      <c r="N624">
        <v>120.1808</v>
      </c>
      <c r="O624">
        <v>0.55733729799999998</v>
      </c>
      <c r="P624">
        <v>14382.299800000001</v>
      </c>
      <c r="Q624">
        <v>25.74</v>
      </c>
      <c r="R624">
        <v>8.91</v>
      </c>
      <c r="S624">
        <v>86.12</v>
      </c>
      <c r="T624">
        <v>19</v>
      </c>
      <c r="U624" s="1" t="s">
        <v>25</v>
      </c>
      <c r="V624">
        <v>0</v>
      </c>
    </row>
    <row r="625" spans="1:22" x14ac:dyDescent="0.3">
      <c r="A625" s="2">
        <v>44581</v>
      </c>
      <c r="B625">
        <v>38400</v>
      </c>
      <c r="C625">
        <v>750</v>
      </c>
      <c r="D625">
        <v>1</v>
      </c>
      <c r="E625" s="1" t="s">
        <v>22</v>
      </c>
      <c r="F625">
        <v>3</v>
      </c>
      <c r="G625" s="1" t="s">
        <v>23</v>
      </c>
      <c r="J625">
        <v>38400</v>
      </c>
      <c r="K625">
        <v>39650</v>
      </c>
      <c r="L625">
        <v>33000</v>
      </c>
      <c r="M625">
        <v>0</v>
      </c>
      <c r="N625">
        <v>120.1808</v>
      </c>
      <c r="O625">
        <v>0.55733729799999998</v>
      </c>
      <c r="P625">
        <v>14362.799800000001</v>
      </c>
      <c r="Q625">
        <v>26.05</v>
      </c>
      <c r="R625">
        <v>13.9</v>
      </c>
      <c r="S625">
        <v>83</v>
      </c>
      <c r="T625">
        <v>20</v>
      </c>
      <c r="U625" s="1" t="s">
        <v>25</v>
      </c>
      <c r="V625">
        <v>0</v>
      </c>
    </row>
    <row r="626" spans="1:22" x14ac:dyDescent="0.3">
      <c r="A626" s="2">
        <v>44582</v>
      </c>
      <c r="B626">
        <v>37400</v>
      </c>
      <c r="C626">
        <v>751</v>
      </c>
      <c r="D626">
        <v>1</v>
      </c>
      <c r="E626" s="1" t="s">
        <v>22</v>
      </c>
      <c r="F626">
        <v>4</v>
      </c>
      <c r="G626" s="1" t="s">
        <v>23</v>
      </c>
      <c r="J626">
        <v>38400</v>
      </c>
      <c r="K626">
        <v>39650</v>
      </c>
      <c r="L626">
        <v>33150</v>
      </c>
      <c r="M626">
        <v>-1000</v>
      </c>
      <c r="N626">
        <v>120.1808</v>
      </c>
      <c r="O626">
        <v>0.55733729799999998</v>
      </c>
      <c r="P626">
        <v>14343</v>
      </c>
      <c r="Q626">
        <v>25.31</v>
      </c>
      <c r="R626">
        <v>28.78</v>
      </c>
      <c r="S626">
        <v>87.54</v>
      </c>
      <c r="T626">
        <v>21</v>
      </c>
      <c r="U626" s="1" t="s">
        <v>30</v>
      </c>
      <c r="V626">
        <v>-2.6</v>
      </c>
    </row>
    <row r="627" spans="1:22" x14ac:dyDescent="0.3">
      <c r="A627" s="2">
        <v>44583</v>
      </c>
      <c r="B627">
        <v>37400</v>
      </c>
      <c r="C627">
        <v>752</v>
      </c>
      <c r="D627">
        <v>1</v>
      </c>
      <c r="E627" s="1" t="s">
        <v>22</v>
      </c>
      <c r="F627">
        <v>5</v>
      </c>
      <c r="G627" s="1" t="s">
        <v>23</v>
      </c>
      <c r="J627">
        <v>37400</v>
      </c>
      <c r="L627">
        <v>33900</v>
      </c>
      <c r="M627">
        <v>0</v>
      </c>
      <c r="N627">
        <v>120.1808</v>
      </c>
      <c r="O627">
        <v>0.55733729799999998</v>
      </c>
      <c r="P627">
        <v>14343</v>
      </c>
      <c r="Q627">
        <v>26.17</v>
      </c>
      <c r="R627">
        <v>3.76</v>
      </c>
      <c r="S627">
        <v>85.51</v>
      </c>
      <c r="T627">
        <v>22</v>
      </c>
      <c r="U627" s="1" t="s">
        <v>30</v>
      </c>
      <c r="V627">
        <v>-2.6</v>
      </c>
    </row>
    <row r="628" spans="1:22" x14ac:dyDescent="0.3">
      <c r="A628" s="2">
        <v>44585</v>
      </c>
      <c r="B628">
        <v>36150</v>
      </c>
      <c r="C628">
        <v>754</v>
      </c>
      <c r="D628">
        <v>1</v>
      </c>
      <c r="E628" s="1" t="s">
        <v>22</v>
      </c>
      <c r="F628">
        <v>0</v>
      </c>
      <c r="G628" s="1" t="s">
        <v>23</v>
      </c>
      <c r="K628">
        <v>39000</v>
      </c>
      <c r="N628">
        <v>120.1808</v>
      </c>
      <c r="O628">
        <v>0.55733729799999998</v>
      </c>
      <c r="P628">
        <v>14329.700199999999</v>
      </c>
      <c r="Q628">
        <v>26.64</v>
      </c>
      <c r="R628">
        <v>2</v>
      </c>
      <c r="S628">
        <v>85.41</v>
      </c>
      <c r="T628">
        <v>24</v>
      </c>
      <c r="U628" s="1" t="s">
        <v>40</v>
      </c>
      <c r="V628">
        <v>-3.34</v>
      </c>
    </row>
    <row r="629" spans="1:22" x14ac:dyDescent="0.3">
      <c r="A629" s="2">
        <v>44586</v>
      </c>
      <c r="B629">
        <v>35900</v>
      </c>
      <c r="C629">
        <v>755</v>
      </c>
      <c r="D629">
        <v>1</v>
      </c>
      <c r="E629" s="1" t="s">
        <v>22</v>
      </c>
      <c r="F629">
        <v>1</v>
      </c>
      <c r="G629" s="1" t="s">
        <v>23</v>
      </c>
      <c r="J629">
        <v>36150</v>
      </c>
      <c r="K629">
        <v>38400</v>
      </c>
      <c r="M629">
        <v>-250</v>
      </c>
      <c r="N629">
        <v>120.1808</v>
      </c>
      <c r="O629">
        <v>0.55733729799999998</v>
      </c>
      <c r="P629">
        <v>14365</v>
      </c>
      <c r="Q629">
        <v>26.92</v>
      </c>
      <c r="R629">
        <v>5.39</v>
      </c>
      <c r="S629">
        <v>83.85</v>
      </c>
      <c r="T629">
        <v>25</v>
      </c>
      <c r="U629" s="1" t="s">
        <v>35</v>
      </c>
      <c r="V629">
        <v>-0.69</v>
      </c>
    </row>
    <row r="630" spans="1:22" x14ac:dyDescent="0.3">
      <c r="A630" s="2">
        <v>44587</v>
      </c>
      <c r="B630">
        <v>35900</v>
      </c>
      <c r="C630">
        <v>756</v>
      </c>
      <c r="D630">
        <v>1</v>
      </c>
      <c r="E630" s="1" t="s">
        <v>22</v>
      </c>
      <c r="F630">
        <v>2</v>
      </c>
      <c r="G630" s="1" t="s">
        <v>23</v>
      </c>
      <c r="J630">
        <v>35900</v>
      </c>
      <c r="K630">
        <v>38400</v>
      </c>
      <c r="L630">
        <v>33900</v>
      </c>
      <c r="M630">
        <v>0</v>
      </c>
      <c r="N630">
        <v>120.1808</v>
      </c>
      <c r="O630">
        <v>0.55733729799999998</v>
      </c>
      <c r="P630">
        <v>14330.5</v>
      </c>
      <c r="Q630">
        <v>26.92</v>
      </c>
      <c r="R630">
        <v>2.94</v>
      </c>
      <c r="S630">
        <v>84.18</v>
      </c>
      <c r="T630">
        <v>26</v>
      </c>
      <c r="U630" s="1" t="s">
        <v>25</v>
      </c>
      <c r="V630">
        <v>0</v>
      </c>
    </row>
    <row r="631" spans="1:22" x14ac:dyDescent="0.3">
      <c r="A631" s="2">
        <v>44588</v>
      </c>
      <c r="B631">
        <v>35250</v>
      </c>
      <c r="C631">
        <v>757</v>
      </c>
      <c r="D631">
        <v>1</v>
      </c>
      <c r="E631" s="1" t="s">
        <v>22</v>
      </c>
      <c r="F631">
        <v>3</v>
      </c>
      <c r="G631" s="1" t="s">
        <v>23</v>
      </c>
      <c r="J631">
        <v>35900</v>
      </c>
      <c r="K631">
        <v>38400</v>
      </c>
      <c r="L631">
        <v>33650</v>
      </c>
      <c r="M631">
        <v>-650</v>
      </c>
      <c r="N631">
        <v>120.1808</v>
      </c>
      <c r="O631">
        <v>0.55733729799999998</v>
      </c>
      <c r="P631">
        <v>14366.400390000001</v>
      </c>
      <c r="Q631">
        <v>26.64</v>
      </c>
      <c r="R631">
        <v>3.13</v>
      </c>
      <c r="S631">
        <v>85.44</v>
      </c>
      <c r="T631">
        <v>27</v>
      </c>
      <c r="U631" s="1" t="s">
        <v>72</v>
      </c>
      <c r="V631">
        <v>-1.81</v>
      </c>
    </row>
    <row r="632" spans="1:22" x14ac:dyDescent="0.3">
      <c r="A632" s="2">
        <v>44589</v>
      </c>
      <c r="B632">
        <v>35150</v>
      </c>
      <c r="C632">
        <v>758</v>
      </c>
      <c r="D632">
        <v>1</v>
      </c>
      <c r="E632" s="1" t="s">
        <v>22</v>
      </c>
      <c r="F632">
        <v>4</v>
      </c>
      <c r="G632" s="1" t="s">
        <v>23</v>
      </c>
      <c r="J632">
        <v>35250</v>
      </c>
      <c r="K632">
        <v>37400</v>
      </c>
      <c r="L632">
        <v>33650</v>
      </c>
      <c r="M632">
        <v>-100</v>
      </c>
      <c r="N632">
        <v>120.1808</v>
      </c>
      <c r="O632">
        <v>0.55733729799999998</v>
      </c>
      <c r="P632">
        <v>14389.200199999999</v>
      </c>
      <c r="Q632">
        <v>26.68</v>
      </c>
      <c r="R632">
        <v>3.85</v>
      </c>
      <c r="S632">
        <v>86.16</v>
      </c>
      <c r="T632">
        <v>28</v>
      </c>
      <c r="U632" s="1" t="s">
        <v>74</v>
      </c>
      <c r="V632">
        <v>-0.28000000000000003</v>
      </c>
    </row>
    <row r="633" spans="1:22" x14ac:dyDescent="0.3">
      <c r="A633" s="2">
        <v>44590</v>
      </c>
      <c r="B633">
        <v>35150</v>
      </c>
      <c r="C633">
        <v>759</v>
      </c>
      <c r="D633">
        <v>1</v>
      </c>
      <c r="E633" s="1" t="s">
        <v>22</v>
      </c>
      <c r="F633">
        <v>5</v>
      </c>
      <c r="G633" s="1" t="s">
        <v>23</v>
      </c>
      <c r="J633">
        <v>35150</v>
      </c>
      <c r="K633">
        <v>37400</v>
      </c>
      <c r="L633">
        <v>33650</v>
      </c>
      <c r="M633">
        <v>0</v>
      </c>
      <c r="N633">
        <v>120.1808</v>
      </c>
      <c r="O633">
        <v>0.55733729799999998</v>
      </c>
      <c r="P633">
        <v>14389.200199999999</v>
      </c>
      <c r="Q633">
        <v>26.61</v>
      </c>
      <c r="R633">
        <v>1.85</v>
      </c>
      <c r="S633">
        <v>84.05</v>
      </c>
      <c r="T633">
        <v>29</v>
      </c>
      <c r="U633" s="1" t="s">
        <v>74</v>
      </c>
      <c r="V633">
        <v>-0.28000000000000003</v>
      </c>
    </row>
    <row r="634" spans="1:22" x14ac:dyDescent="0.3">
      <c r="A634" s="2">
        <v>44591</v>
      </c>
      <c r="B634">
        <v>35150</v>
      </c>
      <c r="C634">
        <v>760</v>
      </c>
      <c r="D634">
        <v>1</v>
      </c>
      <c r="E634" s="1" t="s">
        <v>22</v>
      </c>
      <c r="F634">
        <v>6</v>
      </c>
      <c r="G634" s="1" t="s">
        <v>23</v>
      </c>
      <c r="H634">
        <v>35521.428571428572</v>
      </c>
      <c r="J634">
        <v>35150</v>
      </c>
      <c r="L634">
        <v>33400</v>
      </c>
      <c r="M634">
        <v>0</v>
      </c>
      <c r="N634">
        <v>120.1808</v>
      </c>
      <c r="O634">
        <v>0.55733729799999998</v>
      </c>
      <c r="P634">
        <v>14389.200199999999</v>
      </c>
      <c r="Q634">
        <v>26.44</v>
      </c>
      <c r="R634">
        <v>0.52</v>
      </c>
      <c r="S634">
        <v>81.599999999999994</v>
      </c>
      <c r="T634">
        <v>30</v>
      </c>
      <c r="U634" s="1" t="s">
        <v>74</v>
      </c>
      <c r="V634">
        <v>-0.28000000000000003</v>
      </c>
    </row>
    <row r="635" spans="1:22" x14ac:dyDescent="0.3">
      <c r="A635" s="2">
        <v>44592</v>
      </c>
      <c r="B635">
        <v>35150</v>
      </c>
      <c r="C635">
        <v>761</v>
      </c>
      <c r="D635">
        <v>1</v>
      </c>
      <c r="E635" s="1" t="s">
        <v>22</v>
      </c>
      <c r="F635">
        <v>0</v>
      </c>
      <c r="G635" s="1" t="s">
        <v>23</v>
      </c>
      <c r="H635">
        <v>35378.571428571428</v>
      </c>
      <c r="J635">
        <v>35150</v>
      </c>
      <c r="K635">
        <v>36150</v>
      </c>
      <c r="L635">
        <v>33400</v>
      </c>
      <c r="M635">
        <v>0</v>
      </c>
      <c r="N635">
        <v>120.1808</v>
      </c>
      <c r="O635">
        <v>0.55733729799999998</v>
      </c>
      <c r="P635">
        <v>14381.599609999999</v>
      </c>
      <c r="Q635">
        <v>26.49</v>
      </c>
      <c r="R635">
        <v>3.26</v>
      </c>
      <c r="S635">
        <v>83.84</v>
      </c>
      <c r="T635">
        <v>31</v>
      </c>
      <c r="U635" s="1" t="s">
        <v>25</v>
      </c>
      <c r="V635">
        <v>0</v>
      </c>
    </row>
    <row r="636" spans="1:22" x14ac:dyDescent="0.3">
      <c r="A636" s="2">
        <v>44594</v>
      </c>
      <c r="B636">
        <v>36250</v>
      </c>
      <c r="C636">
        <v>763</v>
      </c>
      <c r="D636">
        <v>2</v>
      </c>
      <c r="E636" s="1" t="s">
        <v>22</v>
      </c>
      <c r="F636">
        <v>2</v>
      </c>
      <c r="G636" s="1" t="s">
        <v>23</v>
      </c>
      <c r="K636">
        <v>35900</v>
      </c>
      <c r="L636">
        <v>33400</v>
      </c>
      <c r="N636">
        <v>120.15860000000001</v>
      </c>
      <c r="O636">
        <v>-1.8472169E-2</v>
      </c>
      <c r="P636">
        <v>14322.299800000001</v>
      </c>
      <c r="Q636">
        <v>25.9</v>
      </c>
      <c r="R636">
        <v>3.09</v>
      </c>
      <c r="S636">
        <v>80.569999999999993</v>
      </c>
      <c r="T636">
        <v>2</v>
      </c>
      <c r="U636" s="1"/>
      <c r="V636">
        <v>0</v>
      </c>
    </row>
    <row r="637" spans="1:22" x14ac:dyDescent="0.3">
      <c r="A637" s="2">
        <v>44595</v>
      </c>
      <c r="B637">
        <v>37400</v>
      </c>
      <c r="C637">
        <v>764</v>
      </c>
      <c r="D637">
        <v>2</v>
      </c>
      <c r="E637" s="1" t="s">
        <v>22</v>
      </c>
      <c r="F637">
        <v>3</v>
      </c>
      <c r="G637" s="1" t="s">
        <v>23</v>
      </c>
      <c r="J637">
        <v>36250</v>
      </c>
      <c r="K637">
        <v>35250</v>
      </c>
      <c r="L637">
        <v>34250</v>
      </c>
      <c r="M637">
        <v>1150</v>
      </c>
      <c r="N637">
        <v>120.15860000000001</v>
      </c>
      <c r="O637">
        <v>-1.8472169E-2</v>
      </c>
      <c r="P637">
        <v>14363.799800000001</v>
      </c>
      <c r="Q637">
        <v>26.03</v>
      </c>
      <c r="R637">
        <v>13.94</v>
      </c>
      <c r="S637">
        <v>87.08</v>
      </c>
      <c r="T637">
        <v>3</v>
      </c>
      <c r="U637" s="1" t="s">
        <v>75</v>
      </c>
      <c r="V637">
        <v>3.17</v>
      </c>
    </row>
    <row r="638" spans="1:22" x14ac:dyDescent="0.3">
      <c r="A638" s="2">
        <v>44596</v>
      </c>
      <c r="B638">
        <v>37400</v>
      </c>
      <c r="C638">
        <v>765</v>
      </c>
      <c r="D638">
        <v>2</v>
      </c>
      <c r="E638" s="1" t="s">
        <v>22</v>
      </c>
      <c r="F638">
        <v>4</v>
      </c>
      <c r="G638" s="1" t="s">
        <v>23</v>
      </c>
      <c r="J638">
        <v>37400</v>
      </c>
      <c r="K638">
        <v>35150</v>
      </c>
      <c r="L638">
        <v>34250</v>
      </c>
      <c r="M638">
        <v>0</v>
      </c>
      <c r="N638">
        <v>120.15860000000001</v>
      </c>
      <c r="O638">
        <v>-1.8472169E-2</v>
      </c>
      <c r="P638">
        <v>14377</v>
      </c>
      <c r="Q638">
        <v>25.93</v>
      </c>
      <c r="R638">
        <v>41.44</v>
      </c>
      <c r="S638">
        <v>89.49</v>
      </c>
      <c r="T638">
        <v>4</v>
      </c>
      <c r="U638" s="1" t="s">
        <v>25</v>
      </c>
      <c r="V638">
        <v>0</v>
      </c>
    </row>
    <row r="639" spans="1:22" x14ac:dyDescent="0.3">
      <c r="A639" s="2">
        <v>44597</v>
      </c>
      <c r="B639">
        <v>37400</v>
      </c>
      <c r="C639">
        <v>766</v>
      </c>
      <c r="D639">
        <v>2</v>
      </c>
      <c r="E639" s="1" t="s">
        <v>22</v>
      </c>
      <c r="F639">
        <v>5</v>
      </c>
      <c r="G639" s="1" t="s">
        <v>23</v>
      </c>
      <c r="J639">
        <v>37400</v>
      </c>
      <c r="K639">
        <v>35150</v>
      </c>
      <c r="L639">
        <v>34650</v>
      </c>
      <c r="M639">
        <v>0</v>
      </c>
      <c r="N639">
        <v>120.15860000000001</v>
      </c>
      <c r="O639">
        <v>-1.8472169E-2</v>
      </c>
      <c r="P639">
        <v>14377</v>
      </c>
      <c r="Q639">
        <v>26.42</v>
      </c>
      <c r="R639">
        <v>6.2</v>
      </c>
      <c r="S639">
        <v>86.66</v>
      </c>
      <c r="T639">
        <v>5</v>
      </c>
      <c r="U639" s="1" t="s">
        <v>25</v>
      </c>
      <c r="V639">
        <v>0</v>
      </c>
    </row>
    <row r="640" spans="1:22" x14ac:dyDescent="0.3">
      <c r="A640" s="2">
        <v>44598</v>
      </c>
      <c r="B640">
        <v>37400</v>
      </c>
      <c r="C640">
        <v>767</v>
      </c>
      <c r="D640">
        <v>2</v>
      </c>
      <c r="E640" s="1" t="s">
        <v>22</v>
      </c>
      <c r="F640">
        <v>6</v>
      </c>
      <c r="G640" s="1" t="s">
        <v>23</v>
      </c>
      <c r="J640">
        <v>37400</v>
      </c>
      <c r="K640">
        <v>35150</v>
      </c>
      <c r="L640">
        <v>35650</v>
      </c>
      <c r="M640">
        <v>0</v>
      </c>
      <c r="N640">
        <v>120.15860000000001</v>
      </c>
      <c r="O640">
        <v>-1.8472169E-2</v>
      </c>
      <c r="P640">
        <v>14377</v>
      </c>
      <c r="Q640">
        <v>27.13</v>
      </c>
      <c r="R640">
        <v>4.49</v>
      </c>
      <c r="S640">
        <v>84.6</v>
      </c>
      <c r="T640">
        <v>6</v>
      </c>
      <c r="U640" s="1" t="s">
        <v>25</v>
      </c>
      <c r="V640">
        <v>0</v>
      </c>
    </row>
    <row r="641" spans="1:22" x14ac:dyDescent="0.3">
      <c r="A641" s="2">
        <v>44599</v>
      </c>
      <c r="B641">
        <v>37900</v>
      </c>
      <c r="C641">
        <v>768</v>
      </c>
      <c r="D641">
        <v>2</v>
      </c>
      <c r="E641" s="1" t="s">
        <v>22</v>
      </c>
      <c r="F641">
        <v>0</v>
      </c>
      <c r="G641" s="1" t="s">
        <v>23</v>
      </c>
      <c r="J641">
        <v>37400</v>
      </c>
      <c r="K641">
        <v>35150</v>
      </c>
      <c r="L641">
        <v>35650</v>
      </c>
      <c r="M641">
        <v>500</v>
      </c>
      <c r="N641">
        <v>120.15860000000001</v>
      </c>
      <c r="O641">
        <v>-1.8472169E-2</v>
      </c>
      <c r="P641">
        <v>14400.400390000001</v>
      </c>
      <c r="Q641">
        <v>27.23</v>
      </c>
      <c r="R641">
        <v>6.58</v>
      </c>
      <c r="S641">
        <v>83.01</v>
      </c>
      <c r="T641">
        <v>7</v>
      </c>
      <c r="U641" s="1" t="s">
        <v>26</v>
      </c>
      <c r="V641">
        <v>1.34</v>
      </c>
    </row>
    <row r="642" spans="1:22" x14ac:dyDescent="0.3">
      <c r="A642" s="2">
        <v>44600</v>
      </c>
      <c r="B642">
        <v>37400</v>
      </c>
      <c r="C642">
        <v>769</v>
      </c>
      <c r="D642">
        <v>2</v>
      </c>
      <c r="E642" s="1" t="s">
        <v>22</v>
      </c>
      <c r="F642">
        <v>1</v>
      </c>
      <c r="G642" s="1" t="s">
        <v>23</v>
      </c>
      <c r="H642">
        <v>37307.142857142855</v>
      </c>
      <c r="J642">
        <v>37900</v>
      </c>
      <c r="L642">
        <v>35650</v>
      </c>
      <c r="M642">
        <v>-500</v>
      </c>
      <c r="N642">
        <v>120.15860000000001</v>
      </c>
      <c r="O642">
        <v>-1.8472169E-2</v>
      </c>
      <c r="P642">
        <v>14405.599609999999</v>
      </c>
      <c r="Q642">
        <v>26.82</v>
      </c>
      <c r="R642">
        <v>2.4900000000000002</v>
      </c>
      <c r="S642">
        <v>82.88</v>
      </c>
      <c r="T642">
        <v>8</v>
      </c>
      <c r="U642" s="1" t="s">
        <v>24</v>
      </c>
      <c r="V642">
        <v>-1.32</v>
      </c>
    </row>
    <row r="643" spans="1:22" x14ac:dyDescent="0.3">
      <c r="A643" s="2">
        <v>44601</v>
      </c>
      <c r="B643">
        <v>38150</v>
      </c>
      <c r="C643">
        <v>770</v>
      </c>
      <c r="D643">
        <v>2</v>
      </c>
      <c r="E643" s="1" t="s">
        <v>22</v>
      </c>
      <c r="F643">
        <v>2</v>
      </c>
      <c r="G643" s="1" t="s">
        <v>23</v>
      </c>
      <c r="H643">
        <v>37578.571428571428</v>
      </c>
      <c r="J643">
        <v>37400</v>
      </c>
      <c r="K643">
        <v>36250</v>
      </c>
      <c r="L643">
        <v>41150</v>
      </c>
      <c r="M643">
        <v>750</v>
      </c>
      <c r="N643">
        <v>120.15860000000001</v>
      </c>
      <c r="O643">
        <v>-1.8472169E-2</v>
      </c>
      <c r="P643">
        <v>14379.5</v>
      </c>
      <c r="Q643">
        <v>25.71</v>
      </c>
      <c r="R643">
        <v>23.07</v>
      </c>
      <c r="S643">
        <v>87.69</v>
      </c>
      <c r="T643">
        <v>9</v>
      </c>
      <c r="U643" s="1" t="s">
        <v>52</v>
      </c>
      <c r="V643">
        <v>2.0099999999999998</v>
      </c>
    </row>
    <row r="644" spans="1:22" x14ac:dyDescent="0.3">
      <c r="A644" s="2">
        <v>44602</v>
      </c>
      <c r="B644">
        <v>37650</v>
      </c>
      <c r="C644">
        <v>771</v>
      </c>
      <c r="D644">
        <v>2</v>
      </c>
      <c r="E644" s="1" t="s">
        <v>22</v>
      </c>
      <c r="F644">
        <v>3</v>
      </c>
      <c r="G644" s="1" t="s">
        <v>23</v>
      </c>
      <c r="H644">
        <v>37614.285714285717</v>
      </c>
      <c r="J644">
        <v>38150</v>
      </c>
      <c r="K644">
        <v>37400</v>
      </c>
      <c r="L644">
        <v>39650</v>
      </c>
      <c r="M644">
        <v>-500</v>
      </c>
      <c r="N644">
        <v>120.15860000000001</v>
      </c>
      <c r="O644">
        <v>-1.8472169E-2</v>
      </c>
      <c r="P644">
        <v>14334.200199999999</v>
      </c>
      <c r="Q644">
        <v>26.35</v>
      </c>
      <c r="R644">
        <v>4.53</v>
      </c>
      <c r="S644">
        <v>84.4</v>
      </c>
      <c r="T644">
        <v>10</v>
      </c>
      <c r="U644" s="1" t="s">
        <v>24</v>
      </c>
      <c r="V644">
        <v>-1.31</v>
      </c>
    </row>
    <row r="645" spans="1:22" x14ac:dyDescent="0.3">
      <c r="A645" s="2">
        <v>44603</v>
      </c>
      <c r="B645">
        <v>37650</v>
      </c>
      <c r="C645">
        <v>772</v>
      </c>
      <c r="D645">
        <v>2</v>
      </c>
      <c r="E645" s="1" t="s">
        <v>22</v>
      </c>
      <c r="F645">
        <v>4</v>
      </c>
      <c r="G645" s="1" t="s">
        <v>23</v>
      </c>
      <c r="H645">
        <v>37650</v>
      </c>
      <c r="J645">
        <v>37650</v>
      </c>
      <c r="K645">
        <v>37400</v>
      </c>
      <c r="L645">
        <v>39000</v>
      </c>
      <c r="M645">
        <v>0</v>
      </c>
      <c r="N645">
        <v>120.15860000000001</v>
      </c>
      <c r="O645">
        <v>-1.8472169E-2</v>
      </c>
      <c r="P645">
        <v>14328</v>
      </c>
      <c r="Q645">
        <v>26.72</v>
      </c>
      <c r="R645">
        <v>8.41</v>
      </c>
      <c r="S645">
        <v>85.52</v>
      </c>
      <c r="T645">
        <v>11</v>
      </c>
      <c r="U645" s="1" t="s">
        <v>25</v>
      </c>
      <c r="V645">
        <v>0</v>
      </c>
    </row>
    <row r="646" spans="1:22" x14ac:dyDescent="0.3">
      <c r="A646" s="2">
        <v>44604</v>
      </c>
      <c r="B646">
        <v>37650</v>
      </c>
      <c r="C646">
        <v>773</v>
      </c>
      <c r="D646">
        <v>2</v>
      </c>
      <c r="E646" s="1" t="s">
        <v>22</v>
      </c>
      <c r="F646">
        <v>5</v>
      </c>
      <c r="G646" s="1" t="s">
        <v>23</v>
      </c>
      <c r="H646">
        <v>37685.714285714283</v>
      </c>
      <c r="J646">
        <v>37650</v>
      </c>
      <c r="K646">
        <v>37400</v>
      </c>
      <c r="L646">
        <v>39650</v>
      </c>
      <c r="M646">
        <v>0</v>
      </c>
      <c r="N646">
        <v>120.15860000000001</v>
      </c>
      <c r="O646">
        <v>-1.8472169E-2</v>
      </c>
      <c r="P646">
        <v>14328</v>
      </c>
      <c r="Q646">
        <v>26.33</v>
      </c>
      <c r="R646">
        <v>8.86</v>
      </c>
      <c r="S646">
        <v>85.18</v>
      </c>
      <c r="T646">
        <v>12</v>
      </c>
      <c r="U646" s="1" t="s">
        <v>25</v>
      </c>
      <c r="V646">
        <v>0</v>
      </c>
    </row>
    <row r="647" spans="1:22" x14ac:dyDescent="0.3">
      <c r="A647" s="2">
        <v>44605</v>
      </c>
      <c r="B647">
        <v>37650</v>
      </c>
      <c r="C647">
        <v>774</v>
      </c>
      <c r="D647">
        <v>2</v>
      </c>
      <c r="E647" s="1" t="s">
        <v>22</v>
      </c>
      <c r="F647">
        <v>6</v>
      </c>
      <c r="G647" s="1" t="s">
        <v>23</v>
      </c>
      <c r="H647">
        <v>37721.428571428572</v>
      </c>
      <c r="J647">
        <v>37650</v>
      </c>
      <c r="K647">
        <v>37400</v>
      </c>
      <c r="L647">
        <v>39650</v>
      </c>
      <c r="M647">
        <v>0</v>
      </c>
      <c r="N647">
        <v>120.15860000000001</v>
      </c>
      <c r="O647">
        <v>-1.8472169E-2</v>
      </c>
      <c r="P647">
        <v>14328</v>
      </c>
      <c r="Q647">
        <v>26.17</v>
      </c>
      <c r="R647">
        <v>6.22</v>
      </c>
      <c r="S647">
        <v>84.41</v>
      </c>
      <c r="T647">
        <v>13</v>
      </c>
      <c r="U647" s="1" t="s">
        <v>25</v>
      </c>
      <c r="V647">
        <v>0</v>
      </c>
    </row>
    <row r="648" spans="1:22" x14ac:dyDescent="0.3">
      <c r="A648" s="2">
        <v>44606</v>
      </c>
      <c r="B648">
        <v>37650</v>
      </c>
      <c r="C648">
        <v>775</v>
      </c>
      <c r="D648">
        <v>2</v>
      </c>
      <c r="E648" s="1" t="s">
        <v>22</v>
      </c>
      <c r="F648">
        <v>0</v>
      </c>
      <c r="G648" s="1" t="s">
        <v>23</v>
      </c>
      <c r="H648">
        <v>37685.714285714283</v>
      </c>
      <c r="J648">
        <v>37650</v>
      </c>
      <c r="K648">
        <v>37900</v>
      </c>
      <c r="M648">
        <v>0</v>
      </c>
      <c r="N648">
        <v>120.15860000000001</v>
      </c>
      <c r="O648">
        <v>-1.8472169E-2</v>
      </c>
      <c r="P648">
        <v>14344.700199999999</v>
      </c>
      <c r="Q648">
        <v>26.47</v>
      </c>
      <c r="R648">
        <v>3.26</v>
      </c>
      <c r="S648">
        <v>82.49</v>
      </c>
      <c r="T648">
        <v>14</v>
      </c>
      <c r="U648" s="1" t="s">
        <v>25</v>
      </c>
      <c r="V648">
        <v>0</v>
      </c>
    </row>
    <row r="649" spans="1:22" x14ac:dyDescent="0.3">
      <c r="A649" s="2">
        <v>44607</v>
      </c>
      <c r="B649">
        <v>37650</v>
      </c>
      <c r="C649">
        <v>776</v>
      </c>
      <c r="D649">
        <v>2</v>
      </c>
      <c r="E649" s="1" t="s">
        <v>22</v>
      </c>
      <c r="F649">
        <v>1</v>
      </c>
      <c r="G649" s="1" t="s">
        <v>23</v>
      </c>
      <c r="H649">
        <v>37721.428571428572</v>
      </c>
      <c r="J649">
        <v>37650</v>
      </c>
      <c r="K649">
        <v>37400</v>
      </c>
      <c r="M649">
        <v>0</v>
      </c>
      <c r="N649">
        <v>120.15860000000001</v>
      </c>
      <c r="O649">
        <v>-1.8472169E-2</v>
      </c>
      <c r="P649">
        <v>14303</v>
      </c>
      <c r="Q649">
        <v>26.4</v>
      </c>
      <c r="R649">
        <v>4.47</v>
      </c>
      <c r="S649">
        <v>86.13</v>
      </c>
      <c r="T649">
        <v>15</v>
      </c>
      <c r="U649" s="1" t="s">
        <v>25</v>
      </c>
      <c r="V649">
        <v>0</v>
      </c>
    </row>
    <row r="650" spans="1:22" x14ac:dyDescent="0.3">
      <c r="A650" s="2">
        <v>44608</v>
      </c>
      <c r="B650">
        <v>38000</v>
      </c>
      <c r="C650">
        <v>777</v>
      </c>
      <c r="D650">
        <v>2</v>
      </c>
      <c r="E650" s="1" t="s">
        <v>22</v>
      </c>
      <c r="F650">
        <v>2</v>
      </c>
      <c r="G650" s="1" t="s">
        <v>23</v>
      </c>
      <c r="H650">
        <v>37700</v>
      </c>
      <c r="J650">
        <v>37650</v>
      </c>
      <c r="K650">
        <v>38150</v>
      </c>
      <c r="L650">
        <v>39000</v>
      </c>
      <c r="M650">
        <v>350</v>
      </c>
      <c r="N650">
        <v>120.15860000000001</v>
      </c>
      <c r="O650">
        <v>-1.8472169E-2</v>
      </c>
      <c r="P650">
        <v>14260.599609999999</v>
      </c>
      <c r="Q650">
        <v>25.99</v>
      </c>
      <c r="R650">
        <v>15.84</v>
      </c>
      <c r="S650">
        <v>84.21</v>
      </c>
      <c r="T650">
        <v>16</v>
      </c>
      <c r="U650" s="1" t="s">
        <v>68</v>
      </c>
      <c r="V650">
        <v>0.93</v>
      </c>
    </row>
    <row r="651" spans="1:22" x14ac:dyDescent="0.3">
      <c r="A651" s="2">
        <v>44609</v>
      </c>
      <c r="B651">
        <v>37900</v>
      </c>
      <c r="C651">
        <v>778</v>
      </c>
      <c r="D651">
        <v>2</v>
      </c>
      <c r="E651" s="1" t="s">
        <v>22</v>
      </c>
      <c r="F651">
        <v>3</v>
      </c>
      <c r="G651" s="1" t="s">
        <v>23</v>
      </c>
      <c r="H651">
        <v>37735.714285714283</v>
      </c>
      <c r="J651">
        <v>38000</v>
      </c>
      <c r="K651">
        <v>37650</v>
      </c>
      <c r="L651">
        <v>38400</v>
      </c>
      <c r="M651">
        <v>-100</v>
      </c>
      <c r="N651">
        <v>120.15860000000001</v>
      </c>
      <c r="O651">
        <v>-1.8472169E-2</v>
      </c>
      <c r="P651">
        <v>14274.400390000001</v>
      </c>
      <c r="Q651">
        <v>25.74</v>
      </c>
      <c r="R651">
        <v>26.77</v>
      </c>
      <c r="S651">
        <v>84.74</v>
      </c>
      <c r="T651">
        <v>17</v>
      </c>
      <c r="U651" s="1" t="s">
        <v>74</v>
      </c>
      <c r="V651">
        <v>-0.26</v>
      </c>
    </row>
    <row r="652" spans="1:22" x14ac:dyDescent="0.3">
      <c r="A652" s="2">
        <v>44610</v>
      </c>
      <c r="B652">
        <v>38250</v>
      </c>
      <c r="C652">
        <v>779</v>
      </c>
      <c r="D652">
        <v>2</v>
      </c>
      <c r="E652" s="1" t="s">
        <v>22</v>
      </c>
      <c r="F652">
        <v>4</v>
      </c>
      <c r="G652" s="1" t="s">
        <v>23</v>
      </c>
      <c r="H652">
        <v>37821.428571428572</v>
      </c>
      <c r="J652">
        <v>37900</v>
      </c>
      <c r="K652">
        <v>37650</v>
      </c>
      <c r="L652">
        <v>38400</v>
      </c>
      <c r="M652">
        <v>350</v>
      </c>
      <c r="N652">
        <v>120.15860000000001</v>
      </c>
      <c r="O652">
        <v>-1.8472169E-2</v>
      </c>
      <c r="P652">
        <v>14348</v>
      </c>
      <c r="Q652">
        <v>25.81</v>
      </c>
      <c r="R652">
        <v>28.28</v>
      </c>
      <c r="S652">
        <v>87.75</v>
      </c>
      <c r="T652">
        <v>18</v>
      </c>
      <c r="U652" s="1" t="s">
        <v>68</v>
      </c>
      <c r="V652">
        <v>0.92</v>
      </c>
    </row>
    <row r="653" spans="1:22" x14ac:dyDescent="0.3">
      <c r="A653" s="2">
        <v>44613</v>
      </c>
      <c r="B653">
        <v>38500</v>
      </c>
      <c r="C653">
        <v>782</v>
      </c>
      <c r="D653">
        <v>2</v>
      </c>
      <c r="E653" s="1" t="s">
        <v>22</v>
      </c>
      <c r="F653">
        <v>0</v>
      </c>
      <c r="G653" s="1" t="s">
        <v>23</v>
      </c>
      <c r="K653">
        <v>37650</v>
      </c>
      <c r="L653">
        <v>37400</v>
      </c>
      <c r="N653">
        <v>120.15860000000001</v>
      </c>
      <c r="O653">
        <v>-1.8472169E-2</v>
      </c>
      <c r="P653">
        <v>14365.900390000001</v>
      </c>
      <c r="Q653">
        <v>25.48</v>
      </c>
      <c r="R653">
        <v>15.37</v>
      </c>
      <c r="S653">
        <v>88.05</v>
      </c>
      <c r="T653">
        <v>21</v>
      </c>
      <c r="U653" s="1"/>
      <c r="V653">
        <v>0</v>
      </c>
    </row>
    <row r="654" spans="1:22" x14ac:dyDescent="0.3">
      <c r="A654" s="2">
        <v>44614</v>
      </c>
      <c r="B654">
        <v>39500</v>
      </c>
      <c r="C654">
        <v>783</v>
      </c>
      <c r="D654">
        <v>2</v>
      </c>
      <c r="E654" s="1" t="s">
        <v>22</v>
      </c>
      <c r="F654">
        <v>1</v>
      </c>
      <c r="G654" s="1" t="s">
        <v>23</v>
      </c>
      <c r="J654">
        <v>38500</v>
      </c>
      <c r="K654">
        <v>37650</v>
      </c>
      <c r="M654">
        <v>1000</v>
      </c>
      <c r="N654">
        <v>120.15860000000001</v>
      </c>
      <c r="O654">
        <v>-1.8472169E-2</v>
      </c>
      <c r="P654">
        <v>14355</v>
      </c>
      <c r="Q654">
        <v>24.99</v>
      </c>
      <c r="R654">
        <v>10.98</v>
      </c>
      <c r="S654">
        <v>86.12</v>
      </c>
      <c r="T654">
        <v>22</v>
      </c>
      <c r="U654" s="1" t="s">
        <v>29</v>
      </c>
      <c r="V654">
        <v>2.6</v>
      </c>
    </row>
    <row r="655" spans="1:22" x14ac:dyDescent="0.3">
      <c r="A655" s="2">
        <v>44615</v>
      </c>
      <c r="B655">
        <v>40000</v>
      </c>
      <c r="C655">
        <v>784</v>
      </c>
      <c r="D655">
        <v>2</v>
      </c>
      <c r="E655" s="1" t="s">
        <v>22</v>
      </c>
      <c r="F655">
        <v>2</v>
      </c>
      <c r="G655" s="1" t="s">
        <v>23</v>
      </c>
      <c r="J655">
        <v>39500</v>
      </c>
      <c r="K655">
        <v>38000</v>
      </c>
      <c r="L655">
        <v>36150</v>
      </c>
      <c r="M655">
        <v>500</v>
      </c>
      <c r="N655">
        <v>120.15860000000001</v>
      </c>
      <c r="O655">
        <v>-1.8472169E-2</v>
      </c>
      <c r="P655">
        <v>14395</v>
      </c>
      <c r="Q655">
        <v>26.12</v>
      </c>
      <c r="R655">
        <v>3.45</v>
      </c>
      <c r="S655">
        <v>84.91</v>
      </c>
      <c r="T655">
        <v>23</v>
      </c>
      <c r="U655" s="1" t="s">
        <v>26</v>
      </c>
      <c r="V655">
        <v>1.27</v>
      </c>
    </row>
    <row r="656" spans="1:22" x14ac:dyDescent="0.3">
      <c r="A656" s="2">
        <v>44616</v>
      </c>
      <c r="B656">
        <v>40000</v>
      </c>
      <c r="C656">
        <v>785</v>
      </c>
      <c r="D656">
        <v>2</v>
      </c>
      <c r="E656" s="1" t="s">
        <v>22</v>
      </c>
      <c r="F656">
        <v>3</v>
      </c>
      <c r="G656" s="1" t="s">
        <v>23</v>
      </c>
      <c r="J656">
        <v>40000</v>
      </c>
      <c r="K656">
        <v>37900</v>
      </c>
      <c r="L656">
        <v>35900</v>
      </c>
      <c r="M656">
        <v>0</v>
      </c>
      <c r="N656">
        <v>120.15860000000001</v>
      </c>
      <c r="O656">
        <v>-1.8472169E-2</v>
      </c>
      <c r="P656">
        <v>14365</v>
      </c>
      <c r="Q656">
        <v>26.13</v>
      </c>
      <c r="R656">
        <v>6.45</v>
      </c>
      <c r="S656">
        <v>78.040000000000006</v>
      </c>
      <c r="T656">
        <v>24</v>
      </c>
      <c r="U656" s="1" t="s">
        <v>25</v>
      </c>
      <c r="V656">
        <v>0</v>
      </c>
    </row>
    <row r="657" spans="1:22" x14ac:dyDescent="0.3">
      <c r="A657" s="2">
        <v>44617</v>
      </c>
      <c r="B657">
        <v>40500</v>
      </c>
      <c r="C657">
        <v>786</v>
      </c>
      <c r="D657">
        <v>2</v>
      </c>
      <c r="E657" s="1" t="s">
        <v>22</v>
      </c>
      <c r="F657">
        <v>4</v>
      </c>
      <c r="G657" s="1" t="s">
        <v>23</v>
      </c>
      <c r="J657">
        <v>40000</v>
      </c>
      <c r="K657">
        <v>38250</v>
      </c>
      <c r="L657">
        <v>35900</v>
      </c>
      <c r="M657">
        <v>500</v>
      </c>
      <c r="N657">
        <v>120.15860000000001</v>
      </c>
      <c r="O657">
        <v>-1.8472169E-2</v>
      </c>
      <c r="P657">
        <v>14452.5</v>
      </c>
      <c r="Q657">
        <v>25.25</v>
      </c>
      <c r="R657">
        <v>2.69</v>
      </c>
      <c r="S657">
        <v>82.12</v>
      </c>
      <c r="T657">
        <v>25</v>
      </c>
      <c r="U657" s="1" t="s">
        <v>26</v>
      </c>
      <c r="V657">
        <v>1.25</v>
      </c>
    </row>
    <row r="658" spans="1:22" x14ac:dyDescent="0.3">
      <c r="A658" s="2">
        <v>44618</v>
      </c>
      <c r="B658">
        <v>40500</v>
      </c>
      <c r="C658">
        <v>787</v>
      </c>
      <c r="D658">
        <v>2</v>
      </c>
      <c r="E658" s="1" t="s">
        <v>22</v>
      </c>
      <c r="F658">
        <v>5</v>
      </c>
      <c r="G658" s="1" t="s">
        <v>23</v>
      </c>
      <c r="J658">
        <v>40500</v>
      </c>
      <c r="L658">
        <v>35250</v>
      </c>
      <c r="M658">
        <v>0</v>
      </c>
      <c r="N658">
        <v>120.15860000000001</v>
      </c>
      <c r="O658">
        <v>-1.8472169E-2</v>
      </c>
      <c r="P658">
        <v>14452.5</v>
      </c>
      <c r="Q658">
        <v>25.76</v>
      </c>
      <c r="R658">
        <v>4.2</v>
      </c>
      <c r="S658">
        <v>85.73</v>
      </c>
      <c r="T658">
        <v>26</v>
      </c>
      <c r="U658" s="1" t="s">
        <v>26</v>
      </c>
      <c r="V658">
        <v>1.25</v>
      </c>
    </row>
    <row r="659" spans="1:22" x14ac:dyDescent="0.3">
      <c r="A659" s="2">
        <v>44619</v>
      </c>
      <c r="B659">
        <v>40500</v>
      </c>
      <c r="C659">
        <v>788</v>
      </c>
      <c r="D659">
        <v>2</v>
      </c>
      <c r="E659" s="1" t="s">
        <v>22</v>
      </c>
      <c r="F659">
        <v>6</v>
      </c>
      <c r="G659" s="1" t="s">
        <v>23</v>
      </c>
      <c r="H659">
        <v>39928.571428571428</v>
      </c>
      <c r="J659">
        <v>40500</v>
      </c>
      <c r="L659">
        <v>35150</v>
      </c>
      <c r="M659">
        <v>0</v>
      </c>
      <c r="N659">
        <v>120.15860000000001</v>
      </c>
      <c r="O659">
        <v>-1.8472169E-2</v>
      </c>
      <c r="P659">
        <v>14452.5</v>
      </c>
      <c r="Q659">
        <v>26.05</v>
      </c>
      <c r="R659">
        <v>8.9700000000000006</v>
      </c>
      <c r="S659">
        <v>87.06</v>
      </c>
      <c r="T659">
        <v>27</v>
      </c>
      <c r="U659" s="1" t="s">
        <v>26</v>
      </c>
      <c r="V659">
        <v>1.25</v>
      </c>
    </row>
    <row r="660" spans="1:22" x14ac:dyDescent="0.3">
      <c r="A660" s="2">
        <v>44620</v>
      </c>
      <c r="B660">
        <v>40500</v>
      </c>
      <c r="C660">
        <v>789</v>
      </c>
      <c r="D660">
        <v>2</v>
      </c>
      <c r="E660" s="1" t="s">
        <v>22</v>
      </c>
      <c r="F660">
        <v>0</v>
      </c>
      <c r="G660" s="1" t="s">
        <v>23</v>
      </c>
      <c r="H660">
        <v>40214.285714285717</v>
      </c>
      <c r="J660">
        <v>40500</v>
      </c>
      <c r="K660">
        <v>38500</v>
      </c>
      <c r="L660">
        <v>35150</v>
      </c>
      <c r="M660">
        <v>0</v>
      </c>
      <c r="N660">
        <v>120.15860000000001</v>
      </c>
      <c r="O660">
        <v>-1.8472169E-2</v>
      </c>
      <c r="P660">
        <v>14334.200199999999</v>
      </c>
      <c r="Q660">
        <v>25.51</v>
      </c>
      <c r="R660">
        <v>5.35</v>
      </c>
      <c r="S660">
        <v>87.46</v>
      </c>
      <c r="T660">
        <v>28</v>
      </c>
      <c r="U660" s="1" t="s">
        <v>26</v>
      </c>
      <c r="V660">
        <v>1.25</v>
      </c>
    </row>
    <row r="661" spans="1:22" x14ac:dyDescent="0.3">
      <c r="A661" s="2">
        <v>44621</v>
      </c>
      <c r="B661">
        <v>39500</v>
      </c>
      <c r="C661">
        <v>790</v>
      </c>
      <c r="D661">
        <v>3</v>
      </c>
      <c r="E661" s="1" t="s">
        <v>22</v>
      </c>
      <c r="F661">
        <v>1</v>
      </c>
      <c r="G661" s="1" t="s">
        <v>23</v>
      </c>
      <c r="H661">
        <v>40214.285714285717</v>
      </c>
      <c r="J661">
        <v>40500</v>
      </c>
      <c r="K661">
        <v>39500</v>
      </c>
      <c r="L661">
        <v>35150</v>
      </c>
      <c r="M661">
        <v>-1000</v>
      </c>
      <c r="N661">
        <v>120.94670000000001</v>
      </c>
      <c r="O661">
        <v>0.655883141</v>
      </c>
      <c r="P661">
        <v>14360</v>
      </c>
      <c r="Q661">
        <v>25.87</v>
      </c>
      <c r="R661">
        <v>5.54</v>
      </c>
      <c r="S661">
        <v>86.99</v>
      </c>
      <c r="T661">
        <v>1</v>
      </c>
      <c r="U661" s="1"/>
      <c r="V661">
        <v>0</v>
      </c>
    </row>
    <row r="662" spans="1:22" x14ac:dyDescent="0.3">
      <c r="A662" s="2">
        <v>44622</v>
      </c>
      <c r="B662">
        <v>39500</v>
      </c>
      <c r="C662">
        <v>791</v>
      </c>
      <c r="D662">
        <v>3</v>
      </c>
      <c r="E662" s="1" t="s">
        <v>22</v>
      </c>
      <c r="F662">
        <v>2</v>
      </c>
      <c r="G662" s="1" t="s">
        <v>23</v>
      </c>
      <c r="H662">
        <v>40142.857142857145</v>
      </c>
      <c r="J662">
        <v>39500</v>
      </c>
      <c r="K662">
        <v>40000</v>
      </c>
      <c r="L662">
        <v>35150</v>
      </c>
      <c r="M662">
        <v>0</v>
      </c>
      <c r="N662">
        <v>120.94670000000001</v>
      </c>
      <c r="O662">
        <v>0.655883141</v>
      </c>
      <c r="P662">
        <v>14425</v>
      </c>
      <c r="Q662">
        <v>26.5</v>
      </c>
      <c r="R662">
        <v>4.5999999999999996</v>
      </c>
      <c r="S662">
        <v>87.98</v>
      </c>
      <c r="T662">
        <v>2</v>
      </c>
      <c r="U662" s="1" t="s">
        <v>25</v>
      </c>
      <c r="V662">
        <v>0</v>
      </c>
    </row>
    <row r="663" spans="1:22" x14ac:dyDescent="0.3">
      <c r="A663" s="2">
        <v>44624</v>
      </c>
      <c r="B663">
        <v>39500</v>
      </c>
      <c r="C663">
        <v>793</v>
      </c>
      <c r="D663">
        <v>3</v>
      </c>
      <c r="E663" s="1" t="s">
        <v>22</v>
      </c>
      <c r="F663">
        <v>4</v>
      </c>
      <c r="G663" s="1" t="s">
        <v>23</v>
      </c>
      <c r="K663">
        <v>40500</v>
      </c>
      <c r="L663">
        <v>36250</v>
      </c>
      <c r="N663">
        <v>120.94670000000001</v>
      </c>
      <c r="O663">
        <v>0.655883141</v>
      </c>
      <c r="P663">
        <v>14358.400390000001</v>
      </c>
      <c r="Q663">
        <v>26.62</v>
      </c>
      <c r="R663">
        <v>6.76</v>
      </c>
      <c r="S663">
        <v>85.55</v>
      </c>
      <c r="T663">
        <v>4</v>
      </c>
      <c r="U663" s="1"/>
      <c r="V663">
        <v>0</v>
      </c>
    </row>
    <row r="664" spans="1:22" x14ac:dyDescent="0.3">
      <c r="A664" s="2">
        <v>44625</v>
      </c>
      <c r="B664">
        <v>39500</v>
      </c>
      <c r="C664">
        <v>794</v>
      </c>
      <c r="D664">
        <v>3</v>
      </c>
      <c r="E664" s="1" t="s">
        <v>22</v>
      </c>
      <c r="F664">
        <v>5</v>
      </c>
      <c r="G664" s="1" t="s">
        <v>23</v>
      </c>
      <c r="J664">
        <v>39500</v>
      </c>
      <c r="K664">
        <v>40500</v>
      </c>
      <c r="L664">
        <v>37400</v>
      </c>
      <c r="M664">
        <v>0</v>
      </c>
      <c r="N664">
        <v>120.94670000000001</v>
      </c>
      <c r="O664">
        <v>0.655883141</v>
      </c>
      <c r="P664">
        <v>14358.400390000001</v>
      </c>
      <c r="Q664">
        <v>26.36</v>
      </c>
      <c r="R664">
        <v>8.91</v>
      </c>
      <c r="S664">
        <v>85.42</v>
      </c>
      <c r="T664">
        <v>5</v>
      </c>
      <c r="U664" s="1"/>
      <c r="V664">
        <v>0</v>
      </c>
    </row>
    <row r="665" spans="1:22" x14ac:dyDescent="0.3">
      <c r="A665" s="2">
        <v>44626</v>
      </c>
      <c r="B665">
        <v>39500</v>
      </c>
      <c r="C665">
        <v>795</v>
      </c>
      <c r="D665">
        <v>3</v>
      </c>
      <c r="E665" s="1" t="s">
        <v>22</v>
      </c>
      <c r="F665">
        <v>6</v>
      </c>
      <c r="G665" s="1" t="s">
        <v>23</v>
      </c>
      <c r="J665">
        <v>39500</v>
      </c>
      <c r="K665">
        <v>40500</v>
      </c>
      <c r="L665">
        <v>37400</v>
      </c>
      <c r="M665">
        <v>0</v>
      </c>
      <c r="N665">
        <v>120.94670000000001</v>
      </c>
      <c r="O665">
        <v>0.655883141</v>
      </c>
      <c r="P665">
        <v>14358.400390000001</v>
      </c>
      <c r="Q665">
        <v>26.1</v>
      </c>
      <c r="R665">
        <v>6.74</v>
      </c>
      <c r="S665">
        <v>86.67</v>
      </c>
      <c r="T665">
        <v>6</v>
      </c>
      <c r="U665" s="1"/>
      <c r="V665">
        <v>0</v>
      </c>
    </row>
    <row r="666" spans="1:22" x14ac:dyDescent="0.3">
      <c r="A666" s="2">
        <v>44627</v>
      </c>
      <c r="B666">
        <v>40150</v>
      </c>
      <c r="C666">
        <v>796</v>
      </c>
      <c r="D666">
        <v>3</v>
      </c>
      <c r="E666" s="1" t="s">
        <v>22</v>
      </c>
      <c r="F666">
        <v>0</v>
      </c>
      <c r="G666" s="1" t="s">
        <v>23</v>
      </c>
      <c r="J666">
        <v>39500</v>
      </c>
      <c r="K666">
        <v>40500</v>
      </c>
      <c r="L666">
        <v>37400</v>
      </c>
      <c r="M666">
        <v>650</v>
      </c>
      <c r="N666">
        <v>120.94670000000001</v>
      </c>
      <c r="O666">
        <v>0.655883141</v>
      </c>
      <c r="P666">
        <v>14381.700199999999</v>
      </c>
      <c r="Q666">
        <v>26.23</v>
      </c>
      <c r="R666">
        <v>7.48</v>
      </c>
      <c r="S666">
        <v>85.25</v>
      </c>
      <c r="T666">
        <v>7</v>
      </c>
      <c r="U666" s="1" t="s">
        <v>73</v>
      </c>
      <c r="V666">
        <v>1.65</v>
      </c>
    </row>
    <row r="667" spans="1:22" x14ac:dyDescent="0.3">
      <c r="A667" s="2">
        <v>44628</v>
      </c>
      <c r="B667">
        <v>40150</v>
      </c>
      <c r="C667">
        <v>797</v>
      </c>
      <c r="D667">
        <v>3</v>
      </c>
      <c r="E667" s="1" t="s">
        <v>22</v>
      </c>
      <c r="F667">
        <v>1</v>
      </c>
      <c r="G667" s="1" t="s">
        <v>23</v>
      </c>
      <c r="J667">
        <v>40150</v>
      </c>
      <c r="K667">
        <v>39500</v>
      </c>
      <c r="L667">
        <v>37400</v>
      </c>
      <c r="M667">
        <v>0</v>
      </c>
      <c r="N667">
        <v>120.94670000000001</v>
      </c>
      <c r="O667">
        <v>0.655883141</v>
      </c>
      <c r="P667">
        <v>14406.400390000001</v>
      </c>
      <c r="Q667">
        <v>26.77</v>
      </c>
      <c r="R667">
        <v>4.9400000000000004</v>
      </c>
      <c r="S667">
        <v>83.32</v>
      </c>
      <c r="T667">
        <v>8</v>
      </c>
      <c r="U667" s="1" t="s">
        <v>25</v>
      </c>
      <c r="V667">
        <v>0</v>
      </c>
    </row>
    <row r="668" spans="1:22" x14ac:dyDescent="0.3">
      <c r="A668" s="2">
        <v>44629</v>
      </c>
      <c r="B668">
        <v>40150</v>
      </c>
      <c r="C668">
        <v>798</v>
      </c>
      <c r="D668">
        <v>3</v>
      </c>
      <c r="E668" s="1" t="s">
        <v>22</v>
      </c>
      <c r="F668">
        <v>2</v>
      </c>
      <c r="G668" s="1" t="s">
        <v>23</v>
      </c>
      <c r="J668">
        <v>40150</v>
      </c>
      <c r="K668">
        <v>39500</v>
      </c>
      <c r="L668">
        <v>37900</v>
      </c>
      <c r="M668">
        <v>0</v>
      </c>
      <c r="N668">
        <v>120.94670000000001</v>
      </c>
      <c r="O668">
        <v>0.655883141</v>
      </c>
      <c r="P668">
        <v>14362.700199999999</v>
      </c>
      <c r="Q668">
        <v>27.22</v>
      </c>
      <c r="R668">
        <v>2.14</v>
      </c>
      <c r="S668">
        <v>80.989999999999995</v>
      </c>
      <c r="T668">
        <v>9</v>
      </c>
      <c r="U668" s="1" t="s">
        <v>25</v>
      </c>
      <c r="V668">
        <v>0</v>
      </c>
    </row>
    <row r="669" spans="1:22" x14ac:dyDescent="0.3">
      <c r="A669" s="2">
        <v>44630</v>
      </c>
      <c r="B669">
        <v>40150</v>
      </c>
      <c r="C669">
        <v>799</v>
      </c>
      <c r="D669">
        <v>3</v>
      </c>
      <c r="E669" s="1" t="s">
        <v>22</v>
      </c>
      <c r="F669">
        <v>3</v>
      </c>
      <c r="G669" s="1" t="s">
        <v>23</v>
      </c>
      <c r="H669">
        <v>39871.428571428572</v>
      </c>
      <c r="J669">
        <v>40150</v>
      </c>
      <c r="L669">
        <v>37400</v>
      </c>
      <c r="M669">
        <v>0</v>
      </c>
      <c r="N669">
        <v>120.94670000000001</v>
      </c>
      <c r="O669">
        <v>0.655883141</v>
      </c>
      <c r="P669">
        <v>14251</v>
      </c>
      <c r="Q669">
        <v>26.78</v>
      </c>
      <c r="R669">
        <v>3.09</v>
      </c>
      <c r="S669">
        <v>85.36</v>
      </c>
      <c r="T669">
        <v>10</v>
      </c>
      <c r="U669" s="1" t="s">
        <v>25</v>
      </c>
      <c r="V669">
        <v>0</v>
      </c>
    </row>
    <row r="670" spans="1:22" x14ac:dyDescent="0.3">
      <c r="A670" s="2">
        <v>44631</v>
      </c>
      <c r="B670">
        <v>39900</v>
      </c>
      <c r="C670">
        <v>800</v>
      </c>
      <c r="D670">
        <v>3</v>
      </c>
      <c r="E670" s="1" t="s">
        <v>22</v>
      </c>
      <c r="F670">
        <v>4</v>
      </c>
      <c r="G670" s="1" t="s">
        <v>23</v>
      </c>
      <c r="H670">
        <v>39928.571428571428</v>
      </c>
      <c r="J670">
        <v>40150</v>
      </c>
      <c r="K670">
        <v>39500</v>
      </c>
      <c r="L670">
        <v>38150</v>
      </c>
      <c r="M670">
        <v>-250</v>
      </c>
      <c r="N670">
        <v>120.94670000000001</v>
      </c>
      <c r="O670">
        <v>0.655883141</v>
      </c>
      <c r="P670">
        <v>14275</v>
      </c>
      <c r="Q670">
        <v>26.89</v>
      </c>
      <c r="R670">
        <v>3.71</v>
      </c>
      <c r="S670">
        <v>84.71</v>
      </c>
      <c r="T670">
        <v>11</v>
      </c>
      <c r="U670" s="1" t="s">
        <v>35</v>
      </c>
      <c r="V670">
        <v>-0.62</v>
      </c>
    </row>
    <row r="671" spans="1:22" x14ac:dyDescent="0.3">
      <c r="A671" s="2">
        <v>44632</v>
      </c>
      <c r="B671">
        <v>39900</v>
      </c>
      <c r="C671">
        <v>801</v>
      </c>
      <c r="D671">
        <v>3</v>
      </c>
      <c r="E671" s="1" t="s">
        <v>22</v>
      </c>
      <c r="F671">
        <v>5</v>
      </c>
      <c r="G671" s="1" t="s">
        <v>23</v>
      </c>
      <c r="H671">
        <v>39985.714285714283</v>
      </c>
      <c r="J671">
        <v>39900</v>
      </c>
      <c r="K671">
        <v>39500</v>
      </c>
      <c r="L671">
        <v>37650</v>
      </c>
      <c r="M671">
        <v>0</v>
      </c>
      <c r="N671">
        <v>120.94670000000001</v>
      </c>
      <c r="O671">
        <v>0.655883141</v>
      </c>
      <c r="P671">
        <v>14275</v>
      </c>
      <c r="Q671">
        <v>27.25</v>
      </c>
      <c r="R671">
        <v>17.48</v>
      </c>
      <c r="S671">
        <v>83.21</v>
      </c>
      <c r="T671">
        <v>12</v>
      </c>
      <c r="U671" s="1" t="s">
        <v>35</v>
      </c>
      <c r="V671">
        <v>-0.62</v>
      </c>
    </row>
    <row r="672" spans="1:22" x14ac:dyDescent="0.3">
      <c r="A672" s="2">
        <v>44633</v>
      </c>
      <c r="B672">
        <v>39900</v>
      </c>
      <c r="C672">
        <v>802</v>
      </c>
      <c r="D672">
        <v>3</v>
      </c>
      <c r="E672" s="1" t="s">
        <v>22</v>
      </c>
      <c r="F672">
        <v>6</v>
      </c>
      <c r="G672" s="1" t="s">
        <v>23</v>
      </c>
      <c r="H672">
        <v>40042.857142857145</v>
      </c>
      <c r="J672">
        <v>39900</v>
      </c>
      <c r="K672">
        <v>39500</v>
      </c>
      <c r="L672">
        <v>37650</v>
      </c>
      <c r="M672">
        <v>0</v>
      </c>
      <c r="N672">
        <v>120.94670000000001</v>
      </c>
      <c r="O672">
        <v>0.655883141</v>
      </c>
      <c r="P672">
        <v>14275</v>
      </c>
      <c r="Q672">
        <v>26.92</v>
      </c>
      <c r="R672">
        <v>13.87</v>
      </c>
      <c r="S672">
        <v>84.78</v>
      </c>
      <c r="T672">
        <v>13</v>
      </c>
      <c r="U672" s="1" t="s">
        <v>35</v>
      </c>
      <c r="V672">
        <v>-0.62</v>
      </c>
    </row>
    <row r="673" spans="1:22" x14ac:dyDescent="0.3">
      <c r="A673" s="2">
        <v>44634</v>
      </c>
      <c r="B673">
        <v>39650</v>
      </c>
      <c r="C673">
        <v>803</v>
      </c>
      <c r="D673">
        <v>3</v>
      </c>
      <c r="E673" s="1" t="s">
        <v>22</v>
      </c>
      <c r="F673">
        <v>0</v>
      </c>
      <c r="G673" s="1" t="s">
        <v>23</v>
      </c>
      <c r="H673">
        <v>39971.428571428572</v>
      </c>
      <c r="J673">
        <v>39900</v>
      </c>
      <c r="K673">
        <v>40150</v>
      </c>
      <c r="L673">
        <v>37650</v>
      </c>
      <c r="M673">
        <v>-250</v>
      </c>
      <c r="N673">
        <v>120.94670000000001</v>
      </c>
      <c r="O673">
        <v>0.655883141</v>
      </c>
      <c r="P673">
        <v>14325.5</v>
      </c>
      <c r="Q673">
        <v>27.03</v>
      </c>
      <c r="R673">
        <v>2.8</v>
      </c>
      <c r="S673">
        <v>80.37</v>
      </c>
      <c r="T673">
        <v>14</v>
      </c>
      <c r="U673" s="1" t="s">
        <v>35</v>
      </c>
      <c r="V673">
        <v>-0.63</v>
      </c>
    </row>
    <row r="674" spans="1:22" x14ac:dyDescent="0.3">
      <c r="A674" s="2">
        <v>44635</v>
      </c>
      <c r="B674">
        <v>39900</v>
      </c>
      <c r="C674">
        <v>804</v>
      </c>
      <c r="D674">
        <v>3</v>
      </c>
      <c r="E674" s="1" t="s">
        <v>22</v>
      </c>
      <c r="F674">
        <v>1</v>
      </c>
      <c r="G674" s="1" t="s">
        <v>23</v>
      </c>
      <c r="H674">
        <v>39935.714285714283</v>
      </c>
      <c r="J674">
        <v>39650</v>
      </c>
      <c r="K674">
        <v>40150</v>
      </c>
      <c r="L674">
        <v>37650</v>
      </c>
      <c r="M674">
        <v>250</v>
      </c>
      <c r="N674">
        <v>120.94670000000001</v>
      </c>
      <c r="O674">
        <v>0.655883141</v>
      </c>
      <c r="P674">
        <v>14347.5</v>
      </c>
      <c r="Q674">
        <v>27.21</v>
      </c>
      <c r="R674">
        <v>1.19</v>
      </c>
      <c r="S674">
        <v>80.849999999999994</v>
      </c>
      <c r="T674">
        <v>15</v>
      </c>
      <c r="U674" s="1" t="s">
        <v>34</v>
      </c>
      <c r="V674">
        <v>0.63</v>
      </c>
    </row>
    <row r="675" spans="1:22" x14ac:dyDescent="0.3">
      <c r="A675" s="2">
        <v>44636</v>
      </c>
      <c r="B675">
        <v>39650</v>
      </c>
      <c r="C675">
        <v>805</v>
      </c>
      <c r="D675">
        <v>3</v>
      </c>
      <c r="E675" s="1" t="s">
        <v>22</v>
      </c>
      <c r="F675">
        <v>2</v>
      </c>
      <c r="G675" s="1" t="s">
        <v>23</v>
      </c>
      <c r="H675">
        <v>39864.285714285717</v>
      </c>
      <c r="J675">
        <v>39900</v>
      </c>
      <c r="K675">
        <v>40150</v>
      </c>
      <c r="L675">
        <v>37650</v>
      </c>
      <c r="M675">
        <v>-250</v>
      </c>
      <c r="N675">
        <v>120.94670000000001</v>
      </c>
      <c r="O675">
        <v>0.655883141</v>
      </c>
      <c r="P675">
        <v>14305.299800000001</v>
      </c>
      <c r="Q675">
        <v>26.74</v>
      </c>
      <c r="R675">
        <v>3.36</v>
      </c>
      <c r="S675">
        <v>86.5</v>
      </c>
      <c r="T675">
        <v>16</v>
      </c>
      <c r="U675" s="1" t="s">
        <v>35</v>
      </c>
      <c r="V675">
        <v>-0.63</v>
      </c>
    </row>
    <row r="676" spans="1:22" x14ac:dyDescent="0.3">
      <c r="A676" s="2">
        <v>44637</v>
      </c>
      <c r="B676">
        <v>39650</v>
      </c>
      <c r="C676">
        <v>806</v>
      </c>
      <c r="D676">
        <v>3</v>
      </c>
      <c r="E676" s="1" t="s">
        <v>22</v>
      </c>
      <c r="F676">
        <v>3</v>
      </c>
      <c r="G676" s="1" t="s">
        <v>23</v>
      </c>
      <c r="H676">
        <v>39792.857142857145</v>
      </c>
      <c r="J676">
        <v>39650</v>
      </c>
      <c r="K676">
        <v>40150</v>
      </c>
      <c r="L676">
        <v>37650</v>
      </c>
      <c r="M676">
        <v>0</v>
      </c>
      <c r="N676">
        <v>120.94670000000001</v>
      </c>
      <c r="O676">
        <v>0.655883141</v>
      </c>
      <c r="P676">
        <v>14263.5</v>
      </c>
      <c r="Q676">
        <v>26.76</v>
      </c>
      <c r="R676">
        <v>7.77</v>
      </c>
      <c r="S676">
        <v>84.06</v>
      </c>
      <c r="T676">
        <v>17</v>
      </c>
      <c r="U676" s="1" t="s">
        <v>25</v>
      </c>
      <c r="V676">
        <v>0</v>
      </c>
    </row>
    <row r="677" spans="1:22" x14ac:dyDescent="0.3">
      <c r="A677" s="2">
        <v>44638</v>
      </c>
      <c r="B677">
        <v>39900</v>
      </c>
      <c r="C677">
        <v>807</v>
      </c>
      <c r="D677">
        <v>3</v>
      </c>
      <c r="E677" s="1" t="s">
        <v>22</v>
      </c>
      <c r="F677">
        <v>4</v>
      </c>
      <c r="G677" s="1" t="s">
        <v>23</v>
      </c>
      <c r="H677">
        <v>39792.857142857145</v>
      </c>
      <c r="J677">
        <v>39650</v>
      </c>
      <c r="K677">
        <v>39900</v>
      </c>
      <c r="L677">
        <v>38000</v>
      </c>
      <c r="M677">
        <v>250</v>
      </c>
      <c r="N677">
        <v>120.94670000000001</v>
      </c>
      <c r="O677">
        <v>0.655883141</v>
      </c>
      <c r="P677">
        <v>14326</v>
      </c>
      <c r="Q677">
        <v>26.2</v>
      </c>
      <c r="R677">
        <v>7.78</v>
      </c>
      <c r="S677">
        <v>85.48</v>
      </c>
      <c r="T677">
        <v>18</v>
      </c>
      <c r="U677" s="1" t="s">
        <v>34</v>
      </c>
      <c r="V677">
        <v>0.63</v>
      </c>
    </row>
    <row r="678" spans="1:22" x14ac:dyDescent="0.3">
      <c r="A678" s="2">
        <v>44641</v>
      </c>
      <c r="B678">
        <v>38500</v>
      </c>
      <c r="C678">
        <v>810</v>
      </c>
      <c r="D678">
        <v>3</v>
      </c>
      <c r="E678" s="1" t="s">
        <v>22</v>
      </c>
      <c r="F678">
        <v>0</v>
      </c>
      <c r="G678" s="1" t="s">
        <v>23</v>
      </c>
      <c r="K678">
        <v>39650</v>
      </c>
      <c r="N678">
        <v>120.94670000000001</v>
      </c>
      <c r="O678">
        <v>0.655883141</v>
      </c>
      <c r="P678">
        <v>14342.299800000001</v>
      </c>
      <c r="Q678">
        <v>25.83</v>
      </c>
      <c r="R678">
        <v>15.94</v>
      </c>
      <c r="S678">
        <v>84.9</v>
      </c>
      <c r="T678">
        <v>21</v>
      </c>
      <c r="U678" s="1" t="s">
        <v>76</v>
      </c>
      <c r="V678">
        <v>-3.51</v>
      </c>
    </row>
    <row r="679" spans="1:22" x14ac:dyDescent="0.3">
      <c r="A679" s="2">
        <v>44642</v>
      </c>
      <c r="B679">
        <v>38500</v>
      </c>
      <c r="C679">
        <v>811</v>
      </c>
      <c r="D679">
        <v>3</v>
      </c>
      <c r="E679" s="1" t="s">
        <v>22</v>
      </c>
      <c r="F679">
        <v>1</v>
      </c>
      <c r="G679" s="1" t="s">
        <v>23</v>
      </c>
      <c r="J679">
        <v>38500</v>
      </c>
      <c r="K679">
        <v>39900</v>
      </c>
      <c r="M679">
        <v>0</v>
      </c>
      <c r="N679">
        <v>120.94670000000001</v>
      </c>
      <c r="O679">
        <v>0.655883141</v>
      </c>
      <c r="P679">
        <v>14345</v>
      </c>
      <c r="Q679">
        <v>26.44</v>
      </c>
      <c r="R679">
        <v>8.49</v>
      </c>
      <c r="S679">
        <v>83.15</v>
      </c>
      <c r="T679">
        <v>22</v>
      </c>
      <c r="U679" s="1" t="s">
        <v>25</v>
      </c>
      <c r="V679">
        <v>0</v>
      </c>
    </row>
    <row r="680" spans="1:22" x14ac:dyDescent="0.3">
      <c r="A680" s="2">
        <v>44643</v>
      </c>
      <c r="B680">
        <v>38250</v>
      </c>
      <c r="C680">
        <v>812</v>
      </c>
      <c r="D680">
        <v>3</v>
      </c>
      <c r="E680" s="1" t="s">
        <v>22</v>
      </c>
      <c r="F680">
        <v>2</v>
      </c>
      <c r="G680" s="1" t="s">
        <v>23</v>
      </c>
      <c r="J680">
        <v>38500</v>
      </c>
      <c r="K680">
        <v>39650</v>
      </c>
      <c r="L680">
        <v>38500</v>
      </c>
      <c r="M680">
        <v>-250</v>
      </c>
      <c r="N680">
        <v>120.94670000000001</v>
      </c>
      <c r="O680">
        <v>0.655883141</v>
      </c>
      <c r="P680">
        <v>14345.5</v>
      </c>
      <c r="Q680">
        <v>25.73</v>
      </c>
      <c r="R680">
        <v>7.92</v>
      </c>
      <c r="S680">
        <v>80.59</v>
      </c>
      <c r="T680">
        <v>23</v>
      </c>
      <c r="U680" s="1" t="s">
        <v>35</v>
      </c>
      <c r="V680">
        <v>-0.65</v>
      </c>
    </row>
    <row r="681" spans="1:22" x14ac:dyDescent="0.3">
      <c r="A681" s="2">
        <v>44644</v>
      </c>
      <c r="B681">
        <v>38250</v>
      </c>
      <c r="C681">
        <v>813</v>
      </c>
      <c r="D681">
        <v>3</v>
      </c>
      <c r="E681" s="1" t="s">
        <v>22</v>
      </c>
      <c r="F681">
        <v>3</v>
      </c>
      <c r="G681" s="1" t="s">
        <v>23</v>
      </c>
      <c r="J681">
        <v>38250</v>
      </c>
      <c r="K681">
        <v>39650</v>
      </c>
      <c r="L681">
        <v>39500</v>
      </c>
      <c r="M681">
        <v>0</v>
      </c>
      <c r="N681">
        <v>120.94670000000001</v>
      </c>
      <c r="O681">
        <v>0.655883141</v>
      </c>
      <c r="P681">
        <v>14389</v>
      </c>
      <c r="Q681">
        <v>25.41</v>
      </c>
      <c r="R681">
        <v>16.96</v>
      </c>
      <c r="S681">
        <v>79.92</v>
      </c>
      <c r="T681">
        <v>24</v>
      </c>
      <c r="U681" s="1" t="s">
        <v>25</v>
      </c>
      <c r="V681">
        <v>0</v>
      </c>
    </row>
    <row r="682" spans="1:22" x14ac:dyDescent="0.3">
      <c r="A682" s="2">
        <v>44645</v>
      </c>
      <c r="B682">
        <v>37500</v>
      </c>
      <c r="C682">
        <v>814</v>
      </c>
      <c r="D682">
        <v>3</v>
      </c>
      <c r="E682" s="1" t="s">
        <v>22</v>
      </c>
      <c r="F682">
        <v>4</v>
      </c>
      <c r="G682" s="1" t="s">
        <v>23</v>
      </c>
      <c r="J682">
        <v>38250</v>
      </c>
      <c r="K682">
        <v>39900</v>
      </c>
      <c r="L682">
        <v>40000</v>
      </c>
      <c r="M682">
        <v>-750</v>
      </c>
      <c r="N682">
        <v>120.94670000000001</v>
      </c>
      <c r="O682">
        <v>0.655883141</v>
      </c>
      <c r="P682">
        <v>14337.099609999999</v>
      </c>
      <c r="Q682">
        <v>26.22</v>
      </c>
      <c r="R682">
        <v>5.08</v>
      </c>
      <c r="S682">
        <v>83.64</v>
      </c>
      <c r="T682">
        <v>25</v>
      </c>
      <c r="U682" s="1" t="s">
        <v>42</v>
      </c>
      <c r="V682">
        <v>-1.96</v>
      </c>
    </row>
    <row r="683" spans="1:22" x14ac:dyDescent="0.3">
      <c r="A683" s="2">
        <v>44646</v>
      </c>
      <c r="B683">
        <v>37500</v>
      </c>
      <c r="C683">
        <v>815</v>
      </c>
      <c r="D683">
        <v>3</v>
      </c>
      <c r="E683" s="1" t="s">
        <v>22</v>
      </c>
      <c r="F683">
        <v>5</v>
      </c>
      <c r="G683" s="1" t="s">
        <v>23</v>
      </c>
      <c r="J683">
        <v>37500</v>
      </c>
      <c r="L683">
        <v>40000</v>
      </c>
      <c r="M683">
        <v>0</v>
      </c>
      <c r="N683">
        <v>120.94670000000001</v>
      </c>
      <c r="O683">
        <v>0.655883141</v>
      </c>
      <c r="P683">
        <v>14337.099609999999</v>
      </c>
      <c r="Q683">
        <v>26.57</v>
      </c>
      <c r="R683">
        <v>4.9000000000000004</v>
      </c>
      <c r="S683">
        <v>80.47</v>
      </c>
      <c r="T683">
        <v>26</v>
      </c>
      <c r="U683" s="1" t="s">
        <v>42</v>
      </c>
      <c r="V683">
        <v>-1.96</v>
      </c>
    </row>
    <row r="684" spans="1:22" x14ac:dyDescent="0.3">
      <c r="A684" s="2">
        <v>44647</v>
      </c>
      <c r="B684">
        <v>37500</v>
      </c>
      <c r="C684">
        <v>816</v>
      </c>
      <c r="D684">
        <v>3</v>
      </c>
      <c r="E684" s="1" t="s">
        <v>22</v>
      </c>
      <c r="F684">
        <v>6</v>
      </c>
      <c r="G684" s="1" t="s">
        <v>23</v>
      </c>
      <c r="H684">
        <v>38000</v>
      </c>
      <c r="J684">
        <v>37500</v>
      </c>
      <c r="L684">
        <v>40500</v>
      </c>
      <c r="M684">
        <v>0</v>
      </c>
      <c r="N684">
        <v>120.94670000000001</v>
      </c>
      <c r="O684">
        <v>0.655883141</v>
      </c>
      <c r="P684">
        <v>14337.099609999999</v>
      </c>
      <c r="Q684">
        <v>26.57</v>
      </c>
      <c r="R684">
        <v>3.62</v>
      </c>
      <c r="S684">
        <v>82.12</v>
      </c>
      <c r="T684">
        <v>27</v>
      </c>
      <c r="U684" s="1" t="s">
        <v>42</v>
      </c>
      <c r="V684">
        <v>-1.96</v>
      </c>
    </row>
    <row r="685" spans="1:22" x14ac:dyDescent="0.3">
      <c r="A685" s="2">
        <v>44648</v>
      </c>
      <c r="B685">
        <v>37150</v>
      </c>
      <c r="C685">
        <v>817</v>
      </c>
      <c r="D685">
        <v>3</v>
      </c>
      <c r="E685" s="1" t="s">
        <v>22</v>
      </c>
      <c r="F685">
        <v>0</v>
      </c>
      <c r="G685" s="1" t="s">
        <v>23</v>
      </c>
      <c r="H685">
        <v>37807.142857142855</v>
      </c>
      <c r="J685">
        <v>37500</v>
      </c>
      <c r="K685">
        <v>38500</v>
      </c>
      <c r="L685">
        <v>40500</v>
      </c>
      <c r="M685">
        <v>-350</v>
      </c>
      <c r="N685">
        <v>120.94670000000001</v>
      </c>
      <c r="O685">
        <v>0.655883141</v>
      </c>
      <c r="P685">
        <v>14334</v>
      </c>
      <c r="Q685">
        <v>26.59</v>
      </c>
      <c r="R685">
        <v>12.82</v>
      </c>
      <c r="S685">
        <v>81.239999999999995</v>
      </c>
      <c r="T685">
        <v>28</v>
      </c>
      <c r="U685" s="1" t="s">
        <v>77</v>
      </c>
      <c r="V685">
        <v>-0.93</v>
      </c>
    </row>
    <row r="686" spans="1:22" x14ac:dyDescent="0.3">
      <c r="A686" s="2">
        <v>44649</v>
      </c>
      <c r="B686">
        <v>37500</v>
      </c>
      <c r="C686">
        <v>818</v>
      </c>
      <c r="D686">
        <v>3</v>
      </c>
      <c r="E686" s="1" t="s">
        <v>22</v>
      </c>
      <c r="F686">
        <v>1</v>
      </c>
      <c r="G686" s="1" t="s">
        <v>23</v>
      </c>
      <c r="H686">
        <v>37664.285714285717</v>
      </c>
      <c r="J686">
        <v>37150</v>
      </c>
      <c r="K686">
        <v>38500</v>
      </c>
      <c r="L686">
        <v>40500</v>
      </c>
      <c r="M686">
        <v>350</v>
      </c>
      <c r="N686">
        <v>120.94670000000001</v>
      </c>
      <c r="O686">
        <v>0.655883141</v>
      </c>
      <c r="P686">
        <v>14373</v>
      </c>
      <c r="Q686">
        <v>26.65</v>
      </c>
      <c r="R686">
        <v>13</v>
      </c>
      <c r="S686">
        <v>82.63</v>
      </c>
      <c r="T686">
        <v>29</v>
      </c>
      <c r="U686" s="1" t="s">
        <v>68</v>
      </c>
      <c r="V686">
        <v>0.94</v>
      </c>
    </row>
    <row r="687" spans="1:22" x14ac:dyDescent="0.3">
      <c r="A687" s="2">
        <v>44650</v>
      </c>
      <c r="B687">
        <v>37500</v>
      </c>
      <c r="C687">
        <v>819</v>
      </c>
      <c r="D687">
        <v>3</v>
      </c>
      <c r="E687" s="1" t="s">
        <v>22</v>
      </c>
      <c r="F687">
        <v>2</v>
      </c>
      <c r="G687" s="1" t="s">
        <v>23</v>
      </c>
      <c r="H687">
        <v>37557.142857142855</v>
      </c>
      <c r="J687">
        <v>37500</v>
      </c>
      <c r="K687">
        <v>38250</v>
      </c>
      <c r="L687">
        <v>40500</v>
      </c>
      <c r="M687">
        <v>0</v>
      </c>
      <c r="N687">
        <v>120.94670000000001</v>
      </c>
      <c r="O687">
        <v>0.655883141</v>
      </c>
      <c r="P687">
        <v>14334</v>
      </c>
      <c r="Q687">
        <v>26.18</v>
      </c>
      <c r="R687">
        <v>8.11</v>
      </c>
      <c r="S687">
        <v>85.42</v>
      </c>
      <c r="T687">
        <v>30</v>
      </c>
      <c r="U687" s="1" t="s">
        <v>25</v>
      </c>
      <c r="V687">
        <v>0</v>
      </c>
    </row>
    <row r="688" spans="1:22" x14ac:dyDescent="0.3">
      <c r="A688" s="2">
        <v>44651</v>
      </c>
      <c r="B688">
        <v>36750</v>
      </c>
      <c r="C688">
        <v>820</v>
      </c>
      <c r="D688">
        <v>3</v>
      </c>
      <c r="E688" s="1" t="s">
        <v>22</v>
      </c>
      <c r="F688">
        <v>3</v>
      </c>
      <c r="G688" s="1" t="s">
        <v>23</v>
      </c>
      <c r="H688">
        <v>37342.857142857145</v>
      </c>
      <c r="J688">
        <v>37500</v>
      </c>
      <c r="K688">
        <v>38250</v>
      </c>
      <c r="L688">
        <v>39500</v>
      </c>
      <c r="M688">
        <v>-750</v>
      </c>
      <c r="N688">
        <v>120.94670000000001</v>
      </c>
      <c r="O688">
        <v>0.655883141</v>
      </c>
      <c r="P688">
        <v>14327.5</v>
      </c>
      <c r="Q688">
        <v>26.81</v>
      </c>
      <c r="R688">
        <v>1.08</v>
      </c>
      <c r="S688">
        <v>80.87</v>
      </c>
      <c r="T688">
        <v>31</v>
      </c>
      <c r="U688" s="1" t="s">
        <v>42</v>
      </c>
      <c r="V688">
        <v>-2</v>
      </c>
    </row>
    <row r="689" spans="1:22" x14ac:dyDescent="0.3">
      <c r="A689" s="2">
        <v>44652</v>
      </c>
      <c r="B689">
        <v>36750</v>
      </c>
      <c r="C689">
        <v>821</v>
      </c>
      <c r="D689">
        <v>4</v>
      </c>
      <c r="E689" s="1" t="s">
        <v>43</v>
      </c>
      <c r="F689">
        <v>4</v>
      </c>
      <c r="G689" s="1" t="s">
        <v>23</v>
      </c>
      <c r="H689">
        <v>37235.714285714283</v>
      </c>
      <c r="J689">
        <v>36750</v>
      </c>
      <c r="K689">
        <v>37500</v>
      </c>
      <c r="L689">
        <v>39500</v>
      </c>
      <c r="M689">
        <v>0</v>
      </c>
      <c r="N689">
        <v>122.0902</v>
      </c>
      <c r="O689">
        <v>0.94545779299999999</v>
      </c>
      <c r="P689">
        <v>14351</v>
      </c>
      <c r="Q689">
        <v>26.33</v>
      </c>
      <c r="R689">
        <v>2.23</v>
      </c>
      <c r="S689">
        <v>83.1</v>
      </c>
      <c r="T689">
        <v>1</v>
      </c>
      <c r="U689" s="1" t="s">
        <v>25</v>
      </c>
      <c r="V689">
        <v>0</v>
      </c>
    </row>
    <row r="690" spans="1:22" x14ac:dyDescent="0.3">
      <c r="A690" s="2">
        <v>44653</v>
      </c>
      <c r="B690">
        <v>36750</v>
      </c>
      <c r="C690">
        <v>822</v>
      </c>
      <c r="D690">
        <v>4</v>
      </c>
      <c r="E690" s="1" t="s">
        <v>43</v>
      </c>
      <c r="F690">
        <v>5</v>
      </c>
      <c r="G690" s="1" t="s">
        <v>23</v>
      </c>
      <c r="H690">
        <v>37128.571428571428</v>
      </c>
      <c r="J690">
        <v>36750</v>
      </c>
      <c r="K690">
        <v>37500</v>
      </c>
      <c r="M690">
        <v>0</v>
      </c>
      <c r="N690">
        <v>122.0902</v>
      </c>
      <c r="O690">
        <v>0.94545779299999999</v>
      </c>
      <c r="P690">
        <v>14351</v>
      </c>
      <c r="Q690">
        <v>26.52</v>
      </c>
      <c r="R690">
        <v>25.48</v>
      </c>
      <c r="S690">
        <v>80.86</v>
      </c>
      <c r="T690">
        <v>2</v>
      </c>
      <c r="U690" s="1" t="s">
        <v>25</v>
      </c>
      <c r="V690">
        <v>0</v>
      </c>
    </row>
    <row r="691" spans="1:22" x14ac:dyDescent="0.3">
      <c r="A691" s="2">
        <v>44654</v>
      </c>
      <c r="B691">
        <v>36750</v>
      </c>
      <c r="C691">
        <v>823</v>
      </c>
      <c r="D691">
        <v>4</v>
      </c>
      <c r="E691" s="1" t="s">
        <v>43</v>
      </c>
      <c r="F691">
        <v>6</v>
      </c>
      <c r="G691" s="1" t="s">
        <v>23</v>
      </c>
      <c r="H691">
        <v>37021.428571428572</v>
      </c>
      <c r="J691">
        <v>36750</v>
      </c>
      <c r="K691">
        <v>37500</v>
      </c>
      <c r="L691">
        <v>39500</v>
      </c>
      <c r="M691">
        <v>0</v>
      </c>
      <c r="N691">
        <v>122.0902</v>
      </c>
      <c r="O691">
        <v>0.94545779299999999</v>
      </c>
      <c r="P691">
        <v>14351</v>
      </c>
      <c r="Q691">
        <v>26.4</v>
      </c>
      <c r="R691">
        <v>17.45</v>
      </c>
      <c r="S691">
        <v>80.62</v>
      </c>
      <c r="T691">
        <v>3</v>
      </c>
      <c r="U691" s="1" t="s">
        <v>25</v>
      </c>
      <c r="V691">
        <v>0</v>
      </c>
    </row>
    <row r="692" spans="1:22" x14ac:dyDescent="0.3">
      <c r="A692" s="2">
        <v>44655</v>
      </c>
      <c r="B692">
        <v>36750</v>
      </c>
      <c r="C692">
        <v>824</v>
      </c>
      <c r="D692">
        <v>4</v>
      </c>
      <c r="E692" s="1" t="s">
        <v>43</v>
      </c>
      <c r="F692">
        <v>0</v>
      </c>
      <c r="G692" s="1" t="s">
        <v>23</v>
      </c>
      <c r="H692">
        <v>36964.285714285717</v>
      </c>
      <c r="J692">
        <v>36750</v>
      </c>
      <c r="K692">
        <v>37150</v>
      </c>
      <c r="L692">
        <v>39500</v>
      </c>
      <c r="M692">
        <v>0</v>
      </c>
      <c r="N692">
        <v>122.0902</v>
      </c>
      <c r="O692">
        <v>0.94545779299999999</v>
      </c>
      <c r="P692">
        <v>14361</v>
      </c>
      <c r="Q692">
        <v>26.35</v>
      </c>
      <c r="R692">
        <v>6.28</v>
      </c>
      <c r="S692">
        <v>85.41</v>
      </c>
      <c r="T692">
        <v>4</v>
      </c>
      <c r="U692" s="1"/>
      <c r="V692">
        <v>0</v>
      </c>
    </row>
    <row r="693" spans="1:22" x14ac:dyDescent="0.3">
      <c r="A693" s="2">
        <v>44656</v>
      </c>
      <c r="B693">
        <v>36750</v>
      </c>
      <c r="C693">
        <v>825</v>
      </c>
      <c r="D693">
        <v>4</v>
      </c>
      <c r="E693" s="1" t="s">
        <v>43</v>
      </c>
      <c r="F693">
        <v>1</v>
      </c>
      <c r="G693" s="1" t="s">
        <v>23</v>
      </c>
      <c r="H693">
        <v>36857.142857142855</v>
      </c>
      <c r="J693">
        <v>36750</v>
      </c>
      <c r="K693">
        <v>37500</v>
      </c>
      <c r="L693">
        <v>39500</v>
      </c>
      <c r="M693">
        <v>0</v>
      </c>
      <c r="N693">
        <v>122.0902</v>
      </c>
      <c r="O693">
        <v>0.94545779299999999</v>
      </c>
      <c r="P693">
        <v>14322.299800000001</v>
      </c>
      <c r="Q693">
        <v>27.08</v>
      </c>
      <c r="R693">
        <v>5.72</v>
      </c>
      <c r="S693">
        <v>81.8</v>
      </c>
      <c r="T693">
        <v>5</v>
      </c>
      <c r="U693" s="1" t="s">
        <v>25</v>
      </c>
      <c r="V693">
        <v>0</v>
      </c>
    </row>
    <row r="694" spans="1:22" x14ac:dyDescent="0.3">
      <c r="A694" s="2">
        <v>44657</v>
      </c>
      <c r="B694">
        <v>36750</v>
      </c>
      <c r="C694">
        <v>826</v>
      </c>
      <c r="D694">
        <v>4</v>
      </c>
      <c r="E694" s="1" t="s">
        <v>43</v>
      </c>
      <c r="F694">
        <v>2</v>
      </c>
      <c r="G694" s="1" t="s">
        <v>23</v>
      </c>
      <c r="H694">
        <v>36750</v>
      </c>
      <c r="J694">
        <v>36750</v>
      </c>
      <c r="K694">
        <v>37500</v>
      </c>
      <c r="L694">
        <v>40150</v>
      </c>
      <c r="M694">
        <v>0</v>
      </c>
      <c r="N694">
        <v>122.0902</v>
      </c>
      <c r="O694">
        <v>0.94545779299999999</v>
      </c>
      <c r="P694">
        <v>14365.5</v>
      </c>
      <c r="Q694">
        <v>27.27</v>
      </c>
      <c r="R694">
        <v>10.14</v>
      </c>
      <c r="S694">
        <v>83.08</v>
      </c>
      <c r="T694">
        <v>6</v>
      </c>
      <c r="U694" s="1" t="s">
        <v>25</v>
      </c>
      <c r="V694">
        <v>0</v>
      </c>
    </row>
    <row r="695" spans="1:22" x14ac:dyDescent="0.3">
      <c r="A695" s="2">
        <v>44658</v>
      </c>
      <c r="B695">
        <v>36750</v>
      </c>
      <c r="C695">
        <v>827</v>
      </c>
      <c r="D695">
        <v>4</v>
      </c>
      <c r="E695" s="1" t="s">
        <v>43</v>
      </c>
      <c r="F695">
        <v>3</v>
      </c>
      <c r="G695" s="1" t="s">
        <v>23</v>
      </c>
      <c r="H695">
        <v>36750</v>
      </c>
      <c r="J695">
        <v>36750</v>
      </c>
      <c r="K695">
        <v>36750</v>
      </c>
      <c r="L695">
        <v>40150</v>
      </c>
      <c r="M695">
        <v>0</v>
      </c>
      <c r="N695">
        <v>122.0902</v>
      </c>
      <c r="O695">
        <v>0.94545779299999999</v>
      </c>
      <c r="P695">
        <v>14382</v>
      </c>
      <c r="Q695">
        <v>27.61</v>
      </c>
      <c r="R695">
        <v>1.89</v>
      </c>
      <c r="S695">
        <v>78.790000000000006</v>
      </c>
      <c r="T695">
        <v>7</v>
      </c>
      <c r="U695" s="1" t="s">
        <v>25</v>
      </c>
      <c r="V695">
        <v>0</v>
      </c>
    </row>
    <row r="696" spans="1:22" x14ac:dyDescent="0.3">
      <c r="A696" s="2">
        <v>44659</v>
      </c>
      <c r="B696">
        <v>36500</v>
      </c>
      <c r="C696">
        <v>828</v>
      </c>
      <c r="D696">
        <v>4</v>
      </c>
      <c r="E696" s="1" t="s">
        <v>43</v>
      </c>
      <c r="F696">
        <v>4</v>
      </c>
      <c r="G696" s="1" t="s">
        <v>23</v>
      </c>
      <c r="H696">
        <v>36714.285714285717</v>
      </c>
      <c r="J696">
        <v>36750</v>
      </c>
      <c r="K696">
        <v>36750</v>
      </c>
      <c r="L696">
        <v>40150</v>
      </c>
      <c r="M696">
        <v>-250</v>
      </c>
      <c r="N696">
        <v>122.0902</v>
      </c>
      <c r="O696">
        <v>0.94545779299999999</v>
      </c>
      <c r="P696">
        <v>14385</v>
      </c>
      <c r="Q696">
        <v>27.52</v>
      </c>
      <c r="R696">
        <v>2.64</v>
      </c>
      <c r="S696">
        <v>82.3</v>
      </c>
      <c r="T696">
        <v>8</v>
      </c>
      <c r="U696" s="1" t="s">
        <v>35</v>
      </c>
      <c r="V696">
        <v>-0.68</v>
      </c>
    </row>
    <row r="697" spans="1:22" x14ac:dyDescent="0.3">
      <c r="A697" s="2">
        <v>44660</v>
      </c>
      <c r="B697">
        <v>36500</v>
      </c>
      <c r="C697">
        <v>829</v>
      </c>
      <c r="D697">
        <v>4</v>
      </c>
      <c r="E697" s="1" t="s">
        <v>43</v>
      </c>
      <c r="F697">
        <v>5</v>
      </c>
      <c r="G697" s="1" t="s">
        <v>23</v>
      </c>
      <c r="H697">
        <v>36678.571428571428</v>
      </c>
      <c r="J697">
        <v>36500</v>
      </c>
      <c r="K697">
        <v>36750</v>
      </c>
      <c r="L697">
        <v>40150</v>
      </c>
      <c r="M697">
        <v>0</v>
      </c>
      <c r="N697">
        <v>122.0902</v>
      </c>
      <c r="O697">
        <v>0.94545779299999999</v>
      </c>
      <c r="P697">
        <v>14385</v>
      </c>
      <c r="Q697">
        <v>27.3</v>
      </c>
      <c r="R697">
        <v>13.3</v>
      </c>
      <c r="S697">
        <v>83.6</v>
      </c>
      <c r="T697">
        <v>9</v>
      </c>
      <c r="U697" s="1" t="s">
        <v>35</v>
      </c>
      <c r="V697">
        <v>-0.68</v>
      </c>
    </row>
    <row r="698" spans="1:22" x14ac:dyDescent="0.3">
      <c r="A698" s="2">
        <v>44661</v>
      </c>
      <c r="B698">
        <v>36500</v>
      </c>
      <c r="C698">
        <v>830</v>
      </c>
      <c r="D698">
        <v>4</v>
      </c>
      <c r="E698" s="1" t="s">
        <v>43</v>
      </c>
      <c r="F698">
        <v>6</v>
      </c>
      <c r="G698" s="1" t="s">
        <v>23</v>
      </c>
      <c r="H698">
        <v>36642.857142857145</v>
      </c>
      <c r="J698">
        <v>36500</v>
      </c>
      <c r="K698">
        <v>36750</v>
      </c>
      <c r="L698">
        <v>39900</v>
      </c>
      <c r="M698">
        <v>0</v>
      </c>
      <c r="N698">
        <v>122.0902</v>
      </c>
      <c r="O698">
        <v>0.94545779299999999</v>
      </c>
      <c r="P698">
        <v>14385</v>
      </c>
      <c r="Q698">
        <v>27.62</v>
      </c>
      <c r="R698">
        <v>6.29</v>
      </c>
      <c r="S698">
        <v>79.56</v>
      </c>
      <c r="T698">
        <v>10</v>
      </c>
      <c r="U698" s="1" t="s">
        <v>35</v>
      </c>
      <c r="V698">
        <v>-0.68</v>
      </c>
    </row>
    <row r="699" spans="1:22" x14ac:dyDescent="0.3">
      <c r="A699" s="2">
        <v>44662</v>
      </c>
      <c r="B699">
        <v>36500</v>
      </c>
      <c r="C699">
        <v>831</v>
      </c>
      <c r="D699">
        <v>4</v>
      </c>
      <c r="E699" s="1" t="s">
        <v>43</v>
      </c>
      <c r="F699">
        <v>0</v>
      </c>
      <c r="G699" s="1" t="s">
        <v>23</v>
      </c>
      <c r="H699">
        <v>36607.142857142855</v>
      </c>
      <c r="J699">
        <v>36500</v>
      </c>
      <c r="K699">
        <v>36750</v>
      </c>
      <c r="L699">
        <v>39900</v>
      </c>
      <c r="M699">
        <v>0</v>
      </c>
      <c r="N699">
        <v>122.0902</v>
      </c>
      <c r="O699">
        <v>0.94545779299999999</v>
      </c>
      <c r="P699">
        <v>14355</v>
      </c>
      <c r="Q699">
        <v>27</v>
      </c>
      <c r="R699">
        <v>8.86</v>
      </c>
      <c r="S699">
        <v>82.96</v>
      </c>
      <c r="T699">
        <v>11</v>
      </c>
      <c r="U699" s="1" t="s">
        <v>25</v>
      </c>
      <c r="V699">
        <v>0</v>
      </c>
    </row>
    <row r="700" spans="1:22" x14ac:dyDescent="0.3">
      <c r="A700" s="2">
        <v>44663</v>
      </c>
      <c r="B700">
        <v>35900</v>
      </c>
      <c r="C700">
        <v>832</v>
      </c>
      <c r="D700">
        <v>4</v>
      </c>
      <c r="E700" s="1" t="s">
        <v>43</v>
      </c>
      <c r="F700">
        <v>1</v>
      </c>
      <c r="G700" s="1" t="s">
        <v>23</v>
      </c>
      <c r="H700">
        <v>36485.714285714283</v>
      </c>
      <c r="J700">
        <v>36500</v>
      </c>
      <c r="K700">
        <v>36750</v>
      </c>
      <c r="L700">
        <v>39900</v>
      </c>
      <c r="M700">
        <v>-600</v>
      </c>
      <c r="N700">
        <v>122.0902</v>
      </c>
      <c r="O700">
        <v>0.94545779299999999</v>
      </c>
      <c r="P700">
        <v>14360.700199999999</v>
      </c>
      <c r="Q700">
        <v>27.57</v>
      </c>
      <c r="R700">
        <v>2.65</v>
      </c>
      <c r="S700">
        <v>77.67</v>
      </c>
      <c r="T700">
        <v>12</v>
      </c>
      <c r="U700" s="1" t="s">
        <v>62</v>
      </c>
      <c r="V700">
        <v>-1.64</v>
      </c>
    </row>
    <row r="701" spans="1:22" x14ac:dyDescent="0.3">
      <c r="A701" s="2">
        <v>44664</v>
      </c>
      <c r="B701">
        <v>35900</v>
      </c>
      <c r="C701">
        <v>833</v>
      </c>
      <c r="D701">
        <v>4</v>
      </c>
      <c r="E701" s="1" t="s">
        <v>43</v>
      </c>
      <c r="F701">
        <v>2</v>
      </c>
      <c r="G701" s="1" t="s">
        <v>23</v>
      </c>
      <c r="H701">
        <v>36364.285714285717</v>
      </c>
      <c r="J701">
        <v>35900</v>
      </c>
      <c r="K701">
        <v>36750</v>
      </c>
      <c r="L701">
        <v>39650</v>
      </c>
      <c r="M701">
        <v>0</v>
      </c>
      <c r="N701">
        <v>122.0902</v>
      </c>
      <c r="O701">
        <v>0.94545779299999999</v>
      </c>
      <c r="P701">
        <v>14364.200199999999</v>
      </c>
      <c r="Q701">
        <v>27.07</v>
      </c>
      <c r="R701">
        <v>8.42</v>
      </c>
      <c r="S701">
        <v>82.18</v>
      </c>
      <c r="T701">
        <v>13</v>
      </c>
      <c r="U701" s="1" t="s">
        <v>25</v>
      </c>
      <c r="V701">
        <v>0</v>
      </c>
    </row>
    <row r="702" spans="1:22" x14ac:dyDescent="0.3">
      <c r="A702" s="2">
        <v>44665</v>
      </c>
      <c r="B702">
        <v>35900</v>
      </c>
      <c r="C702">
        <v>834</v>
      </c>
      <c r="D702">
        <v>4</v>
      </c>
      <c r="E702" s="1" t="s">
        <v>43</v>
      </c>
      <c r="F702">
        <v>3</v>
      </c>
      <c r="G702" s="1" t="s">
        <v>23</v>
      </c>
      <c r="H702">
        <v>36242.857142857145</v>
      </c>
      <c r="J702">
        <v>35900</v>
      </c>
      <c r="K702">
        <v>36750</v>
      </c>
      <c r="L702">
        <v>39900</v>
      </c>
      <c r="M702">
        <v>0</v>
      </c>
      <c r="N702">
        <v>122.0902</v>
      </c>
      <c r="O702">
        <v>0.94545779299999999</v>
      </c>
      <c r="P702">
        <v>14360.200199999999</v>
      </c>
      <c r="Q702">
        <v>27.27</v>
      </c>
      <c r="R702">
        <v>2.92</v>
      </c>
      <c r="S702">
        <v>79.180000000000007</v>
      </c>
      <c r="T702">
        <v>14</v>
      </c>
      <c r="U702" s="1" t="s">
        <v>25</v>
      </c>
      <c r="V702">
        <v>0</v>
      </c>
    </row>
    <row r="703" spans="1:22" x14ac:dyDescent="0.3">
      <c r="A703" s="2">
        <v>44669</v>
      </c>
      <c r="B703">
        <v>37650</v>
      </c>
      <c r="C703">
        <v>838</v>
      </c>
      <c r="D703">
        <v>4</v>
      </c>
      <c r="E703" s="1" t="s">
        <v>43</v>
      </c>
      <c r="F703">
        <v>0</v>
      </c>
      <c r="G703" s="1" t="s">
        <v>44</v>
      </c>
      <c r="K703">
        <v>36500</v>
      </c>
      <c r="N703">
        <v>122.0902</v>
      </c>
      <c r="O703">
        <v>0.94545779299999999</v>
      </c>
      <c r="P703">
        <v>14337</v>
      </c>
      <c r="Q703">
        <v>27.36</v>
      </c>
      <c r="R703">
        <v>0.33</v>
      </c>
      <c r="S703">
        <v>77.92</v>
      </c>
      <c r="T703">
        <v>18</v>
      </c>
      <c r="U703" s="1"/>
      <c r="V703">
        <v>0</v>
      </c>
    </row>
    <row r="704" spans="1:22" x14ac:dyDescent="0.3">
      <c r="A704" s="2">
        <v>44670</v>
      </c>
      <c r="B704">
        <v>37650</v>
      </c>
      <c r="C704">
        <v>839</v>
      </c>
      <c r="D704">
        <v>4</v>
      </c>
      <c r="E704" s="1" t="s">
        <v>43</v>
      </c>
      <c r="F704">
        <v>1</v>
      </c>
      <c r="G704" s="1" t="s">
        <v>23</v>
      </c>
      <c r="J704">
        <v>37650</v>
      </c>
      <c r="K704">
        <v>35900</v>
      </c>
      <c r="M704">
        <v>0</v>
      </c>
      <c r="N704">
        <v>122.0902</v>
      </c>
      <c r="O704">
        <v>0.94545779299999999</v>
      </c>
      <c r="P704">
        <v>14353.799800000001</v>
      </c>
      <c r="Q704">
        <v>27.27</v>
      </c>
      <c r="R704">
        <v>4.63</v>
      </c>
      <c r="S704">
        <v>84.01</v>
      </c>
      <c r="T704">
        <v>19</v>
      </c>
      <c r="U704" s="1" t="s">
        <v>25</v>
      </c>
      <c r="V704">
        <v>0</v>
      </c>
    </row>
    <row r="705" spans="1:22" x14ac:dyDescent="0.3">
      <c r="A705" s="2">
        <v>44671</v>
      </c>
      <c r="B705">
        <v>37650</v>
      </c>
      <c r="C705">
        <v>840</v>
      </c>
      <c r="D705">
        <v>4</v>
      </c>
      <c r="E705" s="1" t="s">
        <v>43</v>
      </c>
      <c r="F705">
        <v>2</v>
      </c>
      <c r="G705" s="1" t="s">
        <v>23</v>
      </c>
      <c r="J705">
        <v>37650</v>
      </c>
      <c r="K705">
        <v>35900</v>
      </c>
      <c r="L705">
        <v>38500</v>
      </c>
      <c r="M705">
        <v>0</v>
      </c>
      <c r="N705">
        <v>122.0902</v>
      </c>
      <c r="O705">
        <v>0.94545779299999999</v>
      </c>
      <c r="P705">
        <v>14364.900390000001</v>
      </c>
      <c r="Q705">
        <v>27.39</v>
      </c>
      <c r="R705">
        <v>5.12</v>
      </c>
      <c r="S705">
        <v>84.11</v>
      </c>
      <c r="T705">
        <v>20</v>
      </c>
      <c r="U705" s="1" t="s">
        <v>25</v>
      </c>
      <c r="V705">
        <v>0</v>
      </c>
    </row>
    <row r="706" spans="1:22" x14ac:dyDescent="0.3">
      <c r="A706" s="2">
        <v>44672</v>
      </c>
      <c r="B706">
        <v>36750</v>
      </c>
      <c r="C706">
        <v>841</v>
      </c>
      <c r="D706">
        <v>4</v>
      </c>
      <c r="E706" s="1" t="s">
        <v>43</v>
      </c>
      <c r="F706">
        <v>3</v>
      </c>
      <c r="G706" s="1" t="s">
        <v>23</v>
      </c>
      <c r="J706">
        <v>37650</v>
      </c>
      <c r="K706">
        <v>35900</v>
      </c>
      <c r="L706">
        <v>38500</v>
      </c>
      <c r="M706">
        <v>-900</v>
      </c>
      <c r="N706">
        <v>122.0902</v>
      </c>
      <c r="O706">
        <v>0.94545779299999999</v>
      </c>
      <c r="P706">
        <v>14351</v>
      </c>
      <c r="Q706">
        <v>27.05</v>
      </c>
      <c r="R706">
        <v>5.23</v>
      </c>
      <c r="S706">
        <v>83.03</v>
      </c>
      <c r="T706">
        <v>21</v>
      </c>
      <c r="U706" s="1" t="s">
        <v>67</v>
      </c>
      <c r="V706">
        <v>-2.39</v>
      </c>
    </row>
    <row r="707" spans="1:22" x14ac:dyDescent="0.3">
      <c r="A707" s="2">
        <v>44673</v>
      </c>
      <c r="B707">
        <v>36750</v>
      </c>
      <c r="C707">
        <v>842</v>
      </c>
      <c r="D707">
        <v>4</v>
      </c>
      <c r="E707" s="1" t="s">
        <v>43</v>
      </c>
      <c r="F707">
        <v>4</v>
      </c>
      <c r="G707" s="1" t="s">
        <v>23</v>
      </c>
      <c r="J707">
        <v>36750</v>
      </c>
      <c r="L707">
        <v>38250</v>
      </c>
      <c r="M707">
        <v>0</v>
      </c>
      <c r="N707">
        <v>122.0902</v>
      </c>
      <c r="O707">
        <v>0.94545779299999999</v>
      </c>
      <c r="P707">
        <v>14382</v>
      </c>
      <c r="Q707">
        <v>26.51</v>
      </c>
      <c r="R707">
        <v>6.69</v>
      </c>
      <c r="S707">
        <v>85.63</v>
      </c>
      <c r="T707">
        <v>22</v>
      </c>
      <c r="U707" s="1" t="s">
        <v>25</v>
      </c>
      <c r="V707">
        <v>0</v>
      </c>
    </row>
    <row r="708" spans="1:22" x14ac:dyDescent="0.3">
      <c r="A708" s="2">
        <v>44676</v>
      </c>
      <c r="B708">
        <v>35900</v>
      </c>
      <c r="C708">
        <v>845</v>
      </c>
      <c r="D708">
        <v>4</v>
      </c>
      <c r="E708" s="1" t="s">
        <v>43</v>
      </c>
      <c r="F708">
        <v>0</v>
      </c>
      <c r="G708" s="1" t="s">
        <v>23</v>
      </c>
      <c r="K708">
        <v>37650</v>
      </c>
      <c r="L708">
        <v>37500</v>
      </c>
      <c r="N708">
        <v>122.0902</v>
      </c>
      <c r="O708">
        <v>0.94545779299999999</v>
      </c>
      <c r="P708">
        <v>14350</v>
      </c>
      <c r="Q708">
        <v>27.2</v>
      </c>
      <c r="R708">
        <v>3.04</v>
      </c>
      <c r="S708">
        <v>83.59</v>
      </c>
      <c r="T708">
        <v>25</v>
      </c>
      <c r="U708" s="1" t="s">
        <v>60</v>
      </c>
      <c r="V708">
        <v>-2.31</v>
      </c>
    </row>
    <row r="709" spans="1:22" x14ac:dyDescent="0.3">
      <c r="A709" s="2">
        <v>44677</v>
      </c>
      <c r="B709">
        <v>35400</v>
      </c>
      <c r="C709">
        <v>846</v>
      </c>
      <c r="D709">
        <v>4</v>
      </c>
      <c r="E709" s="1" t="s">
        <v>43</v>
      </c>
      <c r="F709">
        <v>1</v>
      </c>
      <c r="G709" s="1" t="s">
        <v>23</v>
      </c>
      <c r="J709">
        <v>35900</v>
      </c>
      <c r="K709">
        <v>37650</v>
      </c>
      <c r="L709">
        <v>37500</v>
      </c>
      <c r="M709">
        <v>-500</v>
      </c>
      <c r="N709">
        <v>122.0902</v>
      </c>
      <c r="O709">
        <v>0.94545779299999999</v>
      </c>
      <c r="P709">
        <v>14478</v>
      </c>
      <c r="Q709">
        <v>27.17</v>
      </c>
      <c r="R709">
        <v>29.16</v>
      </c>
      <c r="S709">
        <v>82.2</v>
      </c>
      <c r="T709">
        <v>26</v>
      </c>
      <c r="U709" s="1" t="s">
        <v>24</v>
      </c>
      <c r="V709">
        <v>-1.39</v>
      </c>
    </row>
    <row r="710" spans="1:22" x14ac:dyDescent="0.3">
      <c r="A710" s="2">
        <v>44678</v>
      </c>
      <c r="B710">
        <v>35900</v>
      </c>
      <c r="C710">
        <v>847</v>
      </c>
      <c r="D710">
        <v>4</v>
      </c>
      <c r="E710" s="1" t="s">
        <v>43</v>
      </c>
      <c r="F710">
        <v>2</v>
      </c>
      <c r="G710" s="1" t="s">
        <v>23</v>
      </c>
      <c r="J710">
        <v>35400</v>
      </c>
      <c r="K710">
        <v>37650</v>
      </c>
      <c r="L710">
        <v>37150</v>
      </c>
      <c r="M710">
        <v>500</v>
      </c>
      <c r="N710">
        <v>122.0902</v>
      </c>
      <c r="O710">
        <v>0.94545779299999999</v>
      </c>
      <c r="P710">
        <v>14466</v>
      </c>
      <c r="Q710">
        <v>26.52</v>
      </c>
      <c r="R710">
        <v>31.46</v>
      </c>
      <c r="S710">
        <v>86.8</v>
      </c>
      <c r="T710">
        <v>27</v>
      </c>
      <c r="U710" s="1" t="s">
        <v>26</v>
      </c>
      <c r="V710">
        <v>1.41</v>
      </c>
    </row>
    <row r="711" spans="1:22" x14ac:dyDescent="0.3">
      <c r="A711" s="2">
        <v>44679</v>
      </c>
      <c r="B711">
        <v>35900</v>
      </c>
      <c r="C711">
        <v>848</v>
      </c>
      <c r="D711">
        <v>4</v>
      </c>
      <c r="E711" s="1" t="s">
        <v>43</v>
      </c>
      <c r="F711">
        <v>3</v>
      </c>
      <c r="G711" s="1" t="s">
        <v>23</v>
      </c>
      <c r="J711">
        <v>35900</v>
      </c>
      <c r="K711">
        <v>36750</v>
      </c>
      <c r="L711">
        <v>37500</v>
      </c>
      <c r="M711">
        <v>0</v>
      </c>
      <c r="N711">
        <v>122.0902</v>
      </c>
      <c r="O711">
        <v>0.94545779299999999</v>
      </c>
      <c r="P711">
        <v>14447.5</v>
      </c>
      <c r="Q711">
        <v>26.32</v>
      </c>
      <c r="R711">
        <v>24.84</v>
      </c>
      <c r="S711">
        <v>89.33</v>
      </c>
      <c r="T711">
        <v>28</v>
      </c>
      <c r="U711" s="1" t="s">
        <v>25</v>
      </c>
      <c r="V711">
        <v>0</v>
      </c>
    </row>
    <row r="712" spans="1:22" x14ac:dyDescent="0.3">
      <c r="A712" s="2">
        <v>44690</v>
      </c>
      <c r="B712">
        <v>43400</v>
      </c>
      <c r="C712">
        <v>859</v>
      </c>
      <c r="D712">
        <v>5</v>
      </c>
      <c r="E712" s="1" t="s">
        <v>43</v>
      </c>
      <c r="F712">
        <v>0</v>
      </c>
      <c r="G712" s="1" t="s">
        <v>23</v>
      </c>
      <c r="L712">
        <v>36500</v>
      </c>
      <c r="N712">
        <v>122.57859999999999</v>
      </c>
      <c r="O712">
        <v>0.40003210700000003</v>
      </c>
      <c r="P712">
        <v>14490</v>
      </c>
      <c r="Q712">
        <v>27.83</v>
      </c>
      <c r="R712">
        <v>20.83</v>
      </c>
      <c r="S712">
        <v>82.38</v>
      </c>
      <c r="T712">
        <v>9</v>
      </c>
      <c r="U712" s="1"/>
      <c r="V712">
        <v>0</v>
      </c>
    </row>
    <row r="713" spans="1:22" x14ac:dyDescent="0.3">
      <c r="A713" s="2">
        <v>44691</v>
      </c>
      <c r="B713">
        <v>43650</v>
      </c>
      <c r="C713">
        <v>860</v>
      </c>
      <c r="D713">
        <v>5</v>
      </c>
      <c r="E713" s="1" t="s">
        <v>43</v>
      </c>
      <c r="F713">
        <v>1</v>
      </c>
      <c r="G713" s="1" t="s">
        <v>23</v>
      </c>
      <c r="J713">
        <v>43400</v>
      </c>
      <c r="L713">
        <v>36500</v>
      </c>
      <c r="M713">
        <v>250</v>
      </c>
      <c r="N713">
        <v>122.57859999999999</v>
      </c>
      <c r="O713">
        <v>0.40003210700000003</v>
      </c>
      <c r="P713">
        <v>14552.200199999999</v>
      </c>
      <c r="Q713">
        <v>26.6</v>
      </c>
      <c r="R713">
        <v>24.86</v>
      </c>
      <c r="S713">
        <v>89.77</v>
      </c>
      <c r="T713">
        <v>10</v>
      </c>
      <c r="U713" s="1" t="s">
        <v>34</v>
      </c>
      <c r="V713">
        <v>0.57999999999999996</v>
      </c>
    </row>
    <row r="714" spans="1:22" x14ac:dyDescent="0.3">
      <c r="A714" s="2">
        <v>44692</v>
      </c>
      <c r="B714">
        <v>43650</v>
      </c>
      <c r="C714">
        <v>861</v>
      </c>
      <c r="D714">
        <v>5</v>
      </c>
      <c r="E714" s="1" t="s">
        <v>43</v>
      </c>
      <c r="F714">
        <v>2</v>
      </c>
      <c r="G714" s="1" t="s">
        <v>23</v>
      </c>
      <c r="J714">
        <v>43650</v>
      </c>
      <c r="L714">
        <v>36500</v>
      </c>
      <c r="M714">
        <v>0</v>
      </c>
      <c r="N714">
        <v>122.57859999999999</v>
      </c>
      <c r="O714">
        <v>0.40003210700000003</v>
      </c>
      <c r="P714">
        <v>14520.799800000001</v>
      </c>
      <c r="Q714">
        <v>26.64</v>
      </c>
      <c r="R714">
        <v>8.94</v>
      </c>
      <c r="S714">
        <v>87.14</v>
      </c>
      <c r="T714">
        <v>11</v>
      </c>
      <c r="U714" s="1" t="s">
        <v>25</v>
      </c>
      <c r="V714">
        <v>0</v>
      </c>
    </row>
    <row r="715" spans="1:22" x14ac:dyDescent="0.3">
      <c r="A715" s="2">
        <v>44693</v>
      </c>
      <c r="B715">
        <v>43400</v>
      </c>
      <c r="C715">
        <v>862</v>
      </c>
      <c r="D715">
        <v>5</v>
      </c>
      <c r="E715" s="1" t="s">
        <v>43</v>
      </c>
      <c r="F715">
        <v>3</v>
      </c>
      <c r="G715" s="1" t="s">
        <v>23</v>
      </c>
      <c r="J715">
        <v>43650</v>
      </c>
      <c r="L715">
        <v>35900</v>
      </c>
      <c r="M715">
        <v>-250</v>
      </c>
      <c r="N715">
        <v>122.57859999999999</v>
      </c>
      <c r="O715">
        <v>0.40003210700000003</v>
      </c>
      <c r="P715">
        <v>14543.400390000001</v>
      </c>
      <c r="Q715">
        <v>27.23</v>
      </c>
      <c r="R715">
        <v>2.09</v>
      </c>
      <c r="S715">
        <v>83.96</v>
      </c>
      <c r="T715">
        <v>12</v>
      </c>
      <c r="U715" s="1" t="s">
        <v>35</v>
      </c>
      <c r="V715">
        <v>-0.56999999999999995</v>
      </c>
    </row>
    <row r="716" spans="1:22" x14ac:dyDescent="0.3">
      <c r="A716" s="2">
        <v>44694</v>
      </c>
      <c r="B716">
        <v>43500</v>
      </c>
      <c r="C716">
        <v>863</v>
      </c>
      <c r="D716">
        <v>5</v>
      </c>
      <c r="E716" s="1" t="s">
        <v>43</v>
      </c>
      <c r="F716">
        <v>4</v>
      </c>
      <c r="G716" s="1" t="s">
        <v>23</v>
      </c>
      <c r="J716">
        <v>43400</v>
      </c>
      <c r="L716">
        <v>35900</v>
      </c>
      <c r="M716">
        <v>100</v>
      </c>
      <c r="N716">
        <v>122.57859999999999</v>
      </c>
      <c r="O716">
        <v>0.40003210700000003</v>
      </c>
      <c r="P716">
        <v>14632.099609999999</v>
      </c>
      <c r="Q716">
        <v>27.19</v>
      </c>
      <c r="R716">
        <v>5.51</v>
      </c>
      <c r="S716">
        <v>84.69</v>
      </c>
      <c r="T716">
        <v>13</v>
      </c>
      <c r="U716" s="1" t="s">
        <v>65</v>
      </c>
      <c r="V716">
        <v>0.23</v>
      </c>
    </row>
    <row r="717" spans="1:22" x14ac:dyDescent="0.3">
      <c r="A717" s="2">
        <v>44695</v>
      </c>
      <c r="B717">
        <v>43500</v>
      </c>
      <c r="C717">
        <v>864</v>
      </c>
      <c r="D717">
        <v>5</v>
      </c>
      <c r="E717" s="1" t="s">
        <v>43</v>
      </c>
      <c r="F717">
        <v>5</v>
      </c>
      <c r="G717" s="1" t="s">
        <v>23</v>
      </c>
      <c r="J717">
        <v>43500</v>
      </c>
      <c r="L717">
        <v>35900</v>
      </c>
      <c r="M717">
        <v>0</v>
      </c>
      <c r="N717">
        <v>122.57859999999999</v>
      </c>
      <c r="O717">
        <v>0.40003210700000003</v>
      </c>
      <c r="P717">
        <v>14632.099609999999</v>
      </c>
      <c r="Q717">
        <v>26.49</v>
      </c>
      <c r="R717">
        <v>11.69</v>
      </c>
      <c r="S717">
        <v>86.3</v>
      </c>
      <c r="T717">
        <v>14</v>
      </c>
      <c r="U717" s="1" t="s">
        <v>65</v>
      </c>
      <c r="V717">
        <v>0.23</v>
      </c>
    </row>
    <row r="718" spans="1:22" x14ac:dyDescent="0.3">
      <c r="A718" s="2">
        <v>44698</v>
      </c>
      <c r="B718">
        <v>41500</v>
      </c>
      <c r="C718">
        <v>867</v>
      </c>
      <c r="D718">
        <v>5</v>
      </c>
      <c r="E718" s="1" t="s">
        <v>43</v>
      </c>
      <c r="F718">
        <v>1</v>
      </c>
      <c r="G718" s="1" t="s">
        <v>23</v>
      </c>
      <c r="K718">
        <v>43650</v>
      </c>
      <c r="N718">
        <v>122.57859999999999</v>
      </c>
      <c r="O718">
        <v>0.40003210700000003</v>
      </c>
      <c r="P718">
        <v>14645</v>
      </c>
      <c r="Q718">
        <v>27.02</v>
      </c>
      <c r="R718">
        <v>4.4000000000000004</v>
      </c>
      <c r="S718">
        <v>82.78</v>
      </c>
      <c r="T718">
        <v>17</v>
      </c>
      <c r="U718" s="1"/>
      <c r="V718">
        <v>0</v>
      </c>
    </row>
    <row r="719" spans="1:22" x14ac:dyDescent="0.3">
      <c r="A719" s="2">
        <v>44699</v>
      </c>
      <c r="B719">
        <v>40000</v>
      </c>
      <c r="C719">
        <v>868</v>
      </c>
      <c r="D719">
        <v>5</v>
      </c>
      <c r="E719" s="1" t="s">
        <v>43</v>
      </c>
      <c r="F719">
        <v>2</v>
      </c>
      <c r="G719" s="1" t="s">
        <v>23</v>
      </c>
      <c r="J719">
        <v>41500</v>
      </c>
      <c r="K719">
        <v>43650</v>
      </c>
      <c r="L719">
        <v>37650</v>
      </c>
      <c r="M719">
        <v>-1500</v>
      </c>
      <c r="N719">
        <v>122.57859999999999</v>
      </c>
      <c r="O719">
        <v>0.40003210700000003</v>
      </c>
      <c r="P719">
        <v>14630.599609999999</v>
      </c>
      <c r="Q719">
        <v>27.23</v>
      </c>
      <c r="R719">
        <v>4.29</v>
      </c>
      <c r="S719">
        <v>80.45</v>
      </c>
      <c r="T719">
        <v>18</v>
      </c>
      <c r="U719" s="1" t="s">
        <v>37</v>
      </c>
      <c r="V719">
        <v>-3.61</v>
      </c>
    </row>
    <row r="720" spans="1:22" x14ac:dyDescent="0.3">
      <c r="A720" s="2">
        <v>44700</v>
      </c>
      <c r="B720">
        <v>39750</v>
      </c>
      <c r="C720">
        <v>869</v>
      </c>
      <c r="D720">
        <v>5</v>
      </c>
      <c r="E720" s="1" t="s">
        <v>43</v>
      </c>
      <c r="F720">
        <v>3</v>
      </c>
      <c r="G720" s="1" t="s">
        <v>23</v>
      </c>
      <c r="J720">
        <v>40000</v>
      </c>
      <c r="K720">
        <v>43400</v>
      </c>
      <c r="L720">
        <v>37650</v>
      </c>
      <c r="M720">
        <v>-250</v>
      </c>
      <c r="N720">
        <v>122.57859999999999</v>
      </c>
      <c r="O720">
        <v>0.40003210700000003</v>
      </c>
      <c r="P720">
        <v>14740</v>
      </c>
      <c r="Q720">
        <v>27.22</v>
      </c>
      <c r="R720">
        <v>4.25</v>
      </c>
      <c r="S720">
        <v>81.39</v>
      </c>
      <c r="T720">
        <v>19</v>
      </c>
      <c r="U720" s="1" t="s">
        <v>35</v>
      </c>
      <c r="V720">
        <v>-0.63</v>
      </c>
    </row>
    <row r="721" spans="1:22" x14ac:dyDescent="0.3">
      <c r="A721" s="2">
        <v>44701</v>
      </c>
      <c r="B721">
        <v>38650</v>
      </c>
      <c r="C721">
        <v>870</v>
      </c>
      <c r="D721">
        <v>5</v>
      </c>
      <c r="E721" s="1" t="s">
        <v>43</v>
      </c>
      <c r="F721">
        <v>4</v>
      </c>
      <c r="G721" s="1" t="s">
        <v>23</v>
      </c>
      <c r="J721">
        <v>39750</v>
      </c>
      <c r="K721">
        <v>43500</v>
      </c>
      <c r="L721">
        <v>37650</v>
      </c>
      <c r="M721">
        <v>-1100</v>
      </c>
      <c r="N721">
        <v>122.57859999999999</v>
      </c>
      <c r="O721">
        <v>0.40003210700000003</v>
      </c>
      <c r="P721">
        <v>14626.799800000001</v>
      </c>
      <c r="Q721">
        <v>27.2</v>
      </c>
      <c r="R721">
        <v>3.52</v>
      </c>
      <c r="S721">
        <v>81.78</v>
      </c>
      <c r="T721">
        <v>20</v>
      </c>
      <c r="U721" s="1" t="s">
        <v>78</v>
      </c>
      <c r="V721">
        <v>-2.77</v>
      </c>
    </row>
    <row r="722" spans="1:22" x14ac:dyDescent="0.3">
      <c r="A722" s="2">
        <v>44702</v>
      </c>
      <c r="B722">
        <v>38650</v>
      </c>
      <c r="C722">
        <v>871</v>
      </c>
      <c r="D722">
        <v>5</v>
      </c>
      <c r="E722" s="1" t="s">
        <v>43</v>
      </c>
      <c r="F722">
        <v>5</v>
      </c>
      <c r="G722" s="1" t="s">
        <v>23</v>
      </c>
      <c r="J722">
        <v>38650</v>
      </c>
      <c r="K722">
        <v>43500</v>
      </c>
      <c r="L722">
        <v>36750</v>
      </c>
      <c r="M722">
        <v>0</v>
      </c>
      <c r="N722">
        <v>122.57859999999999</v>
      </c>
      <c r="O722">
        <v>0.40003210700000003</v>
      </c>
      <c r="P722">
        <v>14626.799800000001</v>
      </c>
      <c r="Q722">
        <v>27.04</v>
      </c>
      <c r="R722">
        <v>8.3800000000000008</v>
      </c>
      <c r="S722">
        <v>81.91</v>
      </c>
      <c r="T722">
        <v>21</v>
      </c>
      <c r="U722" s="1" t="s">
        <v>78</v>
      </c>
      <c r="V722">
        <v>-2.77</v>
      </c>
    </row>
    <row r="723" spans="1:22" x14ac:dyDescent="0.3">
      <c r="A723" s="2">
        <v>44703</v>
      </c>
      <c r="B723">
        <v>38650</v>
      </c>
      <c r="C723">
        <v>872</v>
      </c>
      <c r="D723">
        <v>5</v>
      </c>
      <c r="E723" s="1" t="s">
        <v>43</v>
      </c>
      <c r="F723">
        <v>6</v>
      </c>
      <c r="G723" s="1" t="s">
        <v>23</v>
      </c>
      <c r="J723">
        <v>38650</v>
      </c>
      <c r="L723">
        <v>36750</v>
      </c>
      <c r="M723">
        <v>0</v>
      </c>
      <c r="N723">
        <v>122.57859999999999</v>
      </c>
      <c r="O723">
        <v>0.40003210700000003</v>
      </c>
      <c r="P723">
        <v>14626.799800000001</v>
      </c>
      <c r="Q723">
        <v>27.19</v>
      </c>
      <c r="R723">
        <v>13.84</v>
      </c>
      <c r="S723">
        <v>79</v>
      </c>
      <c r="T723">
        <v>22</v>
      </c>
      <c r="U723" s="1" t="s">
        <v>78</v>
      </c>
      <c r="V723">
        <v>-2.77</v>
      </c>
    </row>
    <row r="724" spans="1:22" x14ac:dyDescent="0.3">
      <c r="A724" s="2">
        <v>44704</v>
      </c>
      <c r="B724">
        <v>38650</v>
      </c>
      <c r="C724">
        <v>873</v>
      </c>
      <c r="D724">
        <v>5</v>
      </c>
      <c r="E724" s="1" t="s">
        <v>43</v>
      </c>
      <c r="F724">
        <v>0</v>
      </c>
      <c r="G724" s="1" t="s">
        <v>23</v>
      </c>
      <c r="H724">
        <v>39407.142857142855</v>
      </c>
      <c r="J724">
        <v>38650</v>
      </c>
      <c r="M724">
        <v>0</v>
      </c>
      <c r="N724">
        <v>122.57859999999999</v>
      </c>
      <c r="O724">
        <v>0.40003210700000003</v>
      </c>
      <c r="P724">
        <v>14645</v>
      </c>
      <c r="Q724">
        <v>26.89</v>
      </c>
      <c r="R724">
        <v>7.45</v>
      </c>
      <c r="S724">
        <v>80.64</v>
      </c>
      <c r="T724">
        <v>23</v>
      </c>
      <c r="U724" s="1" t="s">
        <v>25</v>
      </c>
      <c r="V724">
        <v>0</v>
      </c>
    </row>
    <row r="725" spans="1:22" x14ac:dyDescent="0.3">
      <c r="A725" s="2">
        <v>44705</v>
      </c>
      <c r="B725">
        <v>39150</v>
      </c>
      <c r="C725">
        <v>874</v>
      </c>
      <c r="D725">
        <v>5</v>
      </c>
      <c r="E725" s="1" t="s">
        <v>43</v>
      </c>
      <c r="F725">
        <v>1</v>
      </c>
      <c r="G725" s="1" t="s">
        <v>23</v>
      </c>
      <c r="H725">
        <v>39071.428571428572</v>
      </c>
      <c r="J725">
        <v>38650</v>
      </c>
      <c r="K725">
        <v>41500</v>
      </c>
      <c r="M725">
        <v>500</v>
      </c>
      <c r="N725">
        <v>122.57859999999999</v>
      </c>
      <c r="O725">
        <v>0.40003210700000003</v>
      </c>
      <c r="P725">
        <v>14619.200199999999</v>
      </c>
      <c r="Q725">
        <v>26.18</v>
      </c>
      <c r="R725">
        <v>6.71</v>
      </c>
      <c r="S725">
        <v>84.24</v>
      </c>
      <c r="T725">
        <v>24</v>
      </c>
      <c r="U725" s="1" t="s">
        <v>26</v>
      </c>
      <c r="V725">
        <v>1.29</v>
      </c>
    </row>
    <row r="726" spans="1:22" x14ac:dyDescent="0.3">
      <c r="A726" s="2">
        <v>44706</v>
      </c>
      <c r="B726">
        <v>39150</v>
      </c>
      <c r="C726">
        <v>875</v>
      </c>
      <c r="D726">
        <v>5</v>
      </c>
      <c r="E726" s="1" t="s">
        <v>43</v>
      </c>
      <c r="F726">
        <v>2</v>
      </c>
      <c r="G726" s="1" t="s">
        <v>23</v>
      </c>
      <c r="H726">
        <v>38950</v>
      </c>
      <c r="J726">
        <v>39150</v>
      </c>
      <c r="K726">
        <v>40000</v>
      </c>
      <c r="L726">
        <v>35900</v>
      </c>
      <c r="M726">
        <v>0</v>
      </c>
      <c r="N726">
        <v>122.57859999999999</v>
      </c>
      <c r="O726">
        <v>0.40003210700000003</v>
      </c>
      <c r="P726">
        <v>14635.799800000001</v>
      </c>
      <c r="Q726">
        <v>25.91</v>
      </c>
      <c r="R726">
        <v>1.84</v>
      </c>
      <c r="S726">
        <v>85.27</v>
      </c>
      <c r="T726">
        <v>25</v>
      </c>
      <c r="U726" s="1" t="s">
        <v>25</v>
      </c>
      <c r="V726">
        <v>0</v>
      </c>
    </row>
    <row r="727" spans="1:22" x14ac:dyDescent="0.3">
      <c r="A727" s="2">
        <v>44708</v>
      </c>
      <c r="B727">
        <v>39650</v>
      </c>
      <c r="C727">
        <v>877</v>
      </c>
      <c r="D727">
        <v>5</v>
      </c>
      <c r="E727" s="1" t="s">
        <v>43</v>
      </c>
      <c r="F727">
        <v>4</v>
      </c>
      <c r="G727" s="1" t="s">
        <v>23</v>
      </c>
      <c r="K727">
        <v>38650</v>
      </c>
      <c r="L727">
        <v>35900</v>
      </c>
      <c r="N727">
        <v>122.57859999999999</v>
      </c>
      <c r="O727">
        <v>0.40003210700000003</v>
      </c>
      <c r="P727">
        <v>14584.200199999999</v>
      </c>
      <c r="Q727">
        <v>26.74</v>
      </c>
      <c r="R727">
        <v>13.59</v>
      </c>
      <c r="S727">
        <v>80.930000000000007</v>
      </c>
      <c r="T727">
        <v>27</v>
      </c>
      <c r="U727" s="1"/>
      <c r="V727">
        <v>0</v>
      </c>
    </row>
    <row r="728" spans="1:22" x14ac:dyDescent="0.3">
      <c r="A728" s="2">
        <v>44709</v>
      </c>
      <c r="B728">
        <v>39650</v>
      </c>
      <c r="C728">
        <v>878</v>
      </c>
      <c r="D728">
        <v>5</v>
      </c>
      <c r="E728" s="1" t="s">
        <v>43</v>
      </c>
      <c r="F728">
        <v>5</v>
      </c>
      <c r="G728" s="1" t="s">
        <v>23</v>
      </c>
      <c r="J728">
        <v>39650</v>
      </c>
      <c r="K728">
        <v>38650</v>
      </c>
      <c r="L728">
        <v>35900</v>
      </c>
      <c r="M728">
        <v>0</v>
      </c>
      <c r="N728">
        <v>122.57859999999999</v>
      </c>
      <c r="O728">
        <v>0.40003210700000003</v>
      </c>
      <c r="P728">
        <v>14584.200199999999</v>
      </c>
      <c r="Q728">
        <v>26.16</v>
      </c>
      <c r="R728">
        <v>32.700000000000003</v>
      </c>
      <c r="S728">
        <v>83.17</v>
      </c>
      <c r="T728">
        <v>28</v>
      </c>
      <c r="U728" s="1"/>
      <c r="V728">
        <v>0</v>
      </c>
    </row>
    <row r="729" spans="1:22" x14ac:dyDescent="0.3">
      <c r="A729" s="2">
        <v>44710</v>
      </c>
      <c r="B729">
        <v>39650</v>
      </c>
      <c r="C729">
        <v>879</v>
      </c>
      <c r="D729">
        <v>5</v>
      </c>
      <c r="E729" s="1" t="s">
        <v>43</v>
      </c>
      <c r="F729">
        <v>6</v>
      </c>
      <c r="G729" s="1" t="s">
        <v>23</v>
      </c>
      <c r="J729">
        <v>39650</v>
      </c>
      <c r="K729">
        <v>38650</v>
      </c>
      <c r="M729">
        <v>0</v>
      </c>
      <c r="N729">
        <v>122.57859999999999</v>
      </c>
      <c r="O729">
        <v>0.40003210700000003</v>
      </c>
      <c r="P729">
        <v>14584.200199999999</v>
      </c>
      <c r="Q729">
        <v>26.08</v>
      </c>
      <c r="R729">
        <v>2.94</v>
      </c>
      <c r="S729">
        <v>83.7</v>
      </c>
      <c r="T729">
        <v>29</v>
      </c>
      <c r="U729" s="1"/>
      <c r="V729">
        <v>0</v>
      </c>
    </row>
    <row r="730" spans="1:22" x14ac:dyDescent="0.3">
      <c r="A730" s="2">
        <v>44711</v>
      </c>
      <c r="B730">
        <v>41000</v>
      </c>
      <c r="C730">
        <v>880</v>
      </c>
      <c r="D730">
        <v>5</v>
      </c>
      <c r="E730" s="1" t="s">
        <v>43</v>
      </c>
      <c r="F730">
        <v>0</v>
      </c>
      <c r="G730" s="1" t="s">
        <v>23</v>
      </c>
      <c r="J730">
        <v>39650</v>
      </c>
      <c r="K730">
        <v>38650</v>
      </c>
      <c r="M730">
        <v>1350</v>
      </c>
      <c r="N730">
        <v>122.57859999999999</v>
      </c>
      <c r="O730">
        <v>0.40003210700000003</v>
      </c>
      <c r="P730">
        <v>14570</v>
      </c>
      <c r="Q730">
        <v>26.67</v>
      </c>
      <c r="R730">
        <v>2.14</v>
      </c>
      <c r="S730">
        <v>83.5</v>
      </c>
      <c r="T730">
        <v>30</v>
      </c>
      <c r="U730" s="1" t="s">
        <v>63</v>
      </c>
      <c r="V730">
        <v>3.4</v>
      </c>
    </row>
    <row r="731" spans="1:22" x14ac:dyDescent="0.3">
      <c r="A731" s="2">
        <v>44712</v>
      </c>
      <c r="B731">
        <v>42150</v>
      </c>
      <c r="C731">
        <v>881</v>
      </c>
      <c r="D731">
        <v>5</v>
      </c>
      <c r="E731" s="1" t="s">
        <v>43</v>
      </c>
      <c r="F731">
        <v>1</v>
      </c>
      <c r="G731" s="1" t="s">
        <v>23</v>
      </c>
      <c r="J731">
        <v>41000</v>
      </c>
      <c r="K731">
        <v>39150</v>
      </c>
      <c r="M731">
        <v>1150</v>
      </c>
      <c r="N731">
        <v>122.57859999999999</v>
      </c>
      <c r="O731">
        <v>0.40003210700000003</v>
      </c>
      <c r="P731">
        <v>14538.400390000001</v>
      </c>
      <c r="Q731">
        <v>27.44</v>
      </c>
      <c r="R731">
        <v>1.02</v>
      </c>
      <c r="S731">
        <v>78.19</v>
      </c>
      <c r="T731">
        <v>31</v>
      </c>
      <c r="U731" s="1" t="s">
        <v>75</v>
      </c>
      <c r="V731">
        <v>2.8</v>
      </c>
    </row>
    <row r="732" spans="1:22" x14ac:dyDescent="0.3">
      <c r="A732" s="2">
        <v>44714</v>
      </c>
      <c r="B732">
        <v>42150</v>
      </c>
      <c r="C732">
        <v>883</v>
      </c>
      <c r="D732">
        <v>6</v>
      </c>
      <c r="E732" s="1" t="s">
        <v>43</v>
      </c>
      <c r="F732">
        <v>3</v>
      </c>
      <c r="G732" s="1" t="s">
        <v>23</v>
      </c>
      <c r="N732">
        <v>123.3224</v>
      </c>
      <c r="O732">
        <v>0.60679433400000005</v>
      </c>
      <c r="P732">
        <v>14531.5</v>
      </c>
      <c r="Q732">
        <v>27.27</v>
      </c>
      <c r="R732">
        <v>0.67</v>
      </c>
      <c r="S732">
        <v>80.33</v>
      </c>
      <c r="T732">
        <v>2</v>
      </c>
      <c r="U732" s="1"/>
      <c r="V732">
        <v>0</v>
      </c>
    </row>
    <row r="733" spans="1:22" x14ac:dyDescent="0.3">
      <c r="A733" s="2">
        <v>44715</v>
      </c>
      <c r="B733">
        <v>42150</v>
      </c>
      <c r="C733">
        <v>884</v>
      </c>
      <c r="D733">
        <v>6</v>
      </c>
      <c r="E733" s="1" t="s">
        <v>43</v>
      </c>
      <c r="F733">
        <v>4</v>
      </c>
      <c r="G733" s="1" t="s">
        <v>23</v>
      </c>
      <c r="J733">
        <v>42150</v>
      </c>
      <c r="K733">
        <v>39650</v>
      </c>
      <c r="M733">
        <v>0</v>
      </c>
      <c r="N733">
        <v>123.3224</v>
      </c>
      <c r="O733">
        <v>0.60679433400000005</v>
      </c>
      <c r="P733">
        <v>14426.799800000001</v>
      </c>
      <c r="Q733">
        <v>27.12</v>
      </c>
      <c r="R733">
        <v>2.31</v>
      </c>
      <c r="S733">
        <v>81.22</v>
      </c>
      <c r="T733">
        <v>3</v>
      </c>
      <c r="U733" s="1" t="s">
        <v>25</v>
      </c>
      <c r="V733">
        <v>0</v>
      </c>
    </row>
    <row r="734" spans="1:22" x14ac:dyDescent="0.3">
      <c r="A734" s="2">
        <v>44716</v>
      </c>
      <c r="B734">
        <v>42150</v>
      </c>
      <c r="C734">
        <v>885</v>
      </c>
      <c r="D734">
        <v>6</v>
      </c>
      <c r="E734" s="1" t="s">
        <v>43</v>
      </c>
      <c r="F734">
        <v>5</v>
      </c>
      <c r="G734" s="1" t="s">
        <v>23</v>
      </c>
      <c r="J734">
        <v>42150</v>
      </c>
      <c r="K734">
        <v>39650</v>
      </c>
      <c r="M734">
        <v>0</v>
      </c>
      <c r="N734">
        <v>123.3224</v>
      </c>
      <c r="O734">
        <v>0.60679433400000005</v>
      </c>
      <c r="P734">
        <v>14426.799800000001</v>
      </c>
      <c r="Q734">
        <v>26.98</v>
      </c>
      <c r="R734">
        <v>3.52</v>
      </c>
      <c r="S734">
        <v>80.8</v>
      </c>
      <c r="T734">
        <v>4</v>
      </c>
      <c r="U734" s="1" t="s">
        <v>25</v>
      </c>
      <c r="V734">
        <v>0</v>
      </c>
    </row>
    <row r="735" spans="1:22" x14ac:dyDescent="0.3">
      <c r="A735" s="2">
        <v>44717</v>
      </c>
      <c r="B735">
        <v>42150</v>
      </c>
      <c r="C735">
        <v>886</v>
      </c>
      <c r="D735">
        <v>6</v>
      </c>
      <c r="E735" s="1" t="s">
        <v>43</v>
      </c>
      <c r="F735">
        <v>6</v>
      </c>
      <c r="G735" s="1" t="s">
        <v>23</v>
      </c>
      <c r="J735">
        <v>42150</v>
      </c>
      <c r="K735">
        <v>39650</v>
      </c>
      <c r="M735">
        <v>0</v>
      </c>
      <c r="N735">
        <v>123.3224</v>
      </c>
      <c r="O735">
        <v>0.60679433400000005</v>
      </c>
      <c r="P735">
        <v>14426.799800000001</v>
      </c>
      <c r="Q735">
        <v>26.7</v>
      </c>
      <c r="R735">
        <v>2.5299999999999998</v>
      </c>
      <c r="S735">
        <v>80.790000000000006</v>
      </c>
      <c r="T735">
        <v>5</v>
      </c>
      <c r="U735" s="1" t="s">
        <v>25</v>
      </c>
      <c r="V735">
        <v>0</v>
      </c>
    </row>
    <row r="736" spans="1:22" x14ac:dyDescent="0.3">
      <c r="A736" s="2">
        <v>44718</v>
      </c>
      <c r="B736">
        <v>41650</v>
      </c>
      <c r="C736">
        <v>887</v>
      </c>
      <c r="D736">
        <v>6</v>
      </c>
      <c r="E736" s="1" t="s">
        <v>43</v>
      </c>
      <c r="F736">
        <v>0</v>
      </c>
      <c r="G736" s="1" t="s">
        <v>23</v>
      </c>
      <c r="J736">
        <v>42150</v>
      </c>
      <c r="K736">
        <v>41000</v>
      </c>
      <c r="M736">
        <v>-500</v>
      </c>
      <c r="N736">
        <v>123.3224</v>
      </c>
      <c r="O736">
        <v>0.60679433400000005</v>
      </c>
      <c r="P736">
        <v>14431</v>
      </c>
      <c r="Q736">
        <v>27.2</v>
      </c>
      <c r="R736">
        <v>2.08</v>
      </c>
      <c r="S736">
        <v>79.47</v>
      </c>
      <c r="T736">
        <v>6</v>
      </c>
      <c r="U736" s="1" t="s">
        <v>24</v>
      </c>
      <c r="V736">
        <v>-1.19</v>
      </c>
    </row>
    <row r="737" spans="1:22" x14ac:dyDescent="0.3">
      <c r="A737" s="2">
        <v>44719</v>
      </c>
      <c r="B737">
        <v>42150</v>
      </c>
      <c r="C737">
        <v>888</v>
      </c>
      <c r="D737">
        <v>6</v>
      </c>
      <c r="E737" s="1" t="s">
        <v>43</v>
      </c>
      <c r="F737">
        <v>1</v>
      </c>
      <c r="G737" s="1" t="s">
        <v>23</v>
      </c>
      <c r="J737">
        <v>41650</v>
      </c>
      <c r="K737">
        <v>42150</v>
      </c>
      <c r="M737">
        <v>500</v>
      </c>
      <c r="N737">
        <v>123.3224</v>
      </c>
      <c r="O737">
        <v>0.60679433400000005</v>
      </c>
      <c r="P737">
        <v>14435.200199999999</v>
      </c>
      <c r="Q737">
        <v>27.33</v>
      </c>
      <c r="R737">
        <v>7.11</v>
      </c>
      <c r="S737">
        <v>78.14</v>
      </c>
      <c r="T737">
        <v>7</v>
      </c>
      <c r="U737" s="1" t="s">
        <v>26</v>
      </c>
      <c r="V737">
        <v>1.2</v>
      </c>
    </row>
    <row r="738" spans="1:22" x14ac:dyDescent="0.3">
      <c r="A738" s="2">
        <v>44720</v>
      </c>
      <c r="B738">
        <v>42900</v>
      </c>
      <c r="C738">
        <v>889</v>
      </c>
      <c r="D738">
        <v>6</v>
      </c>
      <c r="E738" s="1" t="s">
        <v>43</v>
      </c>
      <c r="F738">
        <v>2</v>
      </c>
      <c r="G738" s="1" t="s">
        <v>23</v>
      </c>
      <c r="H738">
        <v>42185.714285714283</v>
      </c>
      <c r="J738">
        <v>42150</v>
      </c>
      <c r="L738">
        <v>43400</v>
      </c>
      <c r="M738">
        <v>750</v>
      </c>
      <c r="N738">
        <v>123.3224</v>
      </c>
      <c r="O738">
        <v>0.60679433400000005</v>
      </c>
      <c r="P738">
        <v>14458.799800000001</v>
      </c>
      <c r="Q738">
        <v>27.42</v>
      </c>
      <c r="R738">
        <v>2.59</v>
      </c>
      <c r="S738">
        <v>78.260000000000005</v>
      </c>
      <c r="T738">
        <v>8</v>
      </c>
      <c r="U738" s="1" t="s">
        <v>52</v>
      </c>
      <c r="V738">
        <v>1.78</v>
      </c>
    </row>
    <row r="739" spans="1:22" x14ac:dyDescent="0.3">
      <c r="A739" s="2">
        <v>44721</v>
      </c>
      <c r="B739">
        <v>44150</v>
      </c>
      <c r="C739">
        <v>890</v>
      </c>
      <c r="D739">
        <v>6</v>
      </c>
      <c r="E739" s="1" t="s">
        <v>43</v>
      </c>
      <c r="F739">
        <v>3</v>
      </c>
      <c r="G739" s="1" t="s">
        <v>23</v>
      </c>
      <c r="H739">
        <v>42471.428571428572</v>
      </c>
      <c r="J739">
        <v>42900</v>
      </c>
      <c r="K739">
        <v>42150</v>
      </c>
      <c r="L739">
        <v>43650</v>
      </c>
      <c r="M739">
        <v>1250</v>
      </c>
      <c r="N739">
        <v>123.3224</v>
      </c>
      <c r="O739">
        <v>0.60679433400000005</v>
      </c>
      <c r="P739">
        <v>14495.299800000001</v>
      </c>
      <c r="Q739">
        <v>27.04</v>
      </c>
      <c r="R739">
        <v>1.82</v>
      </c>
      <c r="S739">
        <v>82.44</v>
      </c>
      <c r="T739">
        <v>9</v>
      </c>
      <c r="U739" s="1" t="s">
        <v>36</v>
      </c>
      <c r="V739">
        <v>2.91</v>
      </c>
    </row>
    <row r="740" spans="1:22" x14ac:dyDescent="0.3">
      <c r="A740" s="2">
        <v>44722</v>
      </c>
      <c r="B740">
        <v>44150</v>
      </c>
      <c r="C740">
        <v>891</v>
      </c>
      <c r="D740">
        <v>6</v>
      </c>
      <c r="E740" s="1" t="s">
        <v>43</v>
      </c>
      <c r="F740">
        <v>4</v>
      </c>
      <c r="G740" s="1" t="s">
        <v>23</v>
      </c>
      <c r="H740">
        <v>42757.142857142855</v>
      </c>
      <c r="J740">
        <v>44150</v>
      </c>
      <c r="K740">
        <v>42150</v>
      </c>
      <c r="L740">
        <v>43650</v>
      </c>
      <c r="M740">
        <v>0</v>
      </c>
      <c r="N740">
        <v>123.3224</v>
      </c>
      <c r="O740">
        <v>0.60679433400000005</v>
      </c>
      <c r="P740">
        <v>14611.799800000001</v>
      </c>
      <c r="Q740">
        <v>27.05</v>
      </c>
      <c r="R740">
        <v>2.0099999999999998</v>
      </c>
      <c r="S740">
        <v>79.709999999999994</v>
      </c>
      <c r="T740">
        <v>10</v>
      </c>
      <c r="U740" s="1" t="s">
        <v>25</v>
      </c>
      <c r="V740">
        <v>0</v>
      </c>
    </row>
    <row r="741" spans="1:22" x14ac:dyDescent="0.3">
      <c r="A741" s="2">
        <v>44723</v>
      </c>
      <c r="B741">
        <v>44150</v>
      </c>
      <c r="C741">
        <v>892</v>
      </c>
      <c r="D741">
        <v>6</v>
      </c>
      <c r="E741" s="1" t="s">
        <v>43</v>
      </c>
      <c r="F741">
        <v>5</v>
      </c>
      <c r="G741" s="1" t="s">
        <v>23</v>
      </c>
      <c r="H741">
        <v>43042.857142857145</v>
      </c>
      <c r="J741">
        <v>44150</v>
      </c>
      <c r="K741">
        <v>42150</v>
      </c>
      <c r="L741">
        <v>43400</v>
      </c>
      <c r="M741">
        <v>0</v>
      </c>
      <c r="N741">
        <v>123.3224</v>
      </c>
      <c r="O741">
        <v>0.60679433400000005</v>
      </c>
      <c r="P741">
        <v>14611.799800000001</v>
      </c>
      <c r="Q741">
        <v>27.34</v>
      </c>
      <c r="R741">
        <v>1.71</v>
      </c>
      <c r="S741">
        <v>80.260000000000005</v>
      </c>
      <c r="T741">
        <v>11</v>
      </c>
      <c r="U741" s="1" t="s">
        <v>25</v>
      </c>
      <c r="V741">
        <v>0</v>
      </c>
    </row>
    <row r="742" spans="1:22" x14ac:dyDescent="0.3">
      <c r="A742" s="2">
        <v>44724</v>
      </c>
      <c r="B742">
        <v>44150</v>
      </c>
      <c r="C742">
        <v>893</v>
      </c>
      <c r="D742">
        <v>6</v>
      </c>
      <c r="E742" s="1" t="s">
        <v>43</v>
      </c>
      <c r="F742">
        <v>6</v>
      </c>
      <c r="G742" s="1" t="s">
        <v>23</v>
      </c>
      <c r="H742">
        <v>43328.571428571428</v>
      </c>
      <c r="J742">
        <v>44150</v>
      </c>
      <c r="K742">
        <v>42150</v>
      </c>
      <c r="L742">
        <v>43500</v>
      </c>
      <c r="M742">
        <v>0</v>
      </c>
      <c r="N742">
        <v>123.3224</v>
      </c>
      <c r="O742">
        <v>0.60679433400000005</v>
      </c>
      <c r="P742">
        <v>14611.799800000001</v>
      </c>
      <c r="Q742">
        <v>27.13</v>
      </c>
      <c r="R742">
        <v>0.28000000000000003</v>
      </c>
      <c r="S742">
        <v>82.18</v>
      </c>
      <c r="T742">
        <v>12</v>
      </c>
      <c r="U742" s="1" t="s">
        <v>25</v>
      </c>
      <c r="V742">
        <v>0</v>
      </c>
    </row>
    <row r="743" spans="1:22" x14ac:dyDescent="0.3">
      <c r="A743" s="2">
        <v>44725</v>
      </c>
      <c r="B743">
        <v>49650</v>
      </c>
      <c r="C743">
        <v>894</v>
      </c>
      <c r="D743">
        <v>6</v>
      </c>
      <c r="E743" s="1" t="s">
        <v>43</v>
      </c>
      <c r="F743">
        <v>0</v>
      </c>
      <c r="G743" s="1" t="s">
        <v>23</v>
      </c>
      <c r="H743">
        <v>44471.428571428572</v>
      </c>
      <c r="J743">
        <v>44150</v>
      </c>
      <c r="K743">
        <v>41650</v>
      </c>
      <c r="L743">
        <v>43500</v>
      </c>
      <c r="M743">
        <v>5500</v>
      </c>
      <c r="N743">
        <v>123.3224</v>
      </c>
      <c r="O743">
        <v>0.60679433400000005</v>
      </c>
      <c r="P743">
        <v>14546</v>
      </c>
      <c r="Q743">
        <v>27.17</v>
      </c>
      <c r="R743">
        <v>1.01</v>
      </c>
      <c r="S743">
        <v>80.63</v>
      </c>
      <c r="T743">
        <v>13</v>
      </c>
      <c r="U743" s="1" t="s">
        <v>71</v>
      </c>
      <c r="V743">
        <v>12.46</v>
      </c>
    </row>
    <row r="744" spans="1:22" x14ac:dyDescent="0.3">
      <c r="A744" s="2">
        <v>44726</v>
      </c>
      <c r="B744">
        <v>56750</v>
      </c>
      <c r="C744">
        <v>895</v>
      </c>
      <c r="D744">
        <v>6</v>
      </c>
      <c r="E744" s="1" t="s">
        <v>43</v>
      </c>
      <c r="F744">
        <v>1</v>
      </c>
      <c r="G744" s="1" t="s">
        <v>23</v>
      </c>
      <c r="H744">
        <v>46557.142857142855</v>
      </c>
      <c r="J744">
        <v>49650</v>
      </c>
      <c r="K744">
        <v>42150</v>
      </c>
      <c r="M744">
        <v>7100</v>
      </c>
      <c r="N744">
        <v>123.3224</v>
      </c>
      <c r="O744">
        <v>0.60679433400000005</v>
      </c>
      <c r="P744">
        <v>14795</v>
      </c>
      <c r="Q744">
        <v>26.58</v>
      </c>
      <c r="R744">
        <v>5.0599999999999996</v>
      </c>
      <c r="S744">
        <v>84.66</v>
      </c>
      <c r="T744">
        <v>14</v>
      </c>
      <c r="U744" s="1" t="s">
        <v>79</v>
      </c>
      <c r="V744">
        <v>14.3</v>
      </c>
    </row>
    <row r="745" spans="1:22" x14ac:dyDescent="0.3">
      <c r="A745" s="2">
        <v>44727</v>
      </c>
      <c r="B745">
        <v>58500</v>
      </c>
      <c r="C745">
        <v>896</v>
      </c>
      <c r="D745">
        <v>6</v>
      </c>
      <c r="E745" s="1" t="s">
        <v>43</v>
      </c>
      <c r="F745">
        <v>2</v>
      </c>
      <c r="G745" s="1" t="s">
        <v>23</v>
      </c>
      <c r="H745">
        <v>48785.714285714283</v>
      </c>
      <c r="J745">
        <v>56750</v>
      </c>
      <c r="K745">
        <v>42900</v>
      </c>
      <c r="M745">
        <v>1750</v>
      </c>
      <c r="N745">
        <v>123.3224</v>
      </c>
      <c r="O745">
        <v>0.60679433400000005</v>
      </c>
      <c r="P745">
        <v>14740.799800000001</v>
      </c>
      <c r="Q745">
        <v>26.61</v>
      </c>
      <c r="R745">
        <v>5.52</v>
      </c>
      <c r="S745">
        <v>84.2</v>
      </c>
      <c r="T745">
        <v>15</v>
      </c>
      <c r="U745" s="1" t="s">
        <v>41</v>
      </c>
      <c r="V745">
        <v>3.08</v>
      </c>
    </row>
    <row r="746" spans="1:22" x14ac:dyDescent="0.3">
      <c r="A746" s="2">
        <v>44728</v>
      </c>
      <c r="B746">
        <v>58500</v>
      </c>
      <c r="C746">
        <v>897</v>
      </c>
      <c r="D746">
        <v>6</v>
      </c>
      <c r="E746" s="1" t="s">
        <v>43</v>
      </c>
      <c r="F746">
        <v>3</v>
      </c>
      <c r="G746" s="1" t="s">
        <v>23</v>
      </c>
      <c r="H746">
        <v>50835.714285714283</v>
      </c>
      <c r="J746">
        <v>58500</v>
      </c>
      <c r="K746">
        <v>44150</v>
      </c>
      <c r="L746">
        <v>41500</v>
      </c>
      <c r="M746">
        <v>0</v>
      </c>
      <c r="N746">
        <v>123.3224</v>
      </c>
      <c r="O746">
        <v>0.60679433400000005</v>
      </c>
      <c r="P746">
        <v>14681</v>
      </c>
      <c r="Q746">
        <v>26.68</v>
      </c>
      <c r="R746">
        <v>6.23</v>
      </c>
      <c r="S746">
        <v>83.43</v>
      </c>
      <c r="T746">
        <v>16</v>
      </c>
      <c r="U746" s="1" t="s">
        <v>25</v>
      </c>
      <c r="V746">
        <v>0</v>
      </c>
    </row>
    <row r="747" spans="1:22" x14ac:dyDescent="0.3">
      <c r="A747" s="2">
        <v>44729</v>
      </c>
      <c r="B747">
        <v>59400</v>
      </c>
      <c r="C747">
        <v>898</v>
      </c>
      <c r="D747">
        <v>6</v>
      </c>
      <c r="E747" s="1" t="s">
        <v>43</v>
      </c>
      <c r="F747">
        <v>4</v>
      </c>
      <c r="G747" s="1" t="s">
        <v>23</v>
      </c>
      <c r="H747">
        <v>53014.285714285717</v>
      </c>
      <c r="J747">
        <v>58500</v>
      </c>
      <c r="K747">
        <v>44150</v>
      </c>
      <c r="L747">
        <v>40000</v>
      </c>
      <c r="M747">
        <v>900</v>
      </c>
      <c r="N747">
        <v>123.3224</v>
      </c>
      <c r="O747">
        <v>0.60679433400000005</v>
      </c>
      <c r="P747">
        <v>14776.099609999999</v>
      </c>
      <c r="Q747">
        <v>27.1</v>
      </c>
      <c r="R747">
        <v>1.18</v>
      </c>
      <c r="S747">
        <v>79.77</v>
      </c>
      <c r="T747">
        <v>17</v>
      </c>
      <c r="U747" s="1" t="s">
        <v>80</v>
      </c>
      <c r="V747">
        <v>1.54</v>
      </c>
    </row>
    <row r="748" spans="1:22" x14ac:dyDescent="0.3">
      <c r="A748" s="2">
        <v>44730</v>
      </c>
      <c r="B748">
        <v>59400</v>
      </c>
      <c r="C748">
        <v>899</v>
      </c>
      <c r="D748">
        <v>6</v>
      </c>
      <c r="E748" s="1" t="s">
        <v>43</v>
      </c>
      <c r="F748">
        <v>5</v>
      </c>
      <c r="G748" s="1" t="s">
        <v>23</v>
      </c>
      <c r="H748">
        <v>55192.857142857145</v>
      </c>
      <c r="J748">
        <v>59400</v>
      </c>
      <c r="K748">
        <v>44150</v>
      </c>
      <c r="L748">
        <v>39750</v>
      </c>
      <c r="M748">
        <v>0</v>
      </c>
      <c r="N748">
        <v>123.3224</v>
      </c>
      <c r="O748">
        <v>0.60679433400000005</v>
      </c>
      <c r="P748">
        <v>14776.099609999999</v>
      </c>
      <c r="Q748">
        <v>27</v>
      </c>
      <c r="R748">
        <v>8.6300000000000008</v>
      </c>
      <c r="S748">
        <v>79.89</v>
      </c>
      <c r="T748">
        <v>18</v>
      </c>
      <c r="U748" s="1" t="s">
        <v>80</v>
      </c>
      <c r="V748">
        <v>1.54</v>
      </c>
    </row>
    <row r="749" spans="1:22" x14ac:dyDescent="0.3">
      <c r="A749" s="2">
        <v>44732</v>
      </c>
      <c r="B749">
        <v>64150</v>
      </c>
      <c r="C749">
        <v>901</v>
      </c>
      <c r="D749">
        <v>6</v>
      </c>
      <c r="E749" s="1" t="s">
        <v>43</v>
      </c>
      <c r="F749">
        <v>0</v>
      </c>
      <c r="G749" s="1" t="s">
        <v>23</v>
      </c>
      <c r="K749">
        <v>49650</v>
      </c>
      <c r="L749">
        <v>38650</v>
      </c>
      <c r="N749">
        <v>123.3224</v>
      </c>
      <c r="O749">
        <v>0.60679433400000005</v>
      </c>
      <c r="P749">
        <v>14816</v>
      </c>
      <c r="Q749">
        <v>26.91</v>
      </c>
      <c r="R749">
        <v>8.15</v>
      </c>
      <c r="S749">
        <v>79.760000000000005</v>
      </c>
      <c r="T749">
        <v>20</v>
      </c>
      <c r="U749" s="1" t="s">
        <v>48</v>
      </c>
      <c r="V749">
        <v>8</v>
      </c>
    </row>
    <row r="750" spans="1:22" x14ac:dyDescent="0.3">
      <c r="A750" s="2">
        <v>44733</v>
      </c>
      <c r="B750">
        <v>64650</v>
      </c>
      <c r="C750">
        <v>902</v>
      </c>
      <c r="D750">
        <v>6</v>
      </c>
      <c r="E750" s="1" t="s">
        <v>43</v>
      </c>
      <c r="F750">
        <v>1</v>
      </c>
      <c r="G750" s="1" t="s">
        <v>23</v>
      </c>
      <c r="J750">
        <v>64150</v>
      </c>
      <c r="K750">
        <v>56750</v>
      </c>
      <c r="L750">
        <v>38650</v>
      </c>
      <c r="M750">
        <v>500</v>
      </c>
      <c r="N750">
        <v>123.3224</v>
      </c>
      <c r="O750">
        <v>0.60679433400000005</v>
      </c>
      <c r="P750">
        <v>14827.700199999999</v>
      </c>
      <c r="Q750">
        <v>27.08</v>
      </c>
      <c r="R750">
        <v>4.55</v>
      </c>
      <c r="S750">
        <v>80.239999999999995</v>
      </c>
      <c r="T750">
        <v>21</v>
      </c>
      <c r="U750" s="1" t="s">
        <v>26</v>
      </c>
      <c r="V750">
        <v>0.78</v>
      </c>
    </row>
    <row r="751" spans="1:22" x14ac:dyDescent="0.3">
      <c r="A751" s="2">
        <v>44734</v>
      </c>
      <c r="B751">
        <v>70500</v>
      </c>
      <c r="C751">
        <v>903</v>
      </c>
      <c r="D751">
        <v>6</v>
      </c>
      <c r="E751" s="1" t="s">
        <v>43</v>
      </c>
      <c r="F751">
        <v>2</v>
      </c>
      <c r="G751" s="1" t="s">
        <v>23</v>
      </c>
      <c r="J751">
        <v>64650</v>
      </c>
      <c r="K751">
        <v>58500</v>
      </c>
      <c r="L751">
        <v>38650</v>
      </c>
      <c r="M751">
        <v>5850</v>
      </c>
      <c r="N751">
        <v>123.3224</v>
      </c>
      <c r="O751">
        <v>0.60679433400000005</v>
      </c>
      <c r="P751">
        <v>14831.700199999999</v>
      </c>
      <c r="Q751">
        <v>26.74</v>
      </c>
      <c r="R751">
        <v>4.2699999999999996</v>
      </c>
      <c r="S751">
        <v>78.62</v>
      </c>
      <c r="T751">
        <v>22</v>
      </c>
      <c r="U751" s="1" t="s">
        <v>81</v>
      </c>
      <c r="V751">
        <v>9.0500000000000007</v>
      </c>
    </row>
    <row r="752" spans="1:22" x14ac:dyDescent="0.3">
      <c r="A752" s="2">
        <v>44735</v>
      </c>
      <c r="B752">
        <v>71750</v>
      </c>
      <c r="C752">
        <v>904</v>
      </c>
      <c r="D752">
        <v>6</v>
      </c>
      <c r="E752" s="1" t="s">
        <v>43</v>
      </c>
      <c r="F752">
        <v>3</v>
      </c>
      <c r="G752" s="1" t="s">
        <v>23</v>
      </c>
      <c r="J752">
        <v>70500</v>
      </c>
      <c r="K752">
        <v>58500</v>
      </c>
      <c r="L752">
        <v>39150</v>
      </c>
      <c r="M752">
        <v>1250</v>
      </c>
      <c r="N752">
        <v>123.3224</v>
      </c>
      <c r="O752">
        <v>0.60679433400000005</v>
      </c>
      <c r="P752">
        <v>14843</v>
      </c>
      <c r="Q752">
        <v>26.61</v>
      </c>
      <c r="R752">
        <v>2.73</v>
      </c>
      <c r="S752">
        <v>83.15</v>
      </c>
      <c r="T752">
        <v>23</v>
      </c>
      <c r="U752" s="1" t="s">
        <v>36</v>
      </c>
      <c r="V752">
        <v>1.77</v>
      </c>
    </row>
    <row r="753" spans="1:22" x14ac:dyDescent="0.3">
      <c r="A753" s="2">
        <v>44736</v>
      </c>
      <c r="B753">
        <v>71400</v>
      </c>
      <c r="C753">
        <v>905</v>
      </c>
      <c r="D753">
        <v>6</v>
      </c>
      <c r="E753" s="1" t="s">
        <v>43</v>
      </c>
      <c r="F753">
        <v>4</v>
      </c>
      <c r="G753" s="1" t="s">
        <v>23</v>
      </c>
      <c r="J753">
        <v>71750</v>
      </c>
      <c r="K753">
        <v>59400</v>
      </c>
      <c r="L753">
        <v>39150</v>
      </c>
      <c r="M753">
        <v>-350</v>
      </c>
      <c r="N753">
        <v>123.3224</v>
      </c>
      <c r="O753">
        <v>0.60679433400000005</v>
      </c>
      <c r="P753">
        <v>14841.799800000001</v>
      </c>
      <c r="Q753">
        <v>27.19</v>
      </c>
      <c r="R753">
        <v>0.34</v>
      </c>
      <c r="S753">
        <v>80.08</v>
      </c>
      <c r="T753">
        <v>24</v>
      </c>
      <c r="U753" s="1" t="s">
        <v>77</v>
      </c>
      <c r="V753">
        <v>-0.49</v>
      </c>
    </row>
    <row r="754" spans="1:22" x14ac:dyDescent="0.3">
      <c r="A754" s="2">
        <v>44739</v>
      </c>
      <c r="B754">
        <v>73150</v>
      </c>
      <c r="C754">
        <v>908</v>
      </c>
      <c r="D754">
        <v>6</v>
      </c>
      <c r="E754" s="1" t="s">
        <v>43</v>
      </c>
      <c r="F754">
        <v>0</v>
      </c>
      <c r="G754" s="1" t="s">
        <v>23</v>
      </c>
      <c r="K754">
        <v>64150</v>
      </c>
      <c r="L754">
        <v>39650</v>
      </c>
      <c r="N754">
        <v>123.3224</v>
      </c>
      <c r="O754">
        <v>0.60679433400000005</v>
      </c>
      <c r="P754">
        <v>14841</v>
      </c>
      <c r="Q754">
        <v>26.89</v>
      </c>
      <c r="R754">
        <v>12.18</v>
      </c>
      <c r="S754">
        <v>83.65</v>
      </c>
      <c r="T754">
        <v>27</v>
      </c>
      <c r="U754" s="1" t="s">
        <v>41</v>
      </c>
      <c r="V754">
        <v>2.4500000000000002</v>
      </c>
    </row>
    <row r="755" spans="1:22" x14ac:dyDescent="0.3">
      <c r="A755" s="2">
        <v>44740</v>
      </c>
      <c r="B755">
        <v>76400</v>
      </c>
      <c r="C755">
        <v>909</v>
      </c>
      <c r="D755">
        <v>6</v>
      </c>
      <c r="E755" s="1" t="s">
        <v>43</v>
      </c>
      <c r="F755">
        <v>1</v>
      </c>
      <c r="G755" s="1" t="s">
        <v>23</v>
      </c>
      <c r="J755">
        <v>73150</v>
      </c>
      <c r="K755">
        <v>64650</v>
      </c>
      <c r="L755">
        <v>39650</v>
      </c>
      <c r="M755">
        <v>3250</v>
      </c>
      <c r="N755">
        <v>123.3224</v>
      </c>
      <c r="O755">
        <v>0.60679433400000005</v>
      </c>
      <c r="P755">
        <v>14791</v>
      </c>
      <c r="Q755">
        <v>26.59</v>
      </c>
      <c r="R755">
        <v>6.24</v>
      </c>
      <c r="S755">
        <v>80.95</v>
      </c>
      <c r="T755">
        <v>28</v>
      </c>
      <c r="U755" s="1" t="s">
        <v>59</v>
      </c>
      <c r="V755">
        <v>4.4400000000000004</v>
      </c>
    </row>
    <row r="756" spans="1:22" x14ac:dyDescent="0.3">
      <c r="A756" s="2">
        <v>44741</v>
      </c>
      <c r="B756">
        <v>75250</v>
      </c>
      <c r="C756">
        <v>910</v>
      </c>
      <c r="D756">
        <v>6</v>
      </c>
      <c r="E756" s="1" t="s">
        <v>43</v>
      </c>
      <c r="F756">
        <v>2</v>
      </c>
      <c r="G756" s="1" t="s">
        <v>23</v>
      </c>
      <c r="J756">
        <v>76400</v>
      </c>
      <c r="K756">
        <v>70500</v>
      </c>
      <c r="L756">
        <v>41000</v>
      </c>
      <c r="M756">
        <v>-1150</v>
      </c>
      <c r="N756">
        <v>123.3224</v>
      </c>
      <c r="O756">
        <v>0.60679433400000005</v>
      </c>
      <c r="P756">
        <v>14857</v>
      </c>
      <c r="Q756">
        <v>26.95</v>
      </c>
      <c r="R756">
        <v>2.78</v>
      </c>
      <c r="S756">
        <v>80.069999999999993</v>
      </c>
      <c r="T756">
        <v>29</v>
      </c>
      <c r="U756" s="1" t="s">
        <v>82</v>
      </c>
      <c r="V756">
        <v>-1.51</v>
      </c>
    </row>
    <row r="757" spans="1:22" x14ac:dyDescent="0.3">
      <c r="A757" s="2">
        <v>44742</v>
      </c>
      <c r="B757">
        <v>77150</v>
      </c>
      <c r="C757">
        <v>911</v>
      </c>
      <c r="D757">
        <v>6</v>
      </c>
      <c r="E757" s="1" t="s">
        <v>43</v>
      </c>
      <c r="F757">
        <v>3</v>
      </c>
      <c r="G757" s="1" t="s">
        <v>23</v>
      </c>
      <c r="J757">
        <v>75250</v>
      </c>
      <c r="K757">
        <v>71750</v>
      </c>
      <c r="L757">
        <v>42150</v>
      </c>
      <c r="M757">
        <v>1900</v>
      </c>
      <c r="N757">
        <v>123.3224</v>
      </c>
      <c r="O757">
        <v>0.60679433400000005</v>
      </c>
      <c r="P757">
        <v>14877</v>
      </c>
      <c r="Q757">
        <v>27.15</v>
      </c>
      <c r="R757">
        <v>1.75</v>
      </c>
      <c r="S757">
        <v>80.510000000000005</v>
      </c>
      <c r="T757">
        <v>30</v>
      </c>
      <c r="U757" s="1" t="s">
        <v>83</v>
      </c>
      <c r="V757">
        <v>2.52</v>
      </c>
    </row>
    <row r="758" spans="1:22" x14ac:dyDescent="0.3">
      <c r="A758" s="2">
        <v>44743</v>
      </c>
      <c r="B758">
        <v>76150</v>
      </c>
      <c r="C758">
        <v>912</v>
      </c>
      <c r="D758">
        <v>7</v>
      </c>
      <c r="E758" s="1" t="s">
        <v>43</v>
      </c>
      <c r="F758">
        <v>4</v>
      </c>
      <c r="G758" s="1" t="s">
        <v>23</v>
      </c>
      <c r="J758">
        <v>77150</v>
      </c>
      <c r="K758">
        <v>71400</v>
      </c>
      <c r="M758">
        <v>-1000</v>
      </c>
      <c r="N758">
        <v>124.11060000000001</v>
      </c>
      <c r="O758">
        <v>0.63913774000000001</v>
      </c>
      <c r="P758">
        <v>14921.900390000001</v>
      </c>
      <c r="Q758">
        <v>27.05</v>
      </c>
      <c r="R758">
        <v>2.04</v>
      </c>
      <c r="S758">
        <v>80.02</v>
      </c>
      <c r="T758">
        <v>1</v>
      </c>
      <c r="U758" s="1" t="s">
        <v>30</v>
      </c>
      <c r="V758">
        <v>-1.3</v>
      </c>
    </row>
    <row r="759" spans="1:22" x14ac:dyDescent="0.3">
      <c r="A759" s="2">
        <v>44744</v>
      </c>
      <c r="B759">
        <v>76150</v>
      </c>
      <c r="C759">
        <v>913</v>
      </c>
      <c r="D759">
        <v>7</v>
      </c>
      <c r="E759" s="1" t="s">
        <v>43</v>
      </c>
      <c r="F759">
        <v>5</v>
      </c>
      <c r="G759" s="1" t="s">
        <v>23</v>
      </c>
      <c r="J759">
        <v>76150</v>
      </c>
      <c r="L759">
        <v>42150</v>
      </c>
      <c r="M759">
        <v>0</v>
      </c>
      <c r="N759">
        <v>124.11060000000001</v>
      </c>
      <c r="O759">
        <v>0.63913774000000001</v>
      </c>
      <c r="P759">
        <v>14921.900390000001</v>
      </c>
      <c r="Q759">
        <v>27.07</v>
      </c>
      <c r="R759">
        <v>3.36</v>
      </c>
      <c r="S759">
        <v>80.150000000000006</v>
      </c>
      <c r="T759">
        <v>2</v>
      </c>
      <c r="U759" s="1" t="s">
        <v>30</v>
      </c>
      <c r="V759">
        <v>-1.3</v>
      </c>
    </row>
    <row r="760" spans="1:22" x14ac:dyDescent="0.3">
      <c r="A760" s="2">
        <v>44745</v>
      </c>
      <c r="B760">
        <v>76150</v>
      </c>
      <c r="C760">
        <v>914</v>
      </c>
      <c r="D760">
        <v>7</v>
      </c>
      <c r="E760" s="1" t="s">
        <v>43</v>
      </c>
      <c r="F760">
        <v>6</v>
      </c>
      <c r="G760" s="1" t="s">
        <v>23</v>
      </c>
      <c r="H760">
        <v>75771.428571428565</v>
      </c>
      <c r="J760">
        <v>76150</v>
      </c>
      <c r="L760">
        <v>42150</v>
      </c>
      <c r="M760">
        <v>0</v>
      </c>
      <c r="N760">
        <v>124.11060000000001</v>
      </c>
      <c r="O760">
        <v>0.63913774000000001</v>
      </c>
      <c r="P760">
        <v>14921.900390000001</v>
      </c>
      <c r="Q760">
        <v>26.55</v>
      </c>
      <c r="R760">
        <v>7.95</v>
      </c>
      <c r="S760">
        <v>85.73</v>
      </c>
      <c r="T760">
        <v>3</v>
      </c>
      <c r="U760" s="1" t="s">
        <v>30</v>
      </c>
      <c r="V760">
        <v>-1.3</v>
      </c>
    </row>
    <row r="761" spans="1:22" x14ac:dyDescent="0.3">
      <c r="A761" s="2">
        <v>44746</v>
      </c>
      <c r="B761">
        <v>71750</v>
      </c>
      <c r="C761">
        <v>915</v>
      </c>
      <c r="D761">
        <v>7</v>
      </c>
      <c r="E761" s="1" t="s">
        <v>43</v>
      </c>
      <c r="F761">
        <v>0</v>
      </c>
      <c r="G761" s="1" t="s">
        <v>23</v>
      </c>
      <c r="H761">
        <v>75571.428571428565</v>
      </c>
      <c r="J761">
        <v>76150</v>
      </c>
      <c r="K761">
        <v>73150</v>
      </c>
      <c r="L761">
        <v>42150</v>
      </c>
      <c r="M761">
        <v>-4400</v>
      </c>
      <c r="N761">
        <v>124.11060000000001</v>
      </c>
      <c r="O761">
        <v>0.63913774000000001</v>
      </c>
      <c r="P761">
        <v>14931</v>
      </c>
      <c r="Q761">
        <v>26.99</v>
      </c>
      <c r="R761">
        <v>8.26</v>
      </c>
      <c r="S761">
        <v>82.82</v>
      </c>
      <c r="T761">
        <v>4</v>
      </c>
      <c r="U761" s="1" t="s">
        <v>84</v>
      </c>
      <c r="V761">
        <v>-5.78</v>
      </c>
    </row>
    <row r="762" spans="1:22" x14ac:dyDescent="0.3">
      <c r="A762" s="2">
        <v>44747</v>
      </c>
      <c r="B762">
        <v>71750</v>
      </c>
      <c r="C762">
        <v>916</v>
      </c>
      <c r="D762">
        <v>7</v>
      </c>
      <c r="E762" s="1" t="s">
        <v>43</v>
      </c>
      <c r="F762">
        <v>1</v>
      </c>
      <c r="G762" s="1" t="s">
        <v>23</v>
      </c>
      <c r="H762">
        <v>74907.142857142855</v>
      </c>
      <c r="J762">
        <v>71750</v>
      </c>
      <c r="K762">
        <v>76400</v>
      </c>
      <c r="L762">
        <v>42150</v>
      </c>
      <c r="M762">
        <v>0</v>
      </c>
      <c r="N762">
        <v>124.11060000000001</v>
      </c>
      <c r="O762">
        <v>0.63913774000000001</v>
      </c>
      <c r="P762">
        <v>15008</v>
      </c>
      <c r="Q762">
        <v>26.48</v>
      </c>
      <c r="R762">
        <v>11.26</v>
      </c>
      <c r="S762">
        <v>83.32</v>
      </c>
      <c r="T762">
        <v>5</v>
      </c>
      <c r="U762" s="1" t="s">
        <v>25</v>
      </c>
      <c r="V762">
        <v>0</v>
      </c>
    </row>
    <row r="763" spans="1:22" x14ac:dyDescent="0.3">
      <c r="A763" s="2">
        <v>44748</v>
      </c>
      <c r="B763">
        <v>69500</v>
      </c>
      <c r="C763">
        <v>917</v>
      </c>
      <c r="D763">
        <v>7</v>
      </c>
      <c r="E763" s="1" t="s">
        <v>43</v>
      </c>
      <c r="F763">
        <v>2</v>
      </c>
      <c r="G763" s="1" t="s">
        <v>23</v>
      </c>
      <c r="H763">
        <v>74085.71428571429</v>
      </c>
      <c r="J763">
        <v>71750</v>
      </c>
      <c r="K763">
        <v>75250</v>
      </c>
      <c r="L763">
        <v>41650</v>
      </c>
      <c r="M763">
        <v>-2250</v>
      </c>
      <c r="N763">
        <v>124.11060000000001</v>
      </c>
      <c r="O763">
        <v>0.63913774000000001</v>
      </c>
      <c r="P763">
        <v>15037</v>
      </c>
      <c r="Q763">
        <v>27.1</v>
      </c>
      <c r="R763">
        <v>11.45</v>
      </c>
      <c r="S763">
        <v>79.099999999999994</v>
      </c>
      <c r="T763">
        <v>6</v>
      </c>
      <c r="U763" s="1" t="s">
        <v>38</v>
      </c>
      <c r="V763">
        <v>-3.14</v>
      </c>
    </row>
    <row r="764" spans="1:22" x14ac:dyDescent="0.3">
      <c r="A764" s="2">
        <v>44749</v>
      </c>
      <c r="B764">
        <v>69000</v>
      </c>
      <c r="C764">
        <v>918</v>
      </c>
      <c r="D764">
        <v>7</v>
      </c>
      <c r="E764" s="1" t="s">
        <v>43</v>
      </c>
      <c r="F764">
        <v>3</v>
      </c>
      <c r="G764" s="1" t="s">
        <v>23</v>
      </c>
      <c r="H764">
        <v>72921.428571428565</v>
      </c>
      <c r="J764">
        <v>69500</v>
      </c>
      <c r="K764">
        <v>77150</v>
      </c>
      <c r="L764">
        <v>42150</v>
      </c>
      <c r="M764">
        <v>-500</v>
      </c>
      <c r="N764">
        <v>124.11060000000001</v>
      </c>
      <c r="O764">
        <v>0.63913774000000001</v>
      </c>
      <c r="P764">
        <v>15010</v>
      </c>
      <c r="Q764">
        <v>26.59</v>
      </c>
      <c r="R764">
        <v>20.81</v>
      </c>
      <c r="S764">
        <v>84.13</v>
      </c>
      <c r="T764">
        <v>7</v>
      </c>
      <c r="U764" s="1" t="s">
        <v>24</v>
      </c>
      <c r="V764">
        <v>-0.72</v>
      </c>
    </row>
    <row r="765" spans="1:22" x14ac:dyDescent="0.3">
      <c r="A765" s="2">
        <v>44750</v>
      </c>
      <c r="B765">
        <v>68900</v>
      </c>
      <c r="C765">
        <v>919</v>
      </c>
      <c r="D765">
        <v>7</v>
      </c>
      <c r="E765" s="1" t="s">
        <v>43</v>
      </c>
      <c r="F765">
        <v>4</v>
      </c>
      <c r="G765" s="1" t="s">
        <v>23</v>
      </c>
      <c r="H765">
        <v>71885.71428571429</v>
      </c>
      <c r="J765">
        <v>69000</v>
      </c>
      <c r="K765">
        <v>76150</v>
      </c>
      <c r="L765">
        <v>42900</v>
      </c>
      <c r="M765">
        <v>-100</v>
      </c>
      <c r="N765">
        <v>124.11060000000001</v>
      </c>
      <c r="O765">
        <v>0.63913774000000001</v>
      </c>
      <c r="P765">
        <v>14964.599609999999</v>
      </c>
      <c r="Q765">
        <v>26.18</v>
      </c>
      <c r="R765">
        <v>13.73</v>
      </c>
      <c r="S765">
        <v>84.28</v>
      </c>
      <c r="T765">
        <v>8</v>
      </c>
      <c r="U765" s="1" t="s">
        <v>74</v>
      </c>
      <c r="V765">
        <v>-0.14000000000000001</v>
      </c>
    </row>
    <row r="766" spans="1:22" x14ac:dyDescent="0.3">
      <c r="A766" s="2">
        <v>44751</v>
      </c>
      <c r="B766">
        <v>68900</v>
      </c>
      <c r="C766">
        <v>920</v>
      </c>
      <c r="D766">
        <v>7</v>
      </c>
      <c r="E766" s="1" t="s">
        <v>43</v>
      </c>
      <c r="F766">
        <v>5</v>
      </c>
      <c r="G766" s="1" t="s">
        <v>44</v>
      </c>
      <c r="H766">
        <v>70850</v>
      </c>
      <c r="J766">
        <v>68900</v>
      </c>
      <c r="K766">
        <v>76150</v>
      </c>
      <c r="L766">
        <v>44150</v>
      </c>
      <c r="M766">
        <v>0</v>
      </c>
      <c r="N766">
        <v>124.11060000000001</v>
      </c>
      <c r="O766">
        <v>0.63913774000000001</v>
      </c>
      <c r="P766">
        <v>14964.599609999999</v>
      </c>
      <c r="Q766">
        <v>26.32</v>
      </c>
      <c r="R766">
        <v>17.350000000000001</v>
      </c>
      <c r="S766">
        <v>84.71</v>
      </c>
      <c r="T766">
        <v>9</v>
      </c>
      <c r="U766" s="1" t="s">
        <v>74</v>
      </c>
      <c r="V766">
        <v>-0.14000000000000001</v>
      </c>
    </row>
    <row r="767" spans="1:22" x14ac:dyDescent="0.3">
      <c r="A767" s="2">
        <v>44752</v>
      </c>
      <c r="B767">
        <v>68900</v>
      </c>
      <c r="C767">
        <v>921</v>
      </c>
      <c r="D767">
        <v>7</v>
      </c>
      <c r="E767" s="1" t="s">
        <v>43</v>
      </c>
      <c r="F767">
        <v>6</v>
      </c>
      <c r="G767" s="1" t="s">
        <v>23</v>
      </c>
      <c r="H767">
        <v>69814.28571428571</v>
      </c>
      <c r="J767">
        <v>68900</v>
      </c>
      <c r="K767">
        <v>76150</v>
      </c>
      <c r="L767">
        <v>44150</v>
      </c>
      <c r="M767">
        <v>0</v>
      </c>
      <c r="N767">
        <v>124.11060000000001</v>
      </c>
      <c r="O767">
        <v>0.63913774000000001</v>
      </c>
      <c r="P767">
        <v>14964.599609999999</v>
      </c>
      <c r="Q767">
        <v>26.37</v>
      </c>
      <c r="R767">
        <v>10.51</v>
      </c>
      <c r="S767">
        <v>80.58</v>
      </c>
      <c r="T767">
        <v>10</v>
      </c>
      <c r="U767" s="1" t="s">
        <v>74</v>
      </c>
      <c r="V767">
        <v>-0.14000000000000001</v>
      </c>
    </row>
    <row r="768" spans="1:22" x14ac:dyDescent="0.3">
      <c r="A768" s="2">
        <v>44753</v>
      </c>
      <c r="B768">
        <v>74150</v>
      </c>
      <c r="C768">
        <v>922</v>
      </c>
      <c r="D768">
        <v>7</v>
      </c>
      <c r="E768" s="1" t="s">
        <v>43</v>
      </c>
      <c r="F768">
        <v>0</v>
      </c>
      <c r="G768" s="1" t="s">
        <v>23</v>
      </c>
      <c r="H768">
        <v>70157.142857142855</v>
      </c>
      <c r="J768">
        <v>68900</v>
      </c>
      <c r="K768">
        <v>71750</v>
      </c>
      <c r="L768">
        <v>44150</v>
      </c>
      <c r="M768">
        <v>5250</v>
      </c>
      <c r="N768">
        <v>124.11060000000001</v>
      </c>
      <c r="O768">
        <v>0.63913774000000001</v>
      </c>
      <c r="P768">
        <v>14970</v>
      </c>
      <c r="Q768">
        <v>26.67</v>
      </c>
      <c r="R768">
        <v>5.41</v>
      </c>
      <c r="S768">
        <v>77.81</v>
      </c>
      <c r="T768">
        <v>11</v>
      </c>
      <c r="U768" s="1" t="s">
        <v>85</v>
      </c>
      <c r="V768">
        <v>7.62</v>
      </c>
    </row>
    <row r="769" spans="1:22" x14ac:dyDescent="0.3">
      <c r="A769" s="2">
        <v>44754</v>
      </c>
      <c r="B769">
        <v>72250</v>
      </c>
      <c r="C769">
        <v>923</v>
      </c>
      <c r="D769">
        <v>7</v>
      </c>
      <c r="E769" s="1" t="s">
        <v>43</v>
      </c>
      <c r="F769">
        <v>1</v>
      </c>
      <c r="G769" s="1" t="s">
        <v>23</v>
      </c>
      <c r="H769">
        <v>70228.571428571435</v>
      </c>
      <c r="J769">
        <v>74150</v>
      </c>
      <c r="K769">
        <v>71750</v>
      </c>
      <c r="L769">
        <v>44150</v>
      </c>
      <c r="M769">
        <v>-1900</v>
      </c>
      <c r="N769">
        <v>124.11060000000001</v>
      </c>
      <c r="O769">
        <v>0.63913774000000001</v>
      </c>
      <c r="P769">
        <v>14989.099609999999</v>
      </c>
      <c r="Q769">
        <v>26.41</v>
      </c>
      <c r="R769">
        <v>3.49</v>
      </c>
      <c r="S769">
        <v>81.040000000000006</v>
      </c>
      <c r="T769">
        <v>12</v>
      </c>
      <c r="U769" s="1" t="s">
        <v>86</v>
      </c>
      <c r="V769">
        <v>-2.56</v>
      </c>
    </row>
    <row r="770" spans="1:22" x14ac:dyDescent="0.3">
      <c r="A770" s="2">
        <v>44755</v>
      </c>
      <c r="B770">
        <v>69150</v>
      </c>
      <c r="C770">
        <v>924</v>
      </c>
      <c r="D770">
        <v>7</v>
      </c>
      <c r="E770" s="1" t="s">
        <v>43</v>
      </c>
      <c r="F770">
        <v>2</v>
      </c>
      <c r="G770" s="1" t="s">
        <v>23</v>
      </c>
      <c r="H770">
        <v>70178.571428571435</v>
      </c>
      <c r="J770">
        <v>72250</v>
      </c>
      <c r="K770">
        <v>69500</v>
      </c>
      <c r="L770">
        <v>49650</v>
      </c>
      <c r="M770">
        <v>-3100</v>
      </c>
      <c r="N770">
        <v>124.11060000000001</v>
      </c>
      <c r="O770">
        <v>0.63913774000000001</v>
      </c>
      <c r="P770">
        <v>15010</v>
      </c>
      <c r="Q770">
        <v>26.27</v>
      </c>
      <c r="R770">
        <v>7.28</v>
      </c>
      <c r="S770">
        <v>81.05</v>
      </c>
      <c r="T770">
        <v>13</v>
      </c>
      <c r="U770" s="1" t="s">
        <v>87</v>
      </c>
      <c r="V770">
        <v>-4.29</v>
      </c>
    </row>
    <row r="771" spans="1:22" x14ac:dyDescent="0.3">
      <c r="A771" s="2">
        <v>44756</v>
      </c>
      <c r="B771">
        <v>68400</v>
      </c>
      <c r="C771">
        <v>925</v>
      </c>
      <c r="D771">
        <v>7</v>
      </c>
      <c r="E771" s="1" t="s">
        <v>43</v>
      </c>
      <c r="F771">
        <v>3</v>
      </c>
      <c r="G771" s="1" t="s">
        <v>23</v>
      </c>
      <c r="H771">
        <v>70092.857142857145</v>
      </c>
      <c r="J771">
        <v>69150</v>
      </c>
      <c r="K771">
        <v>69000</v>
      </c>
      <c r="L771">
        <v>56750</v>
      </c>
      <c r="M771">
        <v>-750</v>
      </c>
      <c r="N771">
        <v>124.11060000000001</v>
      </c>
      <c r="O771">
        <v>0.63913774000000001</v>
      </c>
      <c r="P771">
        <v>15030.400390000001</v>
      </c>
      <c r="Q771">
        <v>26.85</v>
      </c>
      <c r="R771">
        <v>5.38</v>
      </c>
      <c r="S771">
        <v>78.94</v>
      </c>
      <c r="T771">
        <v>14</v>
      </c>
      <c r="U771" s="1" t="s">
        <v>42</v>
      </c>
      <c r="V771">
        <v>-1.08</v>
      </c>
    </row>
    <row r="772" spans="1:22" x14ac:dyDescent="0.3">
      <c r="A772" s="2">
        <v>44757</v>
      </c>
      <c r="B772">
        <v>68750</v>
      </c>
      <c r="C772">
        <v>926</v>
      </c>
      <c r="D772">
        <v>7</v>
      </c>
      <c r="E772" s="1" t="s">
        <v>43</v>
      </c>
      <c r="F772">
        <v>4</v>
      </c>
      <c r="G772" s="1" t="s">
        <v>23</v>
      </c>
      <c r="H772">
        <v>70071.428571428565</v>
      </c>
      <c r="J772">
        <v>68400</v>
      </c>
      <c r="K772">
        <v>68900</v>
      </c>
      <c r="L772">
        <v>58500</v>
      </c>
      <c r="M772">
        <v>350</v>
      </c>
      <c r="N772">
        <v>124.11060000000001</v>
      </c>
      <c r="O772">
        <v>0.63913774000000001</v>
      </c>
      <c r="P772">
        <v>15037.099609999999</v>
      </c>
      <c r="Q772">
        <v>26.84</v>
      </c>
      <c r="R772">
        <v>2.98</v>
      </c>
      <c r="S772">
        <v>79.63</v>
      </c>
      <c r="T772">
        <v>15</v>
      </c>
      <c r="U772" s="1" t="s">
        <v>68</v>
      </c>
      <c r="V772">
        <v>0.51</v>
      </c>
    </row>
    <row r="773" spans="1:22" x14ac:dyDescent="0.3">
      <c r="A773" s="2">
        <v>44760</v>
      </c>
      <c r="B773">
        <v>78400</v>
      </c>
      <c r="C773">
        <v>929</v>
      </c>
      <c r="D773">
        <v>7</v>
      </c>
      <c r="E773" s="1" t="s">
        <v>43</v>
      </c>
      <c r="F773">
        <v>0</v>
      </c>
      <c r="G773" s="1" t="s">
        <v>23</v>
      </c>
      <c r="K773">
        <v>74150</v>
      </c>
      <c r="L773">
        <v>59400</v>
      </c>
      <c r="N773">
        <v>124.11060000000001</v>
      </c>
      <c r="O773">
        <v>0.63913774000000001</v>
      </c>
      <c r="P773">
        <v>14986</v>
      </c>
      <c r="Q773">
        <v>25.73</v>
      </c>
      <c r="R773">
        <v>10.27</v>
      </c>
      <c r="S773">
        <v>82.32</v>
      </c>
      <c r="T773">
        <v>18</v>
      </c>
      <c r="U773" s="1" t="s">
        <v>88</v>
      </c>
      <c r="V773">
        <v>14.04</v>
      </c>
    </row>
    <row r="774" spans="1:22" x14ac:dyDescent="0.3">
      <c r="A774" s="2">
        <v>44761</v>
      </c>
      <c r="B774">
        <v>77900</v>
      </c>
      <c r="C774">
        <v>930</v>
      </c>
      <c r="D774">
        <v>7</v>
      </c>
      <c r="E774" s="1" t="s">
        <v>43</v>
      </c>
      <c r="F774">
        <v>1</v>
      </c>
      <c r="G774" s="1" t="s">
        <v>23</v>
      </c>
      <c r="J774">
        <v>78400</v>
      </c>
      <c r="K774">
        <v>72250</v>
      </c>
      <c r="M774">
        <v>-500</v>
      </c>
      <c r="N774">
        <v>124.11060000000001</v>
      </c>
      <c r="O774">
        <v>0.63913774000000001</v>
      </c>
      <c r="P774">
        <v>14977</v>
      </c>
      <c r="Q774">
        <v>26.42</v>
      </c>
      <c r="R774">
        <v>2.41</v>
      </c>
      <c r="S774">
        <v>79.92</v>
      </c>
      <c r="T774">
        <v>19</v>
      </c>
      <c r="U774" s="1" t="s">
        <v>24</v>
      </c>
      <c r="V774">
        <v>-0.64</v>
      </c>
    </row>
    <row r="775" spans="1:22" x14ac:dyDescent="0.3">
      <c r="A775" s="2">
        <v>44762</v>
      </c>
      <c r="B775">
        <v>79000</v>
      </c>
      <c r="C775">
        <v>931</v>
      </c>
      <c r="D775">
        <v>7</v>
      </c>
      <c r="E775" s="1" t="s">
        <v>43</v>
      </c>
      <c r="F775">
        <v>2</v>
      </c>
      <c r="G775" s="1" t="s">
        <v>23</v>
      </c>
      <c r="J775">
        <v>77900</v>
      </c>
      <c r="K775">
        <v>69150</v>
      </c>
      <c r="L775">
        <v>64150</v>
      </c>
      <c r="M775">
        <v>1100</v>
      </c>
      <c r="N775">
        <v>124.11060000000001</v>
      </c>
      <c r="O775">
        <v>0.63913774000000001</v>
      </c>
      <c r="P775">
        <v>14960.799800000001</v>
      </c>
      <c r="Q775">
        <v>26.86</v>
      </c>
      <c r="R775">
        <v>0.89</v>
      </c>
      <c r="S775">
        <v>81.36</v>
      </c>
      <c r="T775">
        <v>20</v>
      </c>
      <c r="U775" s="1" t="s">
        <v>89</v>
      </c>
      <c r="V775">
        <v>1.41</v>
      </c>
    </row>
    <row r="776" spans="1:22" x14ac:dyDescent="0.3">
      <c r="A776" s="2">
        <v>44763</v>
      </c>
      <c r="B776">
        <v>78500</v>
      </c>
      <c r="C776">
        <v>932</v>
      </c>
      <c r="D776">
        <v>7</v>
      </c>
      <c r="E776" s="1" t="s">
        <v>43</v>
      </c>
      <c r="F776">
        <v>3</v>
      </c>
      <c r="G776" s="1" t="s">
        <v>23</v>
      </c>
      <c r="J776">
        <v>79000</v>
      </c>
      <c r="K776">
        <v>68400</v>
      </c>
      <c r="L776">
        <v>64650</v>
      </c>
      <c r="M776">
        <v>-500</v>
      </c>
      <c r="N776">
        <v>124.11060000000001</v>
      </c>
      <c r="O776">
        <v>0.63913774000000001</v>
      </c>
      <c r="P776">
        <v>15022</v>
      </c>
      <c r="Q776">
        <v>27.03</v>
      </c>
      <c r="R776">
        <v>3.48</v>
      </c>
      <c r="S776">
        <v>81.95</v>
      </c>
      <c r="T776">
        <v>21</v>
      </c>
      <c r="U776" s="1" t="s">
        <v>24</v>
      </c>
      <c r="V776">
        <v>-0.63</v>
      </c>
    </row>
    <row r="777" spans="1:22" x14ac:dyDescent="0.3">
      <c r="A777" s="2">
        <v>44764</v>
      </c>
      <c r="B777">
        <v>78500</v>
      </c>
      <c r="C777">
        <v>933</v>
      </c>
      <c r="D777">
        <v>7</v>
      </c>
      <c r="E777" s="1" t="s">
        <v>43</v>
      </c>
      <c r="F777">
        <v>4</v>
      </c>
      <c r="G777" s="1" t="s">
        <v>23</v>
      </c>
      <c r="J777">
        <v>78500</v>
      </c>
      <c r="K777">
        <v>68750</v>
      </c>
      <c r="L777">
        <v>70500</v>
      </c>
      <c r="M777">
        <v>0</v>
      </c>
      <c r="N777">
        <v>124.11060000000001</v>
      </c>
      <c r="O777">
        <v>0.63913774000000001</v>
      </c>
      <c r="P777">
        <v>15004.200199999999</v>
      </c>
      <c r="Q777">
        <v>26.72</v>
      </c>
      <c r="R777">
        <v>2.69</v>
      </c>
      <c r="S777">
        <v>84.63</v>
      </c>
      <c r="T777">
        <v>22</v>
      </c>
      <c r="U777" s="1" t="s">
        <v>25</v>
      </c>
      <c r="V777">
        <v>0</v>
      </c>
    </row>
    <row r="778" spans="1:22" x14ac:dyDescent="0.3">
      <c r="A778" s="2">
        <v>44767</v>
      </c>
      <c r="B778">
        <v>74250</v>
      </c>
      <c r="C778">
        <v>936</v>
      </c>
      <c r="D778">
        <v>7</v>
      </c>
      <c r="E778" s="1" t="s">
        <v>43</v>
      </c>
      <c r="F778">
        <v>0</v>
      </c>
      <c r="G778" s="1" t="s">
        <v>23</v>
      </c>
      <c r="K778">
        <v>78400</v>
      </c>
      <c r="N778">
        <v>124.11060000000001</v>
      </c>
      <c r="O778">
        <v>0.63913774000000001</v>
      </c>
      <c r="P778">
        <v>15011</v>
      </c>
      <c r="Q778">
        <v>26.86</v>
      </c>
      <c r="R778">
        <v>5.62</v>
      </c>
      <c r="S778">
        <v>84.49</v>
      </c>
      <c r="T778">
        <v>25</v>
      </c>
      <c r="U778" s="1" t="s">
        <v>90</v>
      </c>
      <c r="V778">
        <v>-5.41</v>
      </c>
    </row>
    <row r="779" spans="1:22" x14ac:dyDescent="0.3">
      <c r="A779" s="2">
        <v>44768</v>
      </c>
      <c r="B779">
        <v>74250</v>
      </c>
      <c r="C779">
        <v>937</v>
      </c>
      <c r="D779">
        <v>7</v>
      </c>
      <c r="E779" s="1" t="s">
        <v>43</v>
      </c>
      <c r="F779">
        <v>1</v>
      </c>
      <c r="G779" s="1" t="s">
        <v>23</v>
      </c>
      <c r="J779">
        <v>74250</v>
      </c>
      <c r="K779">
        <v>77900</v>
      </c>
      <c r="M779">
        <v>0</v>
      </c>
      <c r="N779">
        <v>124.11060000000001</v>
      </c>
      <c r="O779">
        <v>0.63913774000000001</v>
      </c>
      <c r="P779">
        <v>14978</v>
      </c>
      <c r="Q779">
        <v>26.89</v>
      </c>
      <c r="R779">
        <v>7.32</v>
      </c>
      <c r="S779">
        <v>83.85</v>
      </c>
      <c r="T779">
        <v>26</v>
      </c>
      <c r="U779" s="1" t="s">
        <v>25</v>
      </c>
      <c r="V779">
        <v>0</v>
      </c>
    </row>
    <row r="780" spans="1:22" x14ac:dyDescent="0.3">
      <c r="A780" s="2">
        <v>44769</v>
      </c>
      <c r="B780">
        <v>74250</v>
      </c>
      <c r="C780">
        <v>938</v>
      </c>
      <c r="D780">
        <v>7</v>
      </c>
      <c r="E780" s="1" t="s">
        <v>43</v>
      </c>
      <c r="F780">
        <v>2</v>
      </c>
      <c r="G780" s="1" t="s">
        <v>23</v>
      </c>
      <c r="J780">
        <v>74250</v>
      </c>
      <c r="K780">
        <v>79000</v>
      </c>
      <c r="L780">
        <v>73150</v>
      </c>
      <c r="M780">
        <v>0</v>
      </c>
      <c r="N780">
        <v>124.11060000000001</v>
      </c>
      <c r="O780">
        <v>0.63913774000000001</v>
      </c>
      <c r="P780">
        <v>14982.799800000001</v>
      </c>
      <c r="Q780">
        <v>26.55</v>
      </c>
      <c r="R780">
        <v>2.13</v>
      </c>
      <c r="S780">
        <v>81.78</v>
      </c>
      <c r="T780">
        <v>27</v>
      </c>
      <c r="U780" s="1" t="s">
        <v>25</v>
      </c>
      <c r="V780">
        <v>0</v>
      </c>
    </row>
    <row r="781" spans="1:22" x14ac:dyDescent="0.3">
      <c r="A781" s="2">
        <v>44770</v>
      </c>
      <c r="B781">
        <v>74250</v>
      </c>
      <c r="C781">
        <v>939</v>
      </c>
      <c r="D781">
        <v>7</v>
      </c>
      <c r="E781" s="1" t="s">
        <v>43</v>
      </c>
      <c r="F781">
        <v>3</v>
      </c>
      <c r="G781" s="1" t="s">
        <v>23</v>
      </c>
      <c r="J781">
        <v>74250</v>
      </c>
      <c r="K781">
        <v>78500</v>
      </c>
      <c r="L781">
        <v>76400</v>
      </c>
      <c r="M781">
        <v>0</v>
      </c>
      <c r="N781">
        <v>124.11060000000001</v>
      </c>
      <c r="O781">
        <v>0.63913774000000001</v>
      </c>
      <c r="P781">
        <v>14914.200199999999</v>
      </c>
      <c r="Q781">
        <v>26.58</v>
      </c>
      <c r="R781">
        <v>5.54</v>
      </c>
      <c r="S781">
        <v>81.349999999999994</v>
      </c>
      <c r="T781">
        <v>28</v>
      </c>
      <c r="U781" s="1" t="s">
        <v>25</v>
      </c>
      <c r="V781">
        <v>0</v>
      </c>
    </row>
    <row r="782" spans="1:22" x14ac:dyDescent="0.3">
      <c r="A782" s="2">
        <v>44771</v>
      </c>
      <c r="B782">
        <v>72000</v>
      </c>
      <c r="C782">
        <v>940</v>
      </c>
      <c r="D782">
        <v>7</v>
      </c>
      <c r="E782" s="1" t="s">
        <v>43</v>
      </c>
      <c r="F782">
        <v>4</v>
      </c>
      <c r="G782" s="1" t="s">
        <v>23</v>
      </c>
      <c r="J782">
        <v>74250</v>
      </c>
      <c r="K782">
        <v>78500</v>
      </c>
      <c r="L782">
        <v>75250</v>
      </c>
      <c r="M782">
        <v>-2250</v>
      </c>
      <c r="N782">
        <v>124.11060000000001</v>
      </c>
      <c r="O782">
        <v>0.63913774000000001</v>
      </c>
      <c r="P782">
        <v>14849.099609999999</v>
      </c>
      <c r="Q782">
        <v>26.85</v>
      </c>
      <c r="R782">
        <v>5.95</v>
      </c>
      <c r="S782">
        <v>76.569999999999993</v>
      </c>
      <c r="T782">
        <v>29</v>
      </c>
      <c r="U782" s="1" t="s">
        <v>38</v>
      </c>
      <c r="V782">
        <v>-3.03</v>
      </c>
    </row>
    <row r="783" spans="1:22" x14ac:dyDescent="0.3">
      <c r="A783" s="2">
        <v>44772</v>
      </c>
      <c r="B783">
        <v>72000</v>
      </c>
      <c r="C783">
        <v>941</v>
      </c>
      <c r="D783">
        <v>7</v>
      </c>
      <c r="E783" s="1" t="s">
        <v>43</v>
      </c>
      <c r="F783">
        <v>5</v>
      </c>
      <c r="G783" s="1" t="s">
        <v>44</v>
      </c>
      <c r="J783">
        <v>72000</v>
      </c>
      <c r="L783">
        <v>77150</v>
      </c>
      <c r="M783">
        <v>0</v>
      </c>
      <c r="N783">
        <v>124.11060000000001</v>
      </c>
      <c r="O783">
        <v>0.63913774000000001</v>
      </c>
      <c r="P783">
        <v>14849.099609999999</v>
      </c>
      <c r="Q783">
        <v>26.57</v>
      </c>
      <c r="R783">
        <v>3.58</v>
      </c>
      <c r="S783">
        <v>82.82</v>
      </c>
      <c r="T783">
        <v>30</v>
      </c>
      <c r="U783" s="1" t="s">
        <v>38</v>
      </c>
      <c r="V783">
        <v>-3.03</v>
      </c>
    </row>
    <row r="784" spans="1:22" x14ac:dyDescent="0.3">
      <c r="A784" s="2">
        <v>44773</v>
      </c>
      <c r="B784">
        <v>72000</v>
      </c>
      <c r="C784">
        <v>942</v>
      </c>
      <c r="D784">
        <v>7</v>
      </c>
      <c r="E784" s="1" t="s">
        <v>43</v>
      </c>
      <c r="F784">
        <v>6</v>
      </c>
      <c r="G784" s="1" t="s">
        <v>23</v>
      </c>
      <c r="H784">
        <v>73285.71428571429</v>
      </c>
      <c r="J784">
        <v>72000</v>
      </c>
      <c r="L784">
        <v>76150</v>
      </c>
      <c r="M784">
        <v>0</v>
      </c>
      <c r="N784">
        <v>124.11060000000001</v>
      </c>
      <c r="O784">
        <v>0.63913774000000001</v>
      </c>
      <c r="P784">
        <v>14849.099609999999</v>
      </c>
      <c r="Q784">
        <v>26.23</v>
      </c>
      <c r="R784">
        <v>2.4700000000000002</v>
      </c>
      <c r="S784">
        <v>82.52</v>
      </c>
      <c r="T784">
        <v>31</v>
      </c>
      <c r="U784" s="1" t="s">
        <v>38</v>
      </c>
      <c r="V784">
        <v>-3.03</v>
      </c>
    </row>
    <row r="785" spans="1:22" x14ac:dyDescent="0.3">
      <c r="A785" s="2">
        <v>44774</v>
      </c>
      <c r="B785">
        <v>65900</v>
      </c>
      <c r="C785">
        <v>943</v>
      </c>
      <c r="D785">
        <v>8</v>
      </c>
      <c r="E785" s="1" t="s">
        <v>43</v>
      </c>
      <c r="F785">
        <v>0</v>
      </c>
      <c r="G785" s="1" t="s">
        <v>23</v>
      </c>
      <c r="H785">
        <v>72092.857142857145</v>
      </c>
      <c r="J785">
        <v>72000</v>
      </c>
      <c r="K785">
        <v>74250</v>
      </c>
      <c r="L785">
        <v>76150</v>
      </c>
      <c r="M785">
        <v>-6100</v>
      </c>
      <c r="N785">
        <v>123.8552</v>
      </c>
      <c r="O785">
        <v>-0.205784196</v>
      </c>
      <c r="P785">
        <v>14826</v>
      </c>
      <c r="Q785">
        <v>26.4</v>
      </c>
      <c r="R785">
        <v>2</v>
      </c>
      <c r="S785">
        <v>81.400000000000006</v>
      </c>
      <c r="T785">
        <v>1</v>
      </c>
      <c r="U785" s="1" t="s">
        <v>91</v>
      </c>
      <c r="V785">
        <v>-8.4700000000000006</v>
      </c>
    </row>
    <row r="786" spans="1:22" x14ac:dyDescent="0.3">
      <c r="A786" s="2">
        <v>44775</v>
      </c>
      <c r="B786">
        <v>61650</v>
      </c>
      <c r="C786">
        <v>944</v>
      </c>
      <c r="D786">
        <v>8</v>
      </c>
      <c r="E786" s="1" t="s">
        <v>43</v>
      </c>
      <c r="F786">
        <v>1</v>
      </c>
      <c r="G786" s="1" t="s">
        <v>23</v>
      </c>
      <c r="H786">
        <v>70292.857142857145</v>
      </c>
      <c r="J786">
        <v>65900</v>
      </c>
      <c r="K786">
        <v>74250</v>
      </c>
      <c r="L786">
        <v>76150</v>
      </c>
      <c r="M786">
        <v>-4250</v>
      </c>
      <c r="N786">
        <v>123.8552</v>
      </c>
      <c r="O786">
        <v>-0.205784196</v>
      </c>
      <c r="P786">
        <v>14838</v>
      </c>
      <c r="Q786">
        <v>26.72</v>
      </c>
      <c r="R786">
        <v>5.14</v>
      </c>
      <c r="S786">
        <v>80.45</v>
      </c>
      <c r="T786">
        <v>2</v>
      </c>
      <c r="U786" s="1" t="s">
        <v>90</v>
      </c>
      <c r="V786">
        <v>-6.45</v>
      </c>
    </row>
    <row r="787" spans="1:22" x14ac:dyDescent="0.3">
      <c r="A787" s="2">
        <v>44776</v>
      </c>
      <c r="B787">
        <v>59250</v>
      </c>
      <c r="C787">
        <v>945</v>
      </c>
      <c r="D787">
        <v>8</v>
      </c>
      <c r="E787" s="1" t="s">
        <v>43</v>
      </c>
      <c r="F787">
        <v>2</v>
      </c>
      <c r="G787" s="1" t="s">
        <v>23</v>
      </c>
      <c r="H787">
        <v>68150</v>
      </c>
      <c r="J787">
        <v>61650</v>
      </c>
      <c r="K787">
        <v>74250</v>
      </c>
      <c r="L787">
        <v>71750</v>
      </c>
      <c r="M787">
        <v>-2400</v>
      </c>
      <c r="N787">
        <v>123.8552</v>
      </c>
      <c r="O787">
        <v>-0.205784196</v>
      </c>
      <c r="P787">
        <v>14890.099609999999</v>
      </c>
      <c r="Q787">
        <v>26.67</v>
      </c>
      <c r="R787">
        <v>2.02</v>
      </c>
      <c r="S787">
        <v>82.85</v>
      </c>
      <c r="T787">
        <v>3</v>
      </c>
      <c r="U787" s="1" t="s">
        <v>92</v>
      </c>
      <c r="V787">
        <v>-3.89</v>
      </c>
    </row>
    <row r="788" spans="1:22" x14ac:dyDescent="0.3">
      <c r="A788" s="2">
        <v>44777</v>
      </c>
      <c r="B788">
        <v>56900</v>
      </c>
      <c r="C788">
        <v>946</v>
      </c>
      <c r="D788">
        <v>8</v>
      </c>
      <c r="E788" s="1" t="s">
        <v>43</v>
      </c>
      <c r="F788">
        <v>3</v>
      </c>
      <c r="G788" s="1" t="s">
        <v>23</v>
      </c>
      <c r="H788">
        <v>65671.428571428565</v>
      </c>
      <c r="J788">
        <v>59250</v>
      </c>
      <c r="K788">
        <v>74250</v>
      </c>
      <c r="L788">
        <v>71750</v>
      </c>
      <c r="M788">
        <v>-2350</v>
      </c>
      <c r="N788">
        <v>123.8552</v>
      </c>
      <c r="O788">
        <v>-0.205784196</v>
      </c>
      <c r="P788">
        <v>14900</v>
      </c>
      <c r="Q788">
        <v>26.59</v>
      </c>
      <c r="R788">
        <v>3.65</v>
      </c>
      <c r="S788">
        <v>82.79</v>
      </c>
      <c r="T788">
        <v>4</v>
      </c>
      <c r="U788" s="1" t="s">
        <v>93</v>
      </c>
      <c r="V788">
        <v>-3.97</v>
      </c>
    </row>
    <row r="789" spans="1:22" x14ac:dyDescent="0.3">
      <c r="A789" s="2">
        <v>44778</v>
      </c>
      <c r="B789">
        <v>56250</v>
      </c>
      <c r="C789">
        <v>947</v>
      </c>
      <c r="D789">
        <v>8</v>
      </c>
      <c r="E789" s="1" t="s">
        <v>43</v>
      </c>
      <c r="F789">
        <v>4</v>
      </c>
      <c r="G789" s="1" t="s">
        <v>23</v>
      </c>
      <c r="H789">
        <v>63421.428571428572</v>
      </c>
      <c r="J789">
        <v>56900</v>
      </c>
      <c r="K789">
        <v>72000</v>
      </c>
      <c r="L789">
        <v>69500</v>
      </c>
      <c r="M789">
        <v>-650</v>
      </c>
      <c r="N789">
        <v>123.8552</v>
      </c>
      <c r="O789">
        <v>-0.205784196</v>
      </c>
      <c r="P789">
        <v>14884.700199999999</v>
      </c>
      <c r="Q789">
        <v>26.78</v>
      </c>
      <c r="R789">
        <v>3.92</v>
      </c>
      <c r="S789">
        <v>77.23</v>
      </c>
      <c r="T789">
        <v>5</v>
      </c>
      <c r="U789" s="1" t="s">
        <v>72</v>
      </c>
      <c r="V789">
        <v>-1.1399999999999999</v>
      </c>
    </row>
    <row r="790" spans="1:22" x14ac:dyDescent="0.3">
      <c r="A790" s="2">
        <v>44779</v>
      </c>
      <c r="B790">
        <v>56250</v>
      </c>
      <c r="C790">
        <v>948</v>
      </c>
      <c r="D790">
        <v>8</v>
      </c>
      <c r="E790" s="1" t="s">
        <v>43</v>
      </c>
      <c r="F790">
        <v>5</v>
      </c>
      <c r="G790" s="1" t="s">
        <v>23</v>
      </c>
      <c r="H790">
        <v>61171.428571428572</v>
      </c>
      <c r="J790">
        <v>56250</v>
      </c>
      <c r="K790">
        <v>72000</v>
      </c>
      <c r="L790">
        <v>69000</v>
      </c>
      <c r="M790">
        <v>0</v>
      </c>
      <c r="N790">
        <v>123.8552</v>
      </c>
      <c r="O790">
        <v>-0.205784196</v>
      </c>
      <c r="P790">
        <v>14884.700199999999</v>
      </c>
      <c r="Q790">
        <v>26.24</v>
      </c>
      <c r="R790">
        <v>6.86</v>
      </c>
      <c r="S790">
        <v>82.26</v>
      </c>
      <c r="T790">
        <v>6</v>
      </c>
      <c r="U790" s="1" t="s">
        <v>72</v>
      </c>
      <c r="V790">
        <v>-1.1399999999999999</v>
      </c>
    </row>
    <row r="791" spans="1:22" x14ac:dyDescent="0.3">
      <c r="A791" s="2">
        <v>44780</v>
      </c>
      <c r="B791">
        <v>56250</v>
      </c>
      <c r="C791">
        <v>949</v>
      </c>
      <c r="D791">
        <v>8</v>
      </c>
      <c r="E791" s="1" t="s">
        <v>43</v>
      </c>
      <c r="F791">
        <v>6</v>
      </c>
      <c r="G791" s="1" t="s">
        <v>23</v>
      </c>
      <c r="H791">
        <v>58921.428571428572</v>
      </c>
      <c r="J791">
        <v>56250</v>
      </c>
      <c r="K791">
        <v>72000</v>
      </c>
      <c r="L791">
        <v>68900</v>
      </c>
      <c r="M791">
        <v>0</v>
      </c>
      <c r="N791">
        <v>123.8552</v>
      </c>
      <c r="O791">
        <v>-0.205784196</v>
      </c>
      <c r="P791">
        <v>14884.700199999999</v>
      </c>
      <c r="Q791">
        <v>26.59</v>
      </c>
      <c r="R791">
        <v>3.31</v>
      </c>
      <c r="S791">
        <v>78.77</v>
      </c>
      <c r="T791">
        <v>7</v>
      </c>
      <c r="U791" s="1" t="s">
        <v>72</v>
      </c>
      <c r="V791">
        <v>-1.1399999999999999</v>
      </c>
    </row>
    <row r="792" spans="1:22" x14ac:dyDescent="0.3">
      <c r="A792" s="2">
        <v>44781</v>
      </c>
      <c r="B792">
        <v>54750</v>
      </c>
      <c r="C792">
        <v>950</v>
      </c>
      <c r="D792">
        <v>8</v>
      </c>
      <c r="E792" s="1" t="s">
        <v>43</v>
      </c>
      <c r="F792">
        <v>0</v>
      </c>
      <c r="G792" s="1" t="s">
        <v>23</v>
      </c>
      <c r="H792">
        <v>57328.571428571428</v>
      </c>
      <c r="J792">
        <v>56250</v>
      </c>
      <c r="K792">
        <v>65900</v>
      </c>
      <c r="L792">
        <v>68900</v>
      </c>
      <c r="M792">
        <v>-1500</v>
      </c>
      <c r="N792">
        <v>123.8552</v>
      </c>
      <c r="O792">
        <v>-0.205784196</v>
      </c>
      <c r="P792">
        <v>14886</v>
      </c>
      <c r="Q792">
        <v>25.76</v>
      </c>
      <c r="R792">
        <v>7.48</v>
      </c>
      <c r="S792">
        <v>85.81</v>
      </c>
      <c r="T792">
        <v>8</v>
      </c>
      <c r="U792" s="1" t="s">
        <v>37</v>
      </c>
      <c r="V792">
        <v>-2.67</v>
      </c>
    </row>
    <row r="793" spans="1:22" x14ac:dyDescent="0.3">
      <c r="A793" s="2">
        <v>44782</v>
      </c>
      <c r="B793">
        <v>53250</v>
      </c>
      <c r="C793">
        <v>951</v>
      </c>
      <c r="D793">
        <v>8</v>
      </c>
      <c r="E793" s="1" t="s">
        <v>43</v>
      </c>
      <c r="F793">
        <v>1</v>
      </c>
      <c r="G793" s="1" t="s">
        <v>23</v>
      </c>
      <c r="H793">
        <v>56128.571428571428</v>
      </c>
      <c r="J793">
        <v>54750</v>
      </c>
      <c r="K793">
        <v>61650</v>
      </c>
      <c r="L793">
        <v>68900</v>
      </c>
      <c r="M793">
        <v>-1500</v>
      </c>
      <c r="N793">
        <v>123.8552</v>
      </c>
      <c r="O793">
        <v>-0.205784196</v>
      </c>
      <c r="P793">
        <v>14831.200199999999</v>
      </c>
      <c r="Q793">
        <v>26.61</v>
      </c>
      <c r="R793">
        <v>4.41</v>
      </c>
      <c r="S793">
        <v>81.040000000000006</v>
      </c>
      <c r="T793">
        <v>9</v>
      </c>
      <c r="U793" s="1" t="s">
        <v>37</v>
      </c>
      <c r="V793">
        <v>-2.74</v>
      </c>
    </row>
    <row r="794" spans="1:22" x14ac:dyDescent="0.3">
      <c r="A794" s="2">
        <v>44783</v>
      </c>
      <c r="B794">
        <v>54750</v>
      </c>
      <c r="C794">
        <v>952</v>
      </c>
      <c r="D794">
        <v>8</v>
      </c>
      <c r="E794" s="1" t="s">
        <v>43</v>
      </c>
      <c r="F794">
        <v>2</v>
      </c>
      <c r="G794" s="1" t="s">
        <v>23</v>
      </c>
      <c r="H794">
        <v>55485.714285714283</v>
      </c>
      <c r="J794">
        <v>53250</v>
      </c>
      <c r="K794">
        <v>59250</v>
      </c>
      <c r="L794">
        <v>74150</v>
      </c>
      <c r="M794">
        <v>1500</v>
      </c>
      <c r="N794">
        <v>123.8552</v>
      </c>
      <c r="O794">
        <v>-0.205784196</v>
      </c>
      <c r="P794">
        <v>14856.700199999999</v>
      </c>
      <c r="Q794">
        <v>27.16</v>
      </c>
      <c r="R794">
        <v>5.4</v>
      </c>
      <c r="S794">
        <v>78.459999999999994</v>
      </c>
      <c r="T794">
        <v>10</v>
      </c>
      <c r="U794" s="1" t="s">
        <v>31</v>
      </c>
      <c r="V794">
        <v>2.82</v>
      </c>
    </row>
    <row r="795" spans="1:22" x14ac:dyDescent="0.3">
      <c r="A795" s="2">
        <v>44784</v>
      </c>
      <c r="B795">
        <v>55500</v>
      </c>
      <c r="C795">
        <v>953</v>
      </c>
      <c r="D795">
        <v>8</v>
      </c>
      <c r="E795" s="1" t="s">
        <v>43</v>
      </c>
      <c r="F795">
        <v>3</v>
      </c>
      <c r="G795" s="1" t="s">
        <v>23</v>
      </c>
      <c r="H795">
        <v>55285.714285714283</v>
      </c>
      <c r="J795">
        <v>54750</v>
      </c>
      <c r="K795">
        <v>56900</v>
      </c>
      <c r="L795">
        <v>72250</v>
      </c>
      <c r="M795">
        <v>750</v>
      </c>
      <c r="N795">
        <v>123.8552</v>
      </c>
      <c r="O795">
        <v>-0.205784196</v>
      </c>
      <c r="P795">
        <v>14756.900390000001</v>
      </c>
      <c r="Q795">
        <v>27.42</v>
      </c>
      <c r="R795">
        <v>8.16</v>
      </c>
      <c r="S795">
        <v>76.349999999999994</v>
      </c>
      <c r="T795">
        <v>11</v>
      </c>
      <c r="U795" s="1" t="s">
        <v>52</v>
      </c>
      <c r="V795">
        <v>1.37</v>
      </c>
    </row>
    <row r="796" spans="1:22" x14ac:dyDescent="0.3">
      <c r="A796" s="2">
        <v>44785</v>
      </c>
      <c r="B796">
        <v>53900</v>
      </c>
      <c r="C796">
        <v>954</v>
      </c>
      <c r="D796">
        <v>8</v>
      </c>
      <c r="E796" s="1" t="s">
        <v>43</v>
      </c>
      <c r="F796">
        <v>4</v>
      </c>
      <c r="G796" s="1" t="s">
        <v>23</v>
      </c>
      <c r="H796">
        <v>54950</v>
      </c>
      <c r="J796">
        <v>55500</v>
      </c>
      <c r="K796">
        <v>56250</v>
      </c>
      <c r="L796">
        <v>69150</v>
      </c>
      <c r="M796">
        <v>-1600</v>
      </c>
      <c r="N796">
        <v>123.8552</v>
      </c>
      <c r="O796">
        <v>-0.205784196</v>
      </c>
      <c r="P796">
        <v>14724.200199999999</v>
      </c>
      <c r="Q796">
        <v>27.56</v>
      </c>
      <c r="R796">
        <v>1.93</v>
      </c>
      <c r="S796">
        <v>77.47</v>
      </c>
      <c r="T796">
        <v>12</v>
      </c>
      <c r="U796" s="1" t="s">
        <v>94</v>
      </c>
      <c r="V796">
        <v>-2.88</v>
      </c>
    </row>
    <row r="797" spans="1:22" x14ac:dyDescent="0.3">
      <c r="A797" s="2">
        <v>44786</v>
      </c>
      <c r="B797">
        <v>53900</v>
      </c>
      <c r="C797">
        <v>955</v>
      </c>
      <c r="D797">
        <v>8</v>
      </c>
      <c r="E797" s="1" t="s">
        <v>43</v>
      </c>
      <c r="F797">
        <v>5</v>
      </c>
      <c r="G797" s="1" t="s">
        <v>23</v>
      </c>
      <c r="H797">
        <v>54614.285714285717</v>
      </c>
      <c r="J797">
        <v>53900</v>
      </c>
      <c r="K797">
        <v>56250</v>
      </c>
      <c r="L797">
        <v>68400</v>
      </c>
      <c r="M797">
        <v>0</v>
      </c>
      <c r="N797">
        <v>123.8552</v>
      </c>
      <c r="O797">
        <v>-0.205784196</v>
      </c>
      <c r="P797">
        <v>14724.200199999999</v>
      </c>
      <c r="Q797">
        <v>27.13</v>
      </c>
      <c r="R797">
        <v>1.92</v>
      </c>
      <c r="S797">
        <v>81.56</v>
      </c>
      <c r="T797">
        <v>13</v>
      </c>
      <c r="U797" s="1" t="s">
        <v>94</v>
      </c>
      <c r="V797">
        <v>-2.88</v>
      </c>
    </row>
    <row r="798" spans="1:22" x14ac:dyDescent="0.3">
      <c r="A798" s="2">
        <v>44787</v>
      </c>
      <c r="B798">
        <v>53900</v>
      </c>
      <c r="C798">
        <v>956</v>
      </c>
      <c r="D798">
        <v>8</v>
      </c>
      <c r="E798" s="1" t="s">
        <v>43</v>
      </c>
      <c r="F798">
        <v>6</v>
      </c>
      <c r="G798" s="1" t="s">
        <v>23</v>
      </c>
      <c r="H798">
        <v>54278.571428571428</v>
      </c>
      <c r="J798">
        <v>53900</v>
      </c>
      <c r="K798">
        <v>56250</v>
      </c>
      <c r="L798">
        <v>68750</v>
      </c>
      <c r="M798">
        <v>0</v>
      </c>
      <c r="N798">
        <v>123.8552</v>
      </c>
      <c r="O798">
        <v>-0.205784196</v>
      </c>
      <c r="P798">
        <v>14724.200199999999</v>
      </c>
      <c r="Q798">
        <v>27.04</v>
      </c>
      <c r="R798">
        <v>4.5</v>
      </c>
      <c r="S798">
        <v>82.27</v>
      </c>
      <c r="T798">
        <v>14</v>
      </c>
      <c r="U798" s="1" t="s">
        <v>94</v>
      </c>
      <c r="V798">
        <v>-2.88</v>
      </c>
    </row>
    <row r="799" spans="1:22" x14ac:dyDescent="0.3">
      <c r="A799" s="2">
        <v>44788</v>
      </c>
      <c r="B799">
        <v>53150</v>
      </c>
      <c r="C799">
        <v>957</v>
      </c>
      <c r="D799">
        <v>8</v>
      </c>
      <c r="E799" s="1" t="s">
        <v>43</v>
      </c>
      <c r="F799">
        <v>0</v>
      </c>
      <c r="G799" s="1" t="s">
        <v>23</v>
      </c>
      <c r="H799">
        <v>54050</v>
      </c>
      <c r="J799">
        <v>53900</v>
      </c>
      <c r="K799">
        <v>54750</v>
      </c>
      <c r="M799">
        <v>-750</v>
      </c>
      <c r="N799">
        <v>123.8552</v>
      </c>
      <c r="O799">
        <v>-0.205784196</v>
      </c>
      <c r="P799">
        <v>14661</v>
      </c>
      <c r="Q799">
        <v>26.29</v>
      </c>
      <c r="R799">
        <v>13.35</v>
      </c>
      <c r="S799">
        <v>82.67</v>
      </c>
      <c r="T799">
        <v>15</v>
      </c>
      <c r="U799" s="1" t="s">
        <v>42</v>
      </c>
      <c r="V799">
        <v>-1.39</v>
      </c>
    </row>
    <row r="800" spans="1:22" x14ac:dyDescent="0.3">
      <c r="A800" s="2">
        <v>44789</v>
      </c>
      <c r="B800">
        <v>52650</v>
      </c>
      <c r="C800">
        <v>958</v>
      </c>
      <c r="D800">
        <v>8</v>
      </c>
      <c r="E800" s="1" t="s">
        <v>43</v>
      </c>
      <c r="F800">
        <v>1</v>
      </c>
      <c r="G800" s="1" t="s">
        <v>23</v>
      </c>
      <c r="H800">
        <v>53964.285714285717</v>
      </c>
      <c r="J800">
        <v>53150</v>
      </c>
      <c r="K800">
        <v>53250</v>
      </c>
      <c r="M800">
        <v>-500</v>
      </c>
      <c r="N800">
        <v>123.8552</v>
      </c>
      <c r="O800">
        <v>-0.205784196</v>
      </c>
      <c r="P800">
        <v>14776.400390000001</v>
      </c>
      <c r="Q800">
        <v>25.66</v>
      </c>
      <c r="R800">
        <v>7.19</v>
      </c>
      <c r="S800">
        <v>82.24</v>
      </c>
      <c r="T800">
        <v>16</v>
      </c>
      <c r="U800" s="1" t="s">
        <v>24</v>
      </c>
      <c r="V800">
        <v>-0.94</v>
      </c>
    </row>
    <row r="801" spans="1:22" x14ac:dyDescent="0.3">
      <c r="A801" s="2">
        <v>44791</v>
      </c>
      <c r="B801">
        <v>51250</v>
      </c>
      <c r="C801">
        <v>960</v>
      </c>
      <c r="D801">
        <v>8</v>
      </c>
      <c r="E801" s="1" t="s">
        <v>43</v>
      </c>
      <c r="F801">
        <v>3</v>
      </c>
      <c r="G801" s="1" t="s">
        <v>23</v>
      </c>
      <c r="K801">
        <v>55500</v>
      </c>
      <c r="L801">
        <v>77900</v>
      </c>
      <c r="N801">
        <v>123.8552</v>
      </c>
      <c r="O801">
        <v>-0.205784196</v>
      </c>
      <c r="P801">
        <v>14764.099609999999</v>
      </c>
      <c r="Q801">
        <v>26.11</v>
      </c>
      <c r="R801">
        <v>16.97</v>
      </c>
      <c r="S801">
        <v>81.13</v>
      </c>
      <c r="T801">
        <v>18</v>
      </c>
      <c r="U801" s="1"/>
      <c r="V801">
        <v>0</v>
      </c>
    </row>
    <row r="802" spans="1:22" x14ac:dyDescent="0.3">
      <c r="A802" s="2">
        <v>44792</v>
      </c>
      <c r="B802">
        <v>51250</v>
      </c>
      <c r="C802">
        <v>961</v>
      </c>
      <c r="D802">
        <v>8</v>
      </c>
      <c r="E802" s="1" t="s">
        <v>43</v>
      </c>
      <c r="F802">
        <v>4</v>
      </c>
      <c r="G802" s="1" t="s">
        <v>23</v>
      </c>
      <c r="J802">
        <v>51250</v>
      </c>
      <c r="K802">
        <v>53900</v>
      </c>
      <c r="L802">
        <v>79000</v>
      </c>
      <c r="M802">
        <v>0</v>
      </c>
      <c r="N802">
        <v>123.8552</v>
      </c>
      <c r="O802">
        <v>-0.205784196</v>
      </c>
      <c r="P802">
        <v>14845.700199999999</v>
      </c>
      <c r="Q802">
        <v>26.47</v>
      </c>
      <c r="R802">
        <v>0.75</v>
      </c>
      <c r="S802">
        <v>82.81</v>
      </c>
      <c r="T802">
        <v>19</v>
      </c>
      <c r="U802" s="1" t="s">
        <v>25</v>
      </c>
      <c r="V802">
        <v>0</v>
      </c>
    </row>
    <row r="803" spans="1:22" x14ac:dyDescent="0.3">
      <c r="A803" s="2">
        <v>44795</v>
      </c>
      <c r="B803">
        <v>48000</v>
      </c>
      <c r="C803">
        <v>964</v>
      </c>
      <c r="D803">
        <v>8</v>
      </c>
      <c r="E803" s="1" t="s">
        <v>43</v>
      </c>
      <c r="F803">
        <v>0</v>
      </c>
      <c r="G803" s="1" t="s">
        <v>23</v>
      </c>
      <c r="K803">
        <v>53150</v>
      </c>
      <c r="N803">
        <v>123.8552</v>
      </c>
      <c r="O803">
        <v>-0.205784196</v>
      </c>
      <c r="P803">
        <v>14831</v>
      </c>
      <c r="Q803">
        <v>26.44</v>
      </c>
      <c r="R803">
        <v>4.68</v>
      </c>
      <c r="S803">
        <v>85.92</v>
      </c>
      <c r="T803">
        <v>22</v>
      </c>
      <c r="U803" s="1" t="s">
        <v>46</v>
      </c>
      <c r="V803">
        <v>-6.34</v>
      </c>
    </row>
    <row r="804" spans="1:22" x14ac:dyDescent="0.3">
      <c r="A804" s="2">
        <v>44796</v>
      </c>
      <c r="B804">
        <v>46900</v>
      </c>
      <c r="C804">
        <v>965</v>
      </c>
      <c r="D804">
        <v>8</v>
      </c>
      <c r="E804" s="1" t="s">
        <v>43</v>
      </c>
      <c r="F804">
        <v>1</v>
      </c>
      <c r="G804" s="1" t="s">
        <v>23</v>
      </c>
      <c r="J804">
        <v>48000</v>
      </c>
      <c r="K804">
        <v>52650</v>
      </c>
      <c r="M804">
        <v>-1100</v>
      </c>
      <c r="N804">
        <v>123.8552</v>
      </c>
      <c r="O804">
        <v>-0.205784196</v>
      </c>
      <c r="P804">
        <v>14933.5</v>
      </c>
      <c r="Q804">
        <v>25.85</v>
      </c>
      <c r="R804">
        <v>5.64</v>
      </c>
      <c r="S804">
        <v>84.79</v>
      </c>
      <c r="T804">
        <v>23</v>
      </c>
      <c r="U804" s="1" t="s">
        <v>78</v>
      </c>
      <c r="V804">
        <v>-2.29</v>
      </c>
    </row>
    <row r="805" spans="1:22" x14ac:dyDescent="0.3">
      <c r="A805" s="2">
        <v>44797</v>
      </c>
      <c r="B805">
        <v>46900</v>
      </c>
      <c r="C805">
        <v>966</v>
      </c>
      <c r="D805">
        <v>8</v>
      </c>
      <c r="E805" s="1" t="s">
        <v>43</v>
      </c>
      <c r="F805">
        <v>2</v>
      </c>
      <c r="G805" s="1" t="s">
        <v>23</v>
      </c>
      <c r="J805">
        <v>46900</v>
      </c>
      <c r="L805">
        <v>74250</v>
      </c>
      <c r="M805">
        <v>0</v>
      </c>
      <c r="N805">
        <v>123.8552</v>
      </c>
      <c r="O805">
        <v>-0.205784196</v>
      </c>
      <c r="P805">
        <v>14850</v>
      </c>
      <c r="Q805">
        <v>26.34</v>
      </c>
      <c r="R805">
        <v>7.41</v>
      </c>
      <c r="S805">
        <v>85.07</v>
      </c>
      <c r="T805">
        <v>24</v>
      </c>
      <c r="U805" s="1" t="s">
        <v>25</v>
      </c>
      <c r="V805">
        <v>0</v>
      </c>
    </row>
    <row r="806" spans="1:22" x14ac:dyDescent="0.3">
      <c r="A806" s="2">
        <v>44798</v>
      </c>
      <c r="B806">
        <v>46900</v>
      </c>
      <c r="C806">
        <v>967</v>
      </c>
      <c r="D806">
        <v>8</v>
      </c>
      <c r="E806" s="1" t="s">
        <v>43</v>
      </c>
      <c r="F806">
        <v>3</v>
      </c>
      <c r="G806" s="1" t="s">
        <v>23</v>
      </c>
      <c r="J806">
        <v>46900</v>
      </c>
      <c r="K806">
        <v>51250</v>
      </c>
      <c r="L806">
        <v>74250</v>
      </c>
      <c r="M806">
        <v>0</v>
      </c>
      <c r="N806">
        <v>123.8552</v>
      </c>
      <c r="O806">
        <v>-0.205784196</v>
      </c>
      <c r="P806">
        <v>14845</v>
      </c>
      <c r="Q806">
        <v>26.28</v>
      </c>
      <c r="R806">
        <v>3.84</v>
      </c>
      <c r="S806">
        <v>85.29</v>
      </c>
      <c r="T806">
        <v>25</v>
      </c>
      <c r="U806" s="1" t="s">
        <v>25</v>
      </c>
      <c r="V806">
        <v>0</v>
      </c>
    </row>
    <row r="807" spans="1:22" x14ac:dyDescent="0.3">
      <c r="A807" s="2">
        <v>44799</v>
      </c>
      <c r="B807">
        <v>46400</v>
      </c>
      <c r="C807">
        <v>968</v>
      </c>
      <c r="D807">
        <v>8</v>
      </c>
      <c r="E807" s="1" t="s">
        <v>43</v>
      </c>
      <c r="F807">
        <v>4</v>
      </c>
      <c r="G807" s="1" t="s">
        <v>23</v>
      </c>
      <c r="J807">
        <v>46900</v>
      </c>
      <c r="K807">
        <v>51250</v>
      </c>
      <c r="L807">
        <v>74250</v>
      </c>
      <c r="M807">
        <v>-500</v>
      </c>
      <c r="N807">
        <v>123.8552</v>
      </c>
      <c r="O807">
        <v>-0.205784196</v>
      </c>
      <c r="P807">
        <v>14773</v>
      </c>
      <c r="Q807">
        <v>26.38</v>
      </c>
      <c r="R807">
        <v>3.54</v>
      </c>
      <c r="S807">
        <v>84.57</v>
      </c>
      <c r="T807">
        <v>26</v>
      </c>
      <c r="U807" s="1" t="s">
        <v>24</v>
      </c>
      <c r="V807">
        <v>-1.07</v>
      </c>
    </row>
    <row r="808" spans="1:22" x14ac:dyDescent="0.3">
      <c r="A808" s="2">
        <v>44800</v>
      </c>
      <c r="B808">
        <v>46400</v>
      </c>
      <c r="C808">
        <v>969</v>
      </c>
      <c r="D808">
        <v>8</v>
      </c>
      <c r="E808" s="1" t="s">
        <v>43</v>
      </c>
      <c r="F808">
        <v>5</v>
      </c>
      <c r="G808" s="1" t="s">
        <v>23</v>
      </c>
      <c r="J808">
        <v>46400</v>
      </c>
      <c r="L808">
        <v>74250</v>
      </c>
      <c r="M808">
        <v>0</v>
      </c>
      <c r="N808">
        <v>123.8552</v>
      </c>
      <c r="O808">
        <v>-0.205784196</v>
      </c>
      <c r="P808">
        <v>14773</v>
      </c>
      <c r="Q808">
        <v>26.29</v>
      </c>
      <c r="R808">
        <v>3.84</v>
      </c>
      <c r="S808">
        <v>85.03</v>
      </c>
      <c r="T808">
        <v>27</v>
      </c>
      <c r="U808" s="1" t="s">
        <v>24</v>
      </c>
      <c r="V808">
        <v>-1.07</v>
      </c>
    </row>
    <row r="809" spans="1:22" x14ac:dyDescent="0.3">
      <c r="A809" s="2">
        <v>44801</v>
      </c>
      <c r="B809">
        <v>46400</v>
      </c>
      <c r="C809">
        <v>970</v>
      </c>
      <c r="D809">
        <v>8</v>
      </c>
      <c r="E809" s="1" t="s">
        <v>43</v>
      </c>
      <c r="F809">
        <v>6</v>
      </c>
      <c r="G809" s="1" t="s">
        <v>23</v>
      </c>
      <c r="H809">
        <v>46842.857142857145</v>
      </c>
      <c r="J809">
        <v>46400</v>
      </c>
      <c r="L809">
        <v>72000</v>
      </c>
      <c r="M809">
        <v>0</v>
      </c>
      <c r="N809">
        <v>123.8552</v>
      </c>
      <c r="O809">
        <v>-0.205784196</v>
      </c>
      <c r="P809">
        <v>14773</v>
      </c>
      <c r="Q809">
        <v>26.6</v>
      </c>
      <c r="R809">
        <v>3.31</v>
      </c>
      <c r="S809">
        <v>84.76</v>
      </c>
      <c r="T809">
        <v>28</v>
      </c>
      <c r="U809" s="1" t="s">
        <v>24</v>
      </c>
      <c r="V809">
        <v>-1.07</v>
      </c>
    </row>
    <row r="810" spans="1:22" x14ac:dyDescent="0.3">
      <c r="A810" s="2">
        <v>44802</v>
      </c>
      <c r="B810">
        <v>44750</v>
      </c>
      <c r="C810">
        <v>971</v>
      </c>
      <c r="D810">
        <v>8</v>
      </c>
      <c r="E810" s="1" t="s">
        <v>43</v>
      </c>
      <c r="F810">
        <v>0</v>
      </c>
      <c r="G810" s="1" t="s">
        <v>23</v>
      </c>
      <c r="H810">
        <v>46378.571428571428</v>
      </c>
      <c r="J810">
        <v>46400</v>
      </c>
      <c r="K810">
        <v>48000</v>
      </c>
      <c r="L810">
        <v>72000</v>
      </c>
      <c r="M810">
        <v>-1650</v>
      </c>
      <c r="N810">
        <v>123.8552</v>
      </c>
      <c r="O810">
        <v>-0.205784196</v>
      </c>
      <c r="P810">
        <v>14811</v>
      </c>
      <c r="Q810">
        <v>26.18</v>
      </c>
      <c r="R810">
        <v>9.9600000000000009</v>
      </c>
      <c r="S810">
        <v>85.7</v>
      </c>
      <c r="T810">
        <v>29</v>
      </c>
      <c r="U810" s="1" t="s">
        <v>95</v>
      </c>
      <c r="V810">
        <v>-3.56</v>
      </c>
    </row>
    <row r="811" spans="1:22" x14ac:dyDescent="0.3">
      <c r="A811" s="2">
        <v>44803</v>
      </c>
      <c r="B811">
        <v>44750</v>
      </c>
      <c r="C811">
        <v>972</v>
      </c>
      <c r="D811">
        <v>8</v>
      </c>
      <c r="E811" s="1" t="s">
        <v>43</v>
      </c>
      <c r="F811">
        <v>1</v>
      </c>
      <c r="G811" s="1" t="s">
        <v>23</v>
      </c>
      <c r="H811">
        <v>46071.428571428572</v>
      </c>
      <c r="J811">
        <v>44750</v>
      </c>
      <c r="K811">
        <v>46900</v>
      </c>
      <c r="L811">
        <v>72000</v>
      </c>
      <c r="M811">
        <v>0</v>
      </c>
      <c r="N811">
        <v>123.8552</v>
      </c>
      <c r="O811">
        <v>-0.205784196</v>
      </c>
      <c r="P811">
        <v>14895</v>
      </c>
      <c r="Q811">
        <v>26.46</v>
      </c>
      <c r="R811">
        <v>3.53</v>
      </c>
      <c r="S811">
        <v>83.59</v>
      </c>
      <c r="T811">
        <v>30</v>
      </c>
      <c r="U811" s="1" t="s">
        <v>25</v>
      </c>
      <c r="V811">
        <v>0</v>
      </c>
    </row>
    <row r="812" spans="1:22" x14ac:dyDescent="0.3">
      <c r="A812" s="2">
        <v>44804</v>
      </c>
      <c r="B812">
        <v>44750</v>
      </c>
      <c r="C812">
        <v>973</v>
      </c>
      <c r="D812">
        <v>8</v>
      </c>
      <c r="E812" s="1" t="s">
        <v>43</v>
      </c>
      <c r="F812">
        <v>2</v>
      </c>
      <c r="G812" s="1" t="s">
        <v>23</v>
      </c>
      <c r="H812">
        <v>45764.285714285717</v>
      </c>
      <c r="J812">
        <v>44750</v>
      </c>
      <c r="K812">
        <v>46900</v>
      </c>
      <c r="L812">
        <v>65900</v>
      </c>
      <c r="M812">
        <v>0</v>
      </c>
      <c r="N812">
        <v>123.8552</v>
      </c>
      <c r="O812">
        <v>-0.205784196</v>
      </c>
      <c r="P812">
        <v>14850</v>
      </c>
      <c r="Q812">
        <v>26.79</v>
      </c>
      <c r="R812">
        <v>6.29</v>
      </c>
      <c r="S812">
        <v>81.41</v>
      </c>
      <c r="T812">
        <v>31</v>
      </c>
      <c r="U812" s="1" t="s">
        <v>25</v>
      </c>
      <c r="V812">
        <v>0</v>
      </c>
    </row>
    <row r="813" spans="1:22" x14ac:dyDescent="0.3">
      <c r="A813" s="2">
        <v>44805</v>
      </c>
      <c r="B813">
        <v>42250</v>
      </c>
      <c r="C813">
        <v>974</v>
      </c>
      <c r="D813">
        <v>9</v>
      </c>
      <c r="E813" s="1" t="s">
        <v>43</v>
      </c>
      <c r="F813">
        <v>3</v>
      </c>
      <c r="G813" s="1" t="s">
        <v>23</v>
      </c>
      <c r="H813">
        <v>45100</v>
      </c>
      <c r="J813">
        <v>44750</v>
      </c>
      <c r="K813">
        <v>46900</v>
      </c>
      <c r="L813">
        <v>61650</v>
      </c>
      <c r="M813">
        <v>-2500</v>
      </c>
      <c r="N813">
        <v>125.2984</v>
      </c>
      <c r="O813">
        <v>1.1652316579999999</v>
      </c>
      <c r="P813">
        <v>14855</v>
      </c>
      <c r="Q813">
        <v>27.45</v>
      </c>
      <c r="R813">
        <v>26.14</v>
      </c>
      <c r="S813">
        <v>77.28</v>
      </c>
      <c r="T813">
        <v>1</v>
      </c>
      <c r="U813" s="1" t="s">
        <v>51</v>
      </c>
      <c r="V813">
        <v>-5.59</v>
      </c>
    </row>
    <row r="814" spans="1:22" x14ac:dyDescent="0.3">
      <c r="A814" s="2">
        <v>44806</v>
      </c>
      <c r="B814">
        <v>41000</v>
      </c>
      <c r="C814">
        <v>975</v>
      </c>
      <c r="D814">
        <v>9</v>
      </c>
      <c r="E814" s="1" t="s">
        <v>43</v>
      </c>
      <c r="F814">
        <v>4</v>
      </c>
      <c r="G814" s="1" t="s">
        <v>23</v>
      </c>
      <c r="H814">
        <v>44328.571428571428</v>
      </c>
      <c r="J814">
        <v>42250</v>
      </c>
      <c r="K814">
        <v>46400</v>
      </c>
      <c r="L814">
        <v>59250</v>
      </c>
      <c r="M814">
        <v>-1250</v>
      </c>
      <c r="N814">
        <v>125.2984</v>
      </c>
      <c r="O814">
        <v>1.1652316579999999</v>
      </c>
      <c r="P814">
        <v>14902.099609999999</v>
      </c>
      <c r="Q814">
        <v>27.1</v>
      </c>
      <c r="R814">
        <v>4.16</v>
      </c>
      <c r="S814">
        <v>81.8</v>
      </c>
      <c r="T814">
        <v>2</v>
      </c>
      <c r="U814" s="1" t="s">
        <v>40</v>
      </c>
      <c r="V814">
        <v>-2.96</v>
      </c>
    </row>
    <row r="815" spans="1:22" x14ac:dyDescent="0.3">
      <c r="A815" s="2">
        <v>44807</v>
      </c>
      <c r="B815">
        <v>41000</v>
      </c>
      <c r="C815">
        <v>976</v>
      </c>
      <c r="D815">
        <v>9</v>
      </c>
      <c r="E815" s="1" t="s">
        <v>43</v>
      </c>
      <c r="F815">
        <v>5</v>
      </c>
      <c r="G815" s="1" t="s">
        <v>23</v>
      </c>
      <c r="H815">
        <v>43557.142857142855</v>
      </c>
      <c r="J815">
        <v>41000</v>
      </c>
      <c r="K815">
        <v>46400</v>
      </c>
      <c r="L815">
        <v>56900</v>
      </c>
      <c r="M815">
        <v>0</v>
      </c>
      <c r="N815">
        <v>125.2984</v>
      </c>
      <c r="O815">
        <v>1.1652316579999999</v>
      </c>
      <c r="P815">
        <v>14902.099609999999</v>
      </c>
      <c r="Q815">
        <v>26.73</v>
      </c>
      <c r="R815">
        <v>3.34</v>
      </c>
      <c r="S815">
        <v>85.47</v>
      </c>
      <c r="T815">
        <v>3</v>
      </c>
      <c r="U815" s="1" t="s">
        <v>40</v>
      </c>
      <c r="V815">
        <v>-2.96</v>
      </c>
    </row>
    <row r="816" spans="1:22" x14ac:dyDescent="0.3">
      <c r="A816" s="2">
        <v>44808</v>
      </c>
      <c r="B816">
        <v>41000</v>
      </c>
      <c r="C816">
        <v>977</v>
      </c>
      <c r="D816">
        <v>9</v>
      </c>
      <c r="E816" s="1" t="s">
        <v>43</v>
      </c>
      <c r="F816">
        <v>6</v>
      </c>
      <c r="G816" s="1" t="s">
        <v>23</v>
      </c>
      <c r="H816">
        <v>42785.714285714283</v>
      </c>
      <c r="J816">
        <v>41000</v>
      </c>
      <c r="K816">
        <v>46400</v>
      </c>
      <c r="L816">
        <v>56250</v>
      </c>
      <c r="M816">
        <v>0</v>
      </c>
      <c r="N816">
        <v>125.2984</v>
      </c>
      <c r="O816">
        <v>1.1652316579999999</v>
      </c>
      <c r="P816">
        <v>14902.099609999999</v>
      </c>
      <c r="Q816">
        <v>26.06</v>
      </c>
      <c r="R816">
        <v>4.6100000000000003</v>
      </c>
      <c r="S816">
        <v>83.37</v>
      </c>
      <c r="T816">
        <v>4</v>
      </c>
      <c r="U816" s="1" t="s">
        <v>40</v>
      </c>
      <c r="V816">
        <v>-2.96</v>
      </c>
    </row>
    <row r="817" spans="1:22" x14ac:dyDescent="0.3">
      <c r="A817" s="2">
        <v>44809</v>
      </c>
      <c r="B817">
        <v>39650</v>
      </c>
      <c r="C817">
        <v>978</v>
      </c>
      <c r="D817">
        <v>9</v>
      </c>
      <c r="E817" s="1" t="s">
        <v>43</v>
      </c>
      <c r="F817">
        <v>0</v>
      </c>
      <c r="G817" s="1" t="s">
        <v>23</v>
      </c>
      <c r="H817">
        <v>42057.142857142855</v>
      </c>
      <c r="J817">
        <v>41000</v>
      </c>
      <c r="K817">
        <v>44750</v>
      </c>
      <c r="L817">
        <v>56250</v>
      </c>
      <c r="M817">
        <v>-1350</v>
      </c>
      <c r="N817">
        <v>125.2984</v>
      </c>
      <c r="O817">
        <v>1.1652316579999999</v>
      </c>
      <c r="P817">
        <v>14890</v>
      </c>
      <c r="Q817">
        <v>26.45</v>
      </c>
      <c r="R817">
        <v>2.94</v>
      </c>
      <c r="S817">
        <v>80.34</v>
      </c>
      <c r="T817">
        <v>5</v>
      </c>
      <c r="U817" s="1" t="s">
        <v>96</v>
      </c>
      <c r="V817">
        <v>-3.29</v>
      </c>
    </row>
    <row r="818" spans="1:22" x14ac:dyDescent="0.3">
      <c r="A818" s="2">
        <v>44810</v>
      </c>
      <c r="B818">
        <v>39650</v>
      </c>
      <c r="C818">
        <v>979</v>
      </c>
      <c r="D818">
        <v>9</v>
      </c>
      <c r="E818" s="1" t="s">
        <v>43</v>
      </c>
      <c r="F818">
        <v>1</v>
      </c>
      <c r="G818" s="1" t="s">
        <v>23</v>
      </c>
      <c r="H818">
        <v>41328.571428571428</v>
      </c>
      <c r="J818">
        <v>39650</v>
      </c>
      <c r="K818">
        <v>44750</v>
      </c>
      <c r="L818">
        <v>56250</v>
      </c>
      <c r="M818">
        <v>0</v>
      </c>
      <c r="N818">
        <v>125.2984</v>
      </c>
      <c r="O818">
        <v>1.1652316579999999</v>
      </c>
      <c r="P818">
        <v>14882.299800000001</v>
      </c>
      <c r="Q818">
        <v>26.91</v>
      </c>
      <c r="R818">
        <v>9.4700000000000006</v>
      </c>
      <c r="S818">
        <v>79.58</v>
      </c>
      <c r="T818">
        <v>6</v>
      </c>
      <c r="U818" s="1" t="s">
        <v>25</v>
      </c>
      <c r="V818">
        <v>0</v>
      </c>
    </row>
    <row r="819" spans="1:22" x14ac:dyDescent="0.3">
      <c r="A819" s="2">
        <v>44811</v>
      </c>
      <c r="B819">
        <v>39000</v>
      </c>
      <c r="C819">
        <v>980</v>
      </c>
      <c r="D819">
        <v>9</v>
      </c>
      <c r="E819" s="1" t="s">
        <v>43</v>
      </c>
      <c r="F819">
        <v>2</v>
      </c>
      <c r="G819" s="1" t="s">
        <v>23</v>
      </c>
      <c r="H819">
        <v>40507.142857142855</v>
      </c>
      <c r="J819">
        <v>39650</v>
      </c>
      <c r="K819">
        <v>44750</v>
      </c>
      <c r="L819">
        <v>54750</v>
      </c>
      <c r="M819">
        <v>-650</v>
      </c>
      <c r="N819">
        <v>125.2984</v>
      </c>
      <c r="O819">
        <v>1.1652316579999999</v>
      </c>
      <c r="P819">
        <v>14904</v>
      </c>
      <c r="Q819">
        <v>26</v>
      </c>
      <c r="R819">
        <v>12.31</v>
      </c>
      <c r="S819">
        <v>84.07</v>
      </c>
      <c r="T819">
        <v>7</v>
      </c>
      <c r="U819" s="1" t="s">
        <v>72</v>
      </c>
      <c r="V819">
        <v>-1.64</v>
      </c>
    </row>
    <row r="820" spans="1:22" x14ac:dyDescent="0.3">
      <c r="A820" s="2">
        <v>44812</v>
      </c>
      <c r="B820">
        <v>39150</v>
      </c>
      <c r="C820">
        <v>981</v>
      </c>
      <c r="D820">
        <v>9</v>
      </c>
      <c r="E820" s="1" t="s">
        <v>43</v>
      </c>
      <c r="F820">
        <v>3</v>
      </c>
      <c r="G820" s="1" t="s">
        <v>23</v>
      </c>
      <c r="H820">
        <v>40064.285714285717</v>
      </c>
      <c r="J820">
        <v>39000</v>
      </c>
      <c r="K820">
        <v>42250</v>
      </c>
      <c r="L820">
        <v>53250</v>
      </c>
      <c r="M820">
        <v>150</v>
      </c>
      <c r="N820">
        <v>125.2984</v>
      </c>
      <c r="O820">
        <v>1.1652316579999999</v>
      </c>
      <c r="P820">
        <v>14865.299800000001</v>
      </c>
      <c r="Q820">
        <v>26.74</v>
      </c>
      <c r="R820">
        <v>0.46</v>
      </c>
      <c r="S820">
        <v>83.64</v>
      </c>
      <c r="T820">
        <v>8</v>
      </c>
      <c r="U820" s="1" t="s">
        <v>66</v>
      </c>
      <c r="V820">
        <v>0.38</v>
      </c>
    </row>
    <row r="821" spans="1:22" x14ac:dyDescent="0.3">
      <c r="A821" s="2">
        <v>44813</v>
      </c>
      <c r="B821">
        <v>38500</v>
      </c>
      <c r="C821">
        <v>982</v>
      </c>
      <c r="D821">
        <v>9</v>
      </c>
      <c r="E821" s="1" t="s">
        <v>43</v>
      </c>
      <c r="F821">
        <v>4</v>
      </c>
      <c r="G821" s="1" t="s">
        <v>23</v>
      </c>
      <c r="H821">
        <v>39707.142857142855</v>
      </c>
      <c r="J821">
        <v>39150</v>
      </c>
      <c r="K821">
        <v>41000</v>
      </c>
      <c r="L821">
        <v>54750</v>
      </c>
      <c r="M821">
        <v>-650</v>
      </c>
      <c r="N821">
        <v>125.2984</v>
      </c>
      <c r="O821">
        <v>1.1652316579999999</v>
      </c>
      <c r="P821">
        <v>14892.299800000001</v>
      </c>
      <c r="Q821">
        <v>26.85</v>
      </c>
      <c r="R821">
        <v>1.82</v>
      </c>
      <c r="S821">
        <v>83.26</v>
      </c>
      <c r="T821">
        <v>9</v>
      </c>
      <c r="U821" s="1" t="s">
        <v>72</v>
      </c>
      <c r="V821">
        <v>-1.66</v>
      </c>
    </row>
    <row r="822" spans="1:22" x14ac:dyDescent="0.3">
      <c r="A822" s="2">
        <v>44814</v>
      </c>
      <c r="B822">
        <v>38500</v>
      </c>
      <c r="C822">
        <v>983</v>
      </c>
      <c r="D822">
        <v>9</v>
      </c>
      <c r="E822" s="1" t="s">
        <v>43</v>
      </c>
      <c r="F822">
        <v>5</v>
      </c>
      <c r="G822" s="1" t="s">
        <v>23</v>
      </c>
      <c r="H822">
        <v>39350</v>
      </c>
      <c r="J822">
        <v>38500</v>
      </c>
      <c r="K822">
        <v>41000</v>
      </c>
      <c r="L822">
        <v>55500</v>
      </c>
      <c r="M822">
        <v>0</v>
      </c>
      <c r="N822">
        <v>125.2984</v>
      </c>
      <c r="O822">
        <v>1.1652316579999999</v>
      </c>
      <c r="P822">
        <v>14892.299800000001</v>
      </c>
      <c r="Q822">
        <v>26.86</v>
      </c>
      <c r="R822">
        <v>9.83</v>
      </c>
      <c r="S822">
        <v>82.71</v>
      </c>
      <c r="T822">
        <v>10</v>
      </c>
      <c r="U822" s="1" t="s">
        <v>72</v>
      </c>
      <c r="V822">
        <v>-1.66</v>
      </c>
    </row>
    <row r="823" spans="1:22" x14ac:dyDescent="0.3">
      <c r="A823" s="2">
        <v>44815</v>
      </c>
      <c r="B823">
        <v>38500</v>
      </c>
      <c r="C823">
        <v>984</v>
      </c>
      <c r="D823">
        <v>9</v>
      </c>
      <c r="E823" s="1" t="s">
        <v>43</v>
      </c>
      <c r="F823">
        <v>6</v>
      </c>
      <c r="G823" s="1" t="s">
        <v>23</v>
      </c>
      <c r="H823">
        <v>38992.857142857145</v>
      </c>
      <c r="J823">
        <v>38500</v>
      </c>
      <c r="K823">
        <v>41000</v>
      </c>
      <c r="L823">
        <v>53900</v>
      </c>
      <c r="M823">
        <v>0</v>
      </c>
      <c r="N823">
        <v>125.2984</v>
      </c>
      <c r="O823">
        <v>1.1652316579999999</v>
      </c>
      <c r="P823">
        <v>14892.299800000001</v>
      </c>
      <c r="Q823">
        <v>25.75</v>
      </c>
      <c r="R823">
        <v>12.16</v>
      </c>
      <c r="S823">
        <v>84.45</v>
      </c>
      <c r="T823">
        <v>11</v>
      </c>
      <c r="U823" s="1" t="s">
        <v>72</v>
      </c>
      <c r="V823">
        <v>-1.66</v>
      </c>
    </row>
    <row r="824" spans="1:22" x14ac:dyDescent="0.3">
      <c r="A824" s="2">
        <v>44816</v>
      </c>
      <c r="B824">
        <v>42750</v>
      </c>
      <c r="C824">
        <v>985</v>
      </c>
      <c r="D824">
        <v>9</v>
      </c>
      <c r="E824" s="1" t="s">
        <v>43</v>
      </c>
      <c r="F824">
        <v>0</v>
      </c>
      <c r="G824" s="1" t="s">
        <v>23</v>
      </c>
      <c r="H824">
        <v>39435.714285714283</v>
      </c>
      <c r="J824">
        <v>38500</v>
      </c>
      <c r="K824">
        <v>39650</v>
      </c>
      <c r="L824">
        <v>53900</v>
      </c>
      <c r="M824">
        <v>4250</v>
      </c>
      <c r="N824">
        <v>125.2984</v>
      </c>
      <c r="O824">
        <v>1.1652316579999999</v>
      </c>
      <c r="P824">
        <v>14823</v>
      </c>
      <c r="Q824">
        <v>26.98</v>
      </c>
      <c r="R824">
        <v>3.47</v>
      </c>
      <c r="S824">
        <v>76.650000000000006</v>
      </c>
      <c r="T824">
        <v>12</v>
      </c>
      <c r="U824" s="1" t="s">
        <v>97</v>
      </c>
      <c r="V824">
        <v>11.04</v>
      </c>
    </row>
    <row r="825" spans="1:22" x14ac:dyDescent="0.3">
      <c r="A825" s="2">
        <v>44817</v>
      </c>
      <c r="B825">
        <v>42500</v>
      </c>
      <c r="C825">
        <v>986</v>
      </c>
      <c r="D825">
        <v>9</v>
      </c>
      <c r="E825" s="1" t="s">
        <v>43</v>
      </c>
      <c r="F825">
        <v>1</v>
      </c>
      <c r="G825" s="1" t="s">
        <v>23</v>
      </c>
      <c r="H825">
        <v>39842.857142857145</v>
      </c>
      <c r="J825">
        <v>42750</v>
      </c>
      <c r="K825">
        <v>39650</v>
      </c>
      <c r="L825">
        <v>53900</v>
      </c>
      <c r="M825">
        <v>-250</v>
      </c>
      <c r="N825">
        <v>125.2984</v>
      </c>
      <c r="O825">
        <v>1.1652316579999999</v>
      </c>
      <c r="P825">
        <v>14858.700199999999</v>
      </c>
      <c r="Q825">
        <v>26.58</v>
      </c>
      <c r="R825">
        <v>4.95</v>
      </c>
      <c r="S825">
        <v>83.32</v>
      </c>
      <c r="T825">
        <v>13</v>
      </c>
      <c r="U825" s="1" t="s">
        <v>35</v>
      </c>
      <c r="V825">
        <v>-0.57999999999999996</v>
      </c>
    </row>
    <row r="826" spans="1:22" x14ac:dyDescent="0.3">
      <c r="A826" s="2">
        <v>44818</v>
      </c>
      <c r="B826">
        <v>41750</v>
      </c>
      <c r="C826">
        <v>987</v>
      </c>
      <c r="D826">
        <v>9</v>
      </c>
      <c r="E826" s="1" t="s">
        <v>43</v>
      </c>
      <c r="F826">
        <v>2</v>
      </c>
      <c r="G826" s="1" t="s">
        <v>23</v>
      </c>
      <c r="H826">
        <v>40235.714285714283</v>
      </c>
      <c r="J826">
        <v>42500</v>
      </c>
      <c r="K826">
        <v>39000</v>
      </c>
      <c r="L826">
        <v>53150</v>
      </c>
      <c r="M826">
        <v>-750</v>
      </c>
      <c r="N826">
        <v>125.2984</v>
      </c>
      <c r="O826">
        <v>1.1652316579999999</v>
      </c>
      <c r="P826">
        <v>14954.900390000001</v>
      </c>
      <c r="Q826">
        <v>26.78</v>
      </c>
      <c r="R826">
        <v>1.98</v>
      </c>
      <c r="S826">
        <v>77.75</v>
      </c>
      <c r="T826">
        <v>14</v>
      </c>
      <c r="U826" s="1" t="s">
        <v>42</v>
      </c>
      <c r="V826">
        <v>-1.76</v>
      </c>
    </row>
    <row r="827" spans="1:22" x14ac:dyDescent="0.3">
      <c r="A827" s="2">
        <v>44819</v>
      </c>
      <c r="B827">
        <v>41750</v>
      </c>
      <c r="C827">
        <v>988</v>
      </c>
      <c r="D827">
        <v>9</v>
      </c>
      <c r="E827" s="1" t="s">
        <v>43</v>
      </c>
      <c r="F827">
        <v>3</v>
      </c>
      <c r="G827" s="1" t="s">
        <v>23</v>
      </c>
      <c r="H827">
        <v>40607.142857142855</v>
      </c>
      <c r="J827">
        <v>41750</v>
      </c>
      <c r="K827">
        <v>39150</v>
      </c>
      <c r="L827">
        <v>52650</v>
      </c>
      <c r="M827">
        <v>0</v>
      </c>
      <c r="N827">
        <v>125.2984</v>
      </c>
      <c r="O827">
        <v>1.1652316579999999</v>
      </c>
      <c r="P827">
        <v>14915</v>
      </c>
      <c r="Q827">
        <v>27.12</v>
      </c>
      <c r="R827">
        <v>6.54</v>
      </c>
      <c r="S827">
        <v>77.86</v>
      </c>
      <c r="T827">
        <v>15</v>
      </c>
      <c r="U827" s="1" t="s">
        <v>25</v>
      </c>
      <c r="V827">
        <v>0</v>
      </c>
    </row>
    <row r="828" spans="1:22" x14ac:dyDescent="0.3">
      <c r="A828" s="2">
        <v>44820</v>
      </c>
      <c r="B828">
        <v>41750</v>
      </c>
      <c r="C828">
        <v>989</v>
      </c>
      <c r="D828">
        <v>9</v>
      </c>
      <c r="E828" s="1" t="s">
        <v>43</v>
      </c>
      <c r="F828">
        <v>4</v>
      </c>
      <c r="G828" s="1" t="s">
        <v>23</v>
      </c>
      <c r="H828">
        <v>41071.428571428572</v>
      </c>
      <c r="J828">
        <v>41750</v>
      </c>
      <c r="K828">
        <v>38500</v>
      </c>
      <c r="M828">
        <v>0</v>
      </c>
      <c r="N828">
        <v>125.2984</v>
      </c>
      <c r="O828">
        <v>1.1652316579999999</v>
      </c>
      <c r="P828">
        <v>14933.599609999999</v>
      </c>
      <c r="Q828">
        <v>27.21</v>
      </c>
      <c r="R828">
        <v>12.02</v>
      </c>
      <c r="S828">
        <v>82.24</v>
      </c>
      <c r="T828">
        <v>16</v>
      </c>
      <c r="U828" s="1" t="s">
        <v>25</v>
      </c>
      <c r="V828">
        <v>0</v>
      </c>
    </row>
    <row r="829" spans="1:22" x14ac:dyDescent="0.3">
      <c r="A829" s="2">
        <v>44823</v>
      </c>
      <c r="B829">
        <v>38250</v>
      </c>
      <c r="C829">
        <v>992</v>
      </c>
      <c r="D829">
        <v>9</v>
      </c>
      <c r="E829" s="1" t="s">
        <v>43</v>
      </c>
      <c r="F829">
        <v>0</v>
      </c>
      <c r="G829" s="1" t="s">
        <v>23</v>
      </c>
      <c r="K829">
        <v>42750</v>
      </c>
      <c r="N829">
        <v>125.2984</v>
      </c>
      <c r="O829">
        <v>1.1652316579999999</v>
      </c>
      <c r="P829">
        <v>14946</v>
      </c>
      <c r="Q829">
        <v>27.03</v>
      </c>
      <c r="R829">
        <v>1.61</v>
      </c>
      <c r="S829">
        <v>80.83</v>
      </c>
      <c r="T829">
        <v>19</v>
      </c>
      <c r="U829" s="1" t="s">
        <v>53</v>
      </c>
      <c r="V829">
        <v>-8.3800000000000008</v>
      </c>
    </row>
    <row r="830" spans="1:22" x14ac:dyDescent="0.3">
      <c r="A830" s="2">
        <v>44824</v>
      </c>
      <c r="B830">
        <v>38750</v>
      </c>
      <c r="C830">
        <v>993</v>
      </c>
      <c r="D830">
        <v>9</v>
      </c>
      <c r="E830" s="1" t="s">
        <v>43</v>
      </c>
      <c r="F830">
        <v>1</v>
      </c>
      <c r="G830" s="1" t="s">
        <v>23</v>
      </c>
      <c r="J830">
        <v>38250</v>
      </c>
      <c r="K830">
        <v>42500</v>
      </c>
      <c r="M830">
        <v>500</v>
      </c>
      <c r="N830">
        <v>125.2984</v>
      </c>
      <c r="O830">
        <v>1.1652316579999999</v>
      </c>
      <c r="P830">
        <v>14985.799800000001</v>
      </c>
      <c r="Q830">
        <v>27.19</v>
      </c>
      <c r="R830">
        <v>1.18</v>
      </c>
      <c r="S830">
        <v>79.23</v>
      </c>
      <c r="T830">
        <v>20</v>
      </c>
      <c r="U830" s="1" t="s">
        <v>26</v>
      </c>
      <c r="V830">
        <v>1.31</v>
      </c>
    </row>
    <row r="831" spans="1:22" x14ac:dyDescent="0.3">
      <c r="A831" s="2">
        <v>44825</v>
      </c>
      <c r="B831">
        <v>38750</v>
      </c>
      <c r="C831">
        <v>994</v>
      </c>
      <c r="D831">
        <v>9</v>
      </c>
      <c r="E831" s="1" t="s">
        <v>43</v>
      </c>
      <c r="F831">
        <v>2</v>
      </c>
      <c r="G831" s="1" t="s">
        <v>23</v>
      </c>
      <c r="J831">
        <v>38750</v>
      </c>
      <c r="K831">
        <v>41750</v>
      </c>
      <c r="L831">
        <v>48000</v>
      </c>
      <c r="M831">
        <v>0</v>
      </c>
      <c r="N831">
        <v>125.2984</v>
      </c>
      <c r="O831">
        <v>1.1652316579999999</v>
      </c>
      <c r="P831">
        <v>15008.599609999999</v>
      </c>
      <c r="Q831">
        <v>27.39</v>
      </c>
      <c r="R831">
        <v>5.14</v>
      </c>
      <c r="S831">
        <v>77.06</v>
      </c>
      <c r="T831">
        <v>21</v>
      </c>
      <c r="U831" s="1" t="s">
        <v>25</v>
      </c>
      <c r="V831">
        <v>0</v>
      </c>
    </row>
    <row r="832" spans="1:22" x14ac:dyDescent="0.3">
      <c r="A832" s="2">
        <v>44826</v>
      </c>
      <c r="B832">
        <v>37250</v>
      </c>
      <c r="C832">
        <v>995</v>
      </c>
      <c r="D832">
        <v>9</v>
      </c>
      <c r="E832" s="1" t="s">
        <v>43</v>
      </c>
      <c r="F832">
        <v>3</v>
      </c>
      <c r="G832" s="1" t="s">
        <v>23</v>
      </c>
      <c r="J832">
        <v>38750</v>
      </c>
      <c r="K832">
        <v>41750</v>
      </c>
      <c r="L832">
        <v>46900</v>
      </c>
      <c r="M832">
        <v>-1500</v>
      </c>
      <c r="N832">
        <v>125.2984</v>
      </c>
      <c r="O832">
        <v>1.1652316579999999</v>
      </c>
      <c r="P832">
        <v>15019</v>
      </c>
      <c r="Q832">
        <v>26.97</v>
      </c>
      <c r="R832">
        <v>4.55</v>
      </c>
      <c r="S832">
        <v>82.36</v>
      </c>
      <c r="T832">
        <v>22</v>
      </c>
      <c r="U832" s="1" t="s">
        <v>37</v>
      </c>
      <c r="V832">
        <v>-3.87</v>
      </c>
    </row>
    <row r="833" spans="1:22" x14ac:dyDescent="0.3">
      <c r="A833" s="2">
        <v>44827</v>
      </c>
      <c r="B833">
        <v>36750</v>
      </c>
      <c r="C833">
        <v>996</v>
      </c>
      <c r="D833">
        <v>9</v>
      </c>
      <c r="E833" s="1" t="s">
        <v>43</v>
      </c>
      <c r="F833">
        <v>4</v>
      </c>
      <c r="G833" s="1" t="s">
        <v>23</v>
      </c>
      <c r="J833">
        <v>37250</v>
      </c>
      <c r="K833">
        <v>41750</v>
      </c>
      <c r="L833">
        <v>46900</v>
      </c>
      <c r="M833">
        <v>-500</v>
      </c>
      <c r="N833">
        <v>125.2984</v>
      </c>
      <c r="O833">
        <v>1.1652316579999999</v>
      </c>
      <c r="P833">
        <v>15026.599609999999</v>
      </c>
      <c r="Q833">
        <v>27.38</v>
      </c>
      <c r="R833">
        <v>2.15</v>
      </c>
      <c r="S833">
        <v>80.38</v>
      </c>
      <c r="T833">
        <v>23</v>
      </c>
      <c r="U833" s="1" t="s">
        <v>24</v>
      </c>
      <c r="V833">
        <v>-1.34</v>
      </c>
    </row>
    <row r="834" spans="1:22" x14ac:dyDescent="0.3">
      <c r="A834" s="2">
        <v>44830</v>
      </c>
      <c r="B834">
        <v>36750</v>
      </c>
      <c r="C834">
        <v>999</v>
      </c>
      <c r="D834">
        <v>9</v>
      </c>
      <c r="E834" s="1" t="s">
        <v>43</v>
      </c>
      <c r="F834">
        <v>0</v>
      </c>
      <c r="G834" s="1" t="s">
        <v>23</v>
      </c>
      <c r="K834">
        <v>38250</v>
      </c>
      <c r="L834">
        <v>46400</v>
      </c>
      <c r="N834">
        <v>125.2984</v>
      </c>
      <c r="O834">
        <v>1.1652316579999999</v>
      </c>
      <c r="P834">
        <v>15031</v>
      </c>
      <c r="Q834">
        <v>27.47</v>
      </c>
      <c r="R834">
        <v>0.38</v>
      </c>
      <c r="S834">
        <v>76.23</v>
      </c>
      <c r="T834">
        <v>26</v>
      </c>
      <c r="U834" s="1" t="s">
        <v>25</v>
      </c>
      <c r="V834">
        <v>0</v>
      </c>
    </row>
    <row r="835" spans="1:22" x14ac:dyDescent="0.3">
      <c r="A835" s="2">
        <v>44831</v>
      </c>
      <c r="B835">
        <v>36750</v>
      </c>
      <c r="C835">
        <v>1000</v>
      </c>
      <c r="D835">
        <v>9</v>
      </c>
      <c r="E835" s="1" t="s">
        <v>43</v>
      </c>
      <c r="F835">
        <v>1</v>
      </c>
      <c r="G835" s="1" t="s">
        <v>23</v>
      </c>
      <c r="J835">
        <v>36750</v>
      </c>
      <c r="K835">
        <v>38750</v>
      </c>
      <c r="L835">
        <v>46400</v>
      </c>
      <c r="M835">
        <v>0</v>
      </c>
      <c r="N835">
        <v>125.2984</v>
      </c>
      <c r="O835">
        <v>1.1652316579999999</v>
      </c>
      <c r="P835">
        <v>15204</v>
      </c>
      <c r="Q835">
        <v>27.51</v>
      </c>
      <c r="R835">
        <v>1.86</v>
      </c>
      <c r="S835">
        <v>77.55</v>
      </c>
      <c r="T835">
        <v>27</v>
      </c>
      <c r="U835" s="1" t="s">
        <v>25</v>
      </c>
      <c r="V835">
        <v>0</v>
      </c>
    </row>
    <row r="836" spans="1:22" x14ac:dyDescent="0.3">
      <c r="A836" s="2">
        <v>44832</v>
      </c>
      <c r="B836">
        <v>36750</v>
      </c>
      <c r="C836">
        <v>1001</v>
      </c>
      <c r="D836">
        <v>9</v>
      </c>
      <c r="E836" s="1" t="s">
        <v>43</v>
      </c>
      <c r="F836">
        <v>2</v>
      </c>
      <c r="G836" s="1" t="s">
        <v>23</v>
      </c>
      <c r="J836">
        <v>36750</v>
      </c>
      <c r="K836">
        <v>38750</v>
      </c>
      <c r="L836">
        <v>44750</v>
      </c>
      <c r="M836">
        <v>0</v>
      </c>
      <c r="N836">
        <v>125.2984</v>
      </c>
      <c r="O836">
        <v>1.1652316579999999</v>
      </c>
      <c r="P836">
        <v>15167.200199999999</v>
      </c>
      <c r="Q836">
        <v>27.18</v>
      </c>
      <c r="R836">
        <v>4.38</v>
      </c>
      <c r="S836">
        <v>79.62</v>
      </c>
      <c r="T836">
        <v>28</v>
      </c>
      <c r="U836" s="1" t="s">
        <v>25</v>
      </c>
      <c r="V836">
        <v>0</v>
      </c>
    </row>
    <row r="837" spans="1:22" x14ac:dyDescent="0.3">
      <c r="A837" s="2">
        <v>44833</v>
      </c>
      <c r="B837">
        <v>36500</v>
      </c>
      <c r="C837">
        <v>1002</v>
      </c>
      <c r="D837">
        <v>9</v>
      </c>
      <c r="E837" s="1" t="s">
        <v>43</v>
      </c>
      <c r="F837">
        <v>3</v>
      </c>
      <c r="G837" s="1" t="s">
        <v>23</v>
      </c>
      <c r="J837">
        <v>36750</v>
      </c>
      <c r="K837">
        <v>37250</v>
      </c>
      <c r="L837">
        <v>44750</v>
      </c>
      <c r="M837">
        <v>-250</v>
      </c>
      <c r="N837">
        <v>125.2984</v>
      </c>
      <c r="O837">
        <v>1.1652316579999999</v>
      </c>
      <c r="P837">
        <v>15175.299800000001</v>
      </c>
      <c r="Q837">
        <v>27.13</v>
      </c>
      <c r="R837">
        <v>4.88</v>
      </c>
      <c r="S837">
        <v>83.25</v>
      </c>
      <c r="T837">
        <v>29</v>
      </c>
      <c r="U837" s="1" t="s">
        <v>35</v>
      </c>
      <c r="V837">
        <v>-0.68</v>
      </c>
    </row>
    <row r="838" spans="1:22" x14ac:dyDescent="0.3">
      <c r="A838" s="2">
        <v>44834</v>
      </c>
      <c r="B838">
        <v>35900</v>
      </c>
      <c r="C838">
        <v>1003</v>
      </c>
      <c r="D838">
        <v>9</v>
      </c>
      <c r="E838" s="1" t="s">
        <v>43</v>
      </c>
      <c r="F838">
        <v>4</v>
      </c>
      <c r="G838" s="1" t="s">
        <v>23</v>
      </c>
      <c r="J838">
        <v>36500</v>
      </c>
      <c r="K838">
        <v>36750</v>
      </c>
      <c r="L838">
        <v>44750</v>
      </c>
      <c r="M838">
        <v>-600</v>
      </c>
      <c r="N838">
        <v>125.2984</v>
      </c>
      <c r="O838">
        <v>1.1652316579999999</v>
      </c>
      <c r="P838">
        <v>15175.200199999999</v>
      </c>
      <c r="Q838">
        <v>27.4</v>
      </c>
      <c r="R838">
        <v>4.18</v>
      </c>
      <c r="S838">
        <v>81.22</v>
      </c>
      <c r="T838">
        <v>30</v>
      </c>
      <c r="U838" s="1" t="s">
        <v>62</v>
      </c>
      <c r="V838">
        <v>-1.64</v>
      </c>
    </row>
    <row r="839" spans="1:22" x14ac:dyDescent="0.3">
      <c r="A839" s="2">
        <v>44835</v>
      </c>
      <c r="B839">
        <v>35900</v>
      </c>
      <c r="C839">
        <v>1004</v>
      </c>
      <c r="D839">
        <v>10</v>
      </c>
      <c r="E839" s="1" t="s">
        <v>22</v>
      </c>
      <c r="F839">
        <v>5</v>
      </c>
      <c r="G839" s="1" t="s">
        <v>23</v>
      </c>
      <c r="J839">
        <v>35900</v>
      </c>
      <c r="L839">
        <v>42250</v>
      </c>
      <c r="M839">
        <v>0</v>
      </c>
      <c r="N839">
        <v>125.1652</v>
      </c>
      <c r="O839">
        <v>-0.106306226</v>
      </c>
      <c r="P839">
        <v>15175.200199999999</v>
      </c>
      <c r="Q839">
        <v>27.19</v>
      </c>
      <c r="R839">
        <v>3.15</v>
      </c>
      <c r="S839">
        <v>81.819999999999993</v>
      </c>
      <c r="T839">
        <v>1</v>
      </c>
      <c r="U839" s="1" t="s">
        <v>62</v>
      </c>
      <c r="V839">
        <v>-1.64</v>
      </c>
    </row>
    <row r="840" spans="1:22" x14ac:dyDescent="0.3">
      <c r="A840" s="2">
        <v>44836</v>
      </c>
      <c r="B840">
        <v>35900</v>
      </c>
      <c r="C840">
        <v>1005</v>
      </c>
      <c r="D840">
        <v>10</v>
      </c>
      <c r="E840" s="1" t="s">
        <v>22</v>
      </c>
      <c r="F840">
        <v>6</v>
      </c>
      <c r="G840" s="1" t="s">
        <v>23</v>
      </c>
      <c r="H840">
        <v>36350</v>
      </c>
      <c r="J840">
        <v>35900</v>
      </c>
      <c r="L840">
        <v>41000</v>
      </c>
      <c r="M840">
        <v>0</v>
      </c>
      <c r="N840">
        <v>125.1652</v>
      </c>
      <c r="O840">
        <v>-0.106306226</v>
      </c>
      <c r="P840">
        <v>15175.200199999999</v>
      </c>
      <c r="Q840">
        <v>26.72</v>
      </c>
      <c r="R840">
        <v>4.01</v>
      </c>
      <c r="S840">
        <v>82.65</v>
      </c>
      <c r="T840">
        <v>2</v>
      </c>
      <c r="U840" s="1" t="s">
        <v>62</v>
      </c>
      <c r="V840">
        <v>-1.64</v>
      </c>
    </row>
    <row r="841" spans="1:22" x14ac:dyDescent="0.3">
      <c r="A841" s="2">
        <v>44837</v>
      </c>
      <c r="B841">
        <v>34400</v>
      </c>
      <c r="C841">
        <v>1006</v>
      </c>
      <c r="D841">
        <v>10</v>
      </c>
      <c r="E841" s="1" t="s">
        <v>22</v>
      </c>
      <c r="F841">
        <v>0</v>
      </c>
      <c r="G841" s="1" t="s">
        <v>23</v>
      </c>
      <c r="H841">
        <v>36014.285714285717</v>
      </c>
      <c r="J841">
        <v>35900</v>
      </c>
      <c r="K841">
        <v>36750</v>
      </c>
      <c r="L841">
        <v>41000</v>
      </c>
      <c r="M841">
        <v>-1500</v>
      </c>
      <c r="N841">
        <v>125.1652</v>
      </c>
      <c r="O841">
        <v>-0.106306226</v>
      </c>
      <c r="P841">
        <v>15221</v>
      </c>
      <c r="Q841">
        <v>27</v>
      </c>
      <c r="R841">
        <v>2.21</v>
      </c>
      <c r="S841">
        <v>81.67</v>
      </c>
      <c r="T841">
        <v>3</v>
      </c>
      <c r="U841" s="1" t="s">
        <v>37</v>
      </c>
      <c r="V841">
        <v>-4.18</v>
      </c>
    </row>
    <row r="842" spans="1:22" x14ac:dyDescent="0.3">
      <c r="A842" s="2">
        <v>44838</v>
      </c>
      <c r="B842">
        <v>34400</v>
      </c>
      <c r="C842">
        <v>1007</v>
      </c>
      <c r="D842">
        <v>10</v>
      </c>
      <c r="E842" s="1" t="s">
        <v>22</v>
      </c>
      <c r="F842">
        <v>1</v>
      </c>
      <c r="G842" s="1" t="s">
        <v>23</v>
      </c>
      <c r="H842">
        <v>35678.571428571428</v>
      </c>
      <c r="J842">
        <v>34400</v>
      </c>
      <c r="K842">
        <v>36750</v>
      </c>
      <c r="L842">
        <v>41000</v>
      </c>
      <c r="M842">
        <v>0</v>
      </c>
      <c r="N842">
        <v>125.1652</v>
      </c>
      <c r="O842">
        <v>-0.106306226</v>
      </c>
      <c r="P842">
        <v>15290</v>
      </c>
      <c r="Q842">
        <v>26.86</v>
      </c>
      <c r="R842">
        <v>8.26</v>
      </c>
      <c r="S842">
        <v>83.37</v>
      </c>
      <c r="T842">
        <v>4</v>
      </c>
      <c r="U842" s="1" t="s">
        <v>25</v>
      </c>
      <c r="V842">
        <v>0</v>
      </c>
    </row>
    <row r="843" spans="1:22" x14ac:dyDescent="0.3">
      <c r="A843" s="2">
        <v>44839</v>
      </c>
      <c r="B843">
        <v>34900</v>
      </c>
      <c r="C843">
        <v>1008</v>
      </c>
      <c r="D843">
        <v>10</v>
      </c>
      <c r="E843" s="1" t="s">
        <v>22</v>
      </c>
      <c r="F843">
        <v>2</v>
      </c>
      <c r="G843" s="1" t="s">
        <v>23</v>
      </c>
      <c r="H843">
        <v>35414.285714285717</v>
      </c>
      <c r="J843">
        <v>34400</v>
      </c>
      <c r="K843">
        <v>36750</v>
      </c>
      <c r="L843">
        <v>39650</v>
      </c>
      <c r="M843">
        <v>500</v>
      </c>
      <c r="N843">
        <v>125.1652</v>
      </c>
      <c r="O843">
        <v>-0.106306226</v>
      </c>
      <c r="P843">
        <v>15180</v>
      </c>
      <c r="Q843">
        <v>26.75</v>
      </c>
      <c r="R843">
        <v>2.15</v>
      </c>
      <c r="S843">
        <v>84.66</v>
      </c>
      <c r="T843">
        <v>5</v>
      </c>
      <c r="U843" s="1" t="s">
        <v>26</v>
      </c>
      <c r="V843">
        <v>1.45</v>
      </c>
    </row>
    <row r="844" spans="1:22" x14ac:dyDescent="0.3">
      <c r="A844" s="2">
        <v>44840</v>
      </c>
      <c r="B844">
        <v>35400</v>
      </c>
      <c r="C844">
        <v>1009</v>
      </c>
      <c r="D844">
        <v>10</v>
      </c>
      <c r="E844" s="1" t="s">
        <v>22</v>
      </c>
      <c r="F844">
        <v>3</v>
      </c>
      <c r="G844" s="1" t="s">
        <v>23</v>
      </c>
      <c r="H844">
        <v>35257.142857142855</v>
      </c>
      <c r="J844">
        <v>34900</v>
      </c>
      <c r="K844">
        <v>36500</v>
      </c>
      <c r="L844">
        <v>39650</v>
      </c>
      <c r="M844">
        <v>500</v>
      </c>
      <c r="N844">
        <v>125.1652</v>
      </c>
      <c r="O844">
        <v>-0.106306226</v>
      </c>
      <c r="P844">
        <v>15206.700199999999</v>
      </c>
      <c r="Q844">
        <v>26.79</v>
      </c>
      <c r="R844">
        <v>6.6</v>
      </c>
      <c r="S844">
        <v>84.98</v>
      </c>
      <c r="T844">
        <v>6</v>
      </c>
      <c r="U844" s="1" t="s">
        <v>26</v>
      </c>
      <c r="V844">
        <v>1.43</v>
      </c>
    </row>
    <row r="845" spans="1:22" x14ac:dyDescent="0.3">
      <c r="A845" s="2">
        <v>44841</v>
      </c>
      <c r="B845">
        <v>36150</v>
      </c>
      <c r="C845">
        <v>1010</v>
      </c>
      <c r="D845">
        <v>10</v>
      </c>
      <c r="E845" s="1" t="s">
        <v>22</v>
      </c>
      <c r="F845">
        <v>4</v>
      </c>
      <c r="G845" s="1" t="s">
        <v>23</v>
      </c>
      <c r="H845">
        <v>35292.857142857145</v>
      </c>
      <c r="J845">
        <v>35400</v>
      </c>
      <c r="K845">
        <v>35900</v>
      </c>
      <c r="L845">
        <v>39000</v>
      </c>
      <c r="M845">
        <v>750</v>
      </c>
      <c r="N845">
        <v>125.1652</v>
      </c>
      <c r="O845">
        <v>-0.106306226</v>
      </c>
      <c r="P845">
        <v>15215.799800000001</v>
      </c>
      <c r="Q845">
        <v>27.1</v>
      </c>
      <c r="R845">
        <v>3.23</v>
      </c>
      <c r="S845">
        <v>83.62</v>
      </c>
      <c r="T845">
        <v>7</v>
      </c>
      <c r="U845" s="1" t="s">
        <v>52</v>
      </c>
      <c r="V845">
        <v>2.12</v>
      </c>
    </row>
    <row r="846" spans="1:22" x14ac:dyDescent="0.3">
      <c r="A846" s="2">
        <v>44842</v>
      </c>
      <c r="B846">
        <v>36150</v>
      </c>
      <c r="C846">
        <v>1011</v>
      </c>
      <c r="D846">
        <v>10</v>
      </c>
      <c r="E846" s="1" t="s">
        <v>22</v>
      </c>
      <c r="F846">
        <v>5</v>
      </c>
      <c r="G846" s="1" t="s">
        <v>44</v>
      </c>
      <c r="H846">
        <v>35328.571428571428</v>
      </c>
      <c r="J846">
        <v>36150</v>
      </c>
      <c r="K846">
        <v>35900</v>
      </c>
      <c r="L846">
        <v>39150</v>
      </c>
      <c r="M846">
        <v>0</v>
      </c>
      <c r="N846">
        <v>125.1652</v>
      </c>
      <c r="O846">
        <v>-0.106306226</v>
      </c>
      <c r="P846">
        <v>15215.799800000001</v>
      </c>
      <c r="Q846">
        <v>27.38</v>
      </c>
      <c r="R846">
        <v>4.71</v>
      </c>
      <c r="S846">
        <v>80.14</v>
      </c>
      <c r="T846">
        <v>8</v>
      </c>
      <c r="U846" s="1" t="s">
        <v>52</v>
      </c>
      <c r="V846">
        <v>2.12</v>
      </c>
    </row>
    <row r="847" spans="1:22" x14ac:dyDescent="0.3">
      <c r="A847" s="2">
        <v>44843</v>
      </c>
      <c r="B847">
        <v>36150</v>
      </c>
      <c r="C847">
        <v>1012</v>
      </c>
      <c r="D847">
        <v>10</v>
      </c>
      <c r="E847" s="1" t="s">
        <v>22</v>
      </c>
      <c r="F847">
        <v>6</v>
      </c>
      <c r="G847" s="1" t="s">
        <v>23</v>
      </c>
      <c r="H847">
        <v>35364.285714285717</v>
      </c>
      <c r="J847">
        <v>36150</v>
      </c>
      <c r="K847">
        <v>35900</v>
      </c>
      <c r="L847">
        <v>38500</v>
      </c>
      <c r="M847">
        <v>0</v>
      </c>
      <c r="N847">
        <v>125.1652</v>
      </c>
      <c r="O847">
        <v>-0.106306226</v>
      </c>
      <c r="P847">
        <v>15215.799800000001</v>
      </c>
      <c r="Q847">
        <v>27.31</v>
      </c>
      <c r="R847">
        <v>7.06</v>
      </c>
      <c r="S847">
        <v>81.150000000000006</v>
      </c>
      <c r="T847">
        <v>9</v>
      </c>
      <c r="U847" s="1" t="s">
        <v>52</v>
      </c>
      <c r="V847">
        <v>2.12</v>
      </c>
    </row>
    <row r="848" spans="1:22" x14ac:dyDescent="0.3">
      <c r="A848" s="2">
        <v>44844</v>
      </c>
      <c r="B848">
        <v>39000</v>
      </c>
      <c r="C848">
        <v>1013</v>
      </c>
      <c r="D848">
        <v>10</v>
      </c>
      <c r="E848" s="1" t="s">
        <v>22</v>
      </c>
      <c r="F848">
        <v>0</v>
      </c>
      <c r="G848" s="1" t="s">
        <v>23</v>
      </c>
      <c r="H848">
        <v>36021.428571428572</v>
      </c>
      <c r="J848">
        <v>36150</v>
      </c>
      <c r="K848">
        <v>34400</v>
      </c>
      <c r="L848">
        <v>38500</v>
      </c>
      <c r="M848">
        <v>2850</v>
      </c>
      <c r="N848">
        <v>125.1652</v>
      </c>
      <c r="O848">
        <v>-0.106306226</v>
      </c>
      <c r="P848">
        <v>15246</v>
      </c>
      <c r="Q848">
        <v>27</v>
      </c>
      <c r="R848">
        <v>38.869999999999997</v>
      </c>
      <c r="S848">
        <v>84.14</v>
      </c>
      <c r="T848">
        <v>10</v>
      </c>
      <c r="U848" s="1" t="s">
        <v>98</v>
      </c>
      <c r="V848">
        <v>7.88</v>
      </c>
    </row>
    <row r="849" spans="1:22" x14ac:dyDescent="0.3">
      <c r="A849" s="2">
        <v>44845</v>
      </c>
      <c r="B849">
        <v>39000</v>
      </c>
      <c r="C849">
        <v>1014</v>
      </c>
      <c r="D849">
        <v>10</v>
      </c>
      <c r="E849" s="1" t="s">
        <v>22</v>
      </c>
      <c r="F849">
        <v>1</v>
      </c>
      <c r="G849" s="1" t="s">
        <v>23</v>
      </c>
      <c r="H849">
        <v>36678.571428571428</v>
      </c>
      <c r="J849">
        <v>39000</v>
      </c>
      <c r="K849">
        <v>34400</v>
      </c>
      <c r="L849">
        <v>38500</v>
      </c>
      <c r="M849">
        <v>0</v>
      </c>
      <c r="N849">
        <v>125.1652</v>
      </c>
      <c r="O849">
        <v>-0.106306226</v>
      </c>
      <c r="P849">
        <v>15343</v>
      </c>
      <c r="Q849">
        <v>26.27</v>
      </c>
      <c r="R849">
        <v>17.010000000000002</v>
      </c>
      <c r="S849">
        <v>85.31</v>
      </c>
      <c r="T849">
        <v>11</v>
      </c>
      <c r="U849" s="1" t="s">
        <v>25</v>
      </c>
      <c r="V849">
        <v>0</v>
      </c>
    </row>
    <row r="850" spans="1:22" x14ac:dyDescent="0.3">
      <c r="A850" s="2">
        <v>44846</v>
      </c>
      <c r="B850">
        <v>39650</v>
      </c>
      <c r="C850">
        <v>1015</v>
      </c>
      <c r="D850">
        <v>10</v>
      </c>
      <c r="E850" s="1" t="s">
        <v>22</v>
      </c>
      <c r="F850">
        <v>2</v>
      </c>
      <c r="G850" s="1" t="s">
        <v>23</v>
      </c>
      <c r="H850">
        <v>37357.142857142855</v>
      </c>
      <c r="J850">
        <v>39000</v>
      </c>
      <c r="K850">
        <v>34900</v>
      </c>
      <c r="L850">
        <v>42750</v>
      </c>
      <c r="M850">
        <v>650</v>
      </c>
      <c r="N850">
        <v>125.1652</v>
      </c>
      <c r="O850">
        <v>-0.106306226</v>
      </c>
      <c r="P850">
        <v>15338.5</v>
      </c>
      <c r="Q850">
        <v>27</v>
      </c>
      <c r="R850">
        <v>3</v>
      </c>
      <c r="S850">
        <v>81.34</v>
      </c>
      <c r="T850">
        <v>12</v>
      </c>
      <c r="U850" s="1" t="s">
        <v>73</v>
      </c>
      <c r="V850">
        <v>1.67</v>
      </c>
    </row>
    <row r="851" spans="1:22" x14ac:dyDescent="0.3">
      <c r="A851" s="2">
        <v>44847</v>
      </c>
      <c r="B851">
        <v>40250</v>
      </c>
      <c r="C851">
        <v>1016</v>
      </c>
      <c r="D851">
        <v>10</v>
      </c>
      <c r="E851" s="1" t="s">
        <v>22</v>
      </c>
      <c r="F851">
        <v>3</v>
      </c>
      <c r="G851" s="1" t="s">
        <v>23</v>
      </c>
      <c r="H851">
        <v>38050</v>
      </c>
      <c r="J851">
        <v>39650</v>
      </c>
      <c r="K851">
        <v>35400</v>
      </c>
      <c r="L851">
        <v>42500</v>
      </c>
      <c r="M851">
        <v>600</v>
      </c>
      <c r="N851">
        <v>125.1652</v>
      </c>
      <c r="O851">
        <v>-0.106306226</v>
      </c>
      <c r="P851">
        <v>15318.599609999999</v>
      </c>
      <c r="Q851">
        <v>27.13</v>
      </c>
      <c r="R851">
        <v>5.0199999999999996</v>
      </c>
      <c r="S851">
        <v>81.64</v>
      </c>
      <c r="T851">
        <v>13</v>
      </c>
      <c r="U851" s="1" t="s">
        <v>64</v>
      </c>
      <c r="V851">
        <v>1.51</v>
      </c>
    </row>
    <row r="852" spans="1:22" x14ac:dyDescent="0.3">
      <c r="A852" s="2">
        <v>44848</v>
      </c>
      <c r="B852">
        <v>40400</v>
      </c>
      <c r="C852">
        <v>1017</v>
      </c>
      <c r="D852">
        <v>10</v>
      </c>
      <c r="E852" s="1" t="s">
        <v>22</v>
      </c>
      <c r="F852">
        <v>4</v>
      </c>
      <c r="G852" s="1" t="s">
        <v>23</v>
      </c>
      <c r="H852">
        <v>38657.142857142855</v>
      </c>
      <c r="J852">
        <v>40250</v>
      </c>
      <c r="K852">
        <v>36150</v>
      </c>
      <c r="L852">
        <v>41750</v>
      </c>
      <c r="M852">
        <v>150</v>
      </c>
      <c r="N852">
        <v>125.1652</v>
      </c>
      <c r="O852">
        <v>-0.106306226</v>
      </c>
      <c r="P852">
        <v>15364</v>
      </c>
      <c r="Q852">
        <v>27.49</v>
      </c>
      <c r="R852">
        <v>1.99</v>
      </c>
      <c r="S852">
        <v>79.59</v>
      </c>
      <c r="T852">
        <v>14</v>
      </c>
      <c r="U852" s="1" t="s">
        <v>66</v>
      </c>
      <c r="V852">
        <v>0.37</v>
      </c>
    </row>
    <row r="853" spans="1:22" x14ac:dyDescent="0.3">
      <c r="A853" s="2">
        <v>44849</v>
      </c>
      <c r="B853">
        <v>40400</v>
      </c>
      <c r="C853">
        <v>1018</v>
      </c>
      <c r="D853">
        <v>10</v>
      </c>
      <c r="E853" s="1" t="s">
        <v>22</v>
      </c>
      <c r="F853">
        <v>5</v>
      </c>
      <c r="G853" s="1" t="s">
        <v>23</v>
      </c>
      <c r="H853">
        <v>39264.285714285717</v>
      </c>
      <c r="J853">
        <v>40400</v>
      </c>
      <c r="K853">
        <v>36150</v>
      </c>
      <c r="L853">
        <v>41750</v>
      </c>
      <c r="M853">
        <v>0</v>
      </c>
      <c r="N853">
        <v>125.1652</v>
      </c>
      <c r="O853">
        <v>-0.106306226</v>
      </c>
      <c r="P853">
        <v>15364</v>
      </c>
      <c r="Q853">
        <v>27.61</v>
      </c>
      <c r="R853">
        <v>3.86</v>
      </c>
      <c r="S853">
        <v>79.89</v>
      </c>
      <c r="T853">
        <v>15</v>
      </c>
      <c r="U853" s="1" t="s">
        <v>66</v>
      </c>
      <c r="V853">
        <v>0.37</v>
      </c>
    </row>
    <row r="854" spans="1:22" x14ac:dyDescent="0.3">
      <c r="A854" s="2">
        <v>44851</v>
      </c>
      <c r="B854">
        <v>44150</v>
      </c>
      <c r="C854">
        <v>1020</v>
      </c>
      <c r="D854">
        <v>10</v>
      </c>
      <c r="E854" s="1" t="s">
        <v>22</v>
      </c>
      <c r="F854">
        <v>0</v>
      </c>
      <c r="G854" s="1" t="s">
        <v>23</v>
      </c>
      <c r="K854">
        <v>39000</v>
      </c>
      <c r="N854">
        <v>125.1652</v>
      </c>
      <c r="O854">
        <v>-0.106306226</v>
      </c>
      <c r="P854">
        <v>15420</v>
      </c>
      <c r="Q854">
        <v>27.27</v>
      </c>
      <c r="R854">
        <v>5.48</v>
      </c>
      <c r="S854">
        <v>80.59</v>
      </c>
      <c r="T854">
        <v>17</v>
      </c>
      <c r="U854" s="1" t="s">
        <v>61</v>
      </c>
      <c r="V854">
        <v>9.2799999999999994</v>
      </c>
    </row>
    <row r="855" spans="1:22" x14ac:dyDescent="0.3">
      <c r="A855" s="2">
        <v>44852</v>
      </c>
      <c r="B855">
        <v>42250</v>
      </c>
      <c r="C855">
        <v>1021</v>
      </c>
      <c r="D855">
        <v>10</v>
      </c>
      <c r="E855" s="1" t="s">
        <v>22</v>
      </c>
      <c r="F855">
        <v>1</v>
      </c>
      <c r="G855" s="1" t="s">
        <v>23</v>
      </c>
      <c r="J855">
        <v>44150</v>
      </c>
      <c r="K855">
        <v>39000</v>
      </c>
      <c r="M855">
        <v>-1900</v>
      </c>
      <c r="N855">
        <v>125.1652</v>
      </c>
      <c r="O855">
        <v>-0.106306226</v>
      </c>
      <c r="P855">
        <v>15441.400390000001</v>
      </c>
      <c r="Q855">
        <v>27.36</v>
      </c>
      <c r="R855">
        <v>3.53</v>
      </c>
      <c r="S855">
        <v>80.61</v>
      </c>
      <c r="T855">
        <v>18</v>
      </c>
      <c r="U855" s="1" t="s">
        <v>86</v>
      </c>
      <c r="V855">
        <v>-4.3</v>
      </c>
    </row>
    <row r="856" spans="1:22" x14ac:dyDescent="0.3">
      <c r="A856" s="2">
        <v>44853</v>
      </c>
      <c r="B856">
        <v>42250</v>
      </c>
      <c r="C856">
        <v>1022</v>
      </c>
      <c r="D856">
        <v>10</v>
      </c>
      <c r="E856" s="1" t="s">
        <v>22</v>
      </c>
      <c r="F856">
        <v>2</v>
      </c>
      <c r="G856" s="1" t="s">
        <v>23</v>
      </c>
      <c r="J856">
        <v>42250</v>
      </c>
      <c r="K856">
        <v>39650</v>
      </c>
      <c r="L856">
        <v>38250</v>
      </c>
      <c r="M856">
        <v>0</v>
      </c>
      <c r="N856">
        <v>125.1652</v>
      </c>
      <c r="O856">
        <v>-0.106306226</v>
      </c>
      <c r="P856">
        <v>15466.200199999999</v>
      </c>
      <c r="Q856">
        <v>27.88</v>
      </c>
      <c r="R856">
        <v>6.25</v>
      </c>
      <c r="S856">
        <v>79.260000000000005</v>
      </c>
      <c r="T856">
        <v>19</v>
      </c>
      <c r="U856" s="1" t="s">
        <v>25</v>
      </c>
      <c r="V856">
        <v>0</v>
      </c>
    </row>
    <row r="857" spans="1:22" x14ac:dyDescent="0.3">
      <c r="A857" s="2">
        <v>44854</v>
      </c>
      <c r="B857">
        <v>41750</v>
      </c>
      <c r="C857">
        <v>1023</v>
      </c>
      <c r="D857">
        <v>10</v>
      </c>
      <c r="E857" s="1" t="s">
        <v>22</v>
      </c>
      <c r="F857">
        <v>3</v>
      </c>
      <c r="G857" s="1" t="s">
        <v>23</v>
      </c>
      <c r="J857">
        <v>42250</v>
      </c>
      <c r="K857">
        <v>40250</v>
      </c>
      <c r="L857">
        <v>38750</v>
      </c>
      <c r="M857">
        <v>-500</v>
      </c>
      <c r="N857">
        <v>125.1652</v>
      </c>
      <c r="O857">
        <v>-0.106306226</v>
      </c>
      <c r="P857">
        <v>15620</v>
      </c>
      <c r="Q857">
        <v>27.78</v>
      </c>
      <c r="R857">
        <v>4.24</v>
      </c>
      <c r="S857">
        <v>78.42</v>
      </c>
      <c r="T857">
        <v>20</v>
      </c>
      <c r="U857" s="1" t="s">
        <v>24</v>
      </c>
      <c r="V857">
        <v>-1.18</v>
      </c>
    </row>
    <row r="858" spans="1:22" x14ac:dyDescent="0.3">
      <c r="A858" s="2">
        <v>44855</v>
      </c>
      <c r="B858">
        <v>42400</v>
      </c>
      <c r="C858">
        <v>1024</v>
      </c>
      <c r="D858">
        <v>10</v>
      </c>
      <c r="E858" s="1" t="s">
        <v>22</v>
      </c>
      <c r="F858">
        <v>4</v>
      </c>
      <c r="G858" s="1" t="s">
        <v>23</v>
      </c>
      <c r="J858">
        <v>41750</v>
      </c>
      <c r="K858">
        <v>40400</v>
      </c>
      <c r="L858">
        <v>38750</v>
      </c>
      <c r="M858">
        <v>650</v>
      </c>
      <c r="N858">
        <v>125.1652</v>
      </c>
      <c r="O858">
        <v>-0.106306226</v>
      </c>
      <c r="P858">
        <v>15562</v>
      </c>
      <c r="Q858">
        <v>26.83</v>
      </c>
      <c r="R858">
        <v>1.1499999999999999</v>
      </c>
      <c r="S858">
        <v>81.62</v>
      </c>
      <c r="T858">
        <v>21</v>
      </c>
      <c r="U858" s="1" t="s">
        <v>73</v>
      </c>
      <c r="V858">
        <v>1.56</v>
      </c>
    </row>
    <row r="859" spans="1:22" x14ac:dyDescent="0.3">
      <c r="A859" s="2">
        <v>44856</v>
      </c>
      <c r="B859">
        <v>42400</v>
      </c>
      <c r="C859">
        <v>1025</v>
      </c>
      <c r="D859">
        <v>10</v>
      </c>
      <c r="E859" s="1" t="s">
        <v>22</v>
      </c>
      <c r="F859">
        <v>5</v>
      </c>
      <c r="G859" s="1" t="s">
        <v>23</v>
      </c>
      <c r="J859">
        <v>42400</v>
      </c>
      <c r="K859">
        <v>40400</v>
      </c>
      <c r="L859">
        <v>37250</v>
      </c>
      <c r="M859">
        <v>0</v>
      </c>
      <c r="N859">
        <v>125.1652</v>
      </c>
      <c r="O859">
        <v>-0.106306226</v>
      </c>
      <c r="P859">
        <v>15562</v>
      </c>
      <c r="Q859">
        <v>27.34</v>
      </c>
      <c r="R859">
        <v>15.28</v>
      </c>
      <c r="S859">
        <v>83.6</v>
      </c>
      <c r="T859">
        <v>22</v>
      </c>
      <c r="U859" s="1" t="s">
        <v>73</v>
      </c>
      <c r="V859">
        <v>1.56</v>
      </c>
    </row>
    <row r="860" spans="1:22" x14ac:dyDescent="0.3">
      <c r="A860" s="2">
        <v>44858</v>
      </c>
      <c r="B860">
        <v>39150</v>
      </c>
      <c r="C860">
        <v>1027</v>
      </c>
      <c r="D860">
        <v>10</v>
      </c>
      <c r="E860" s="1" t="s">
        <v>22</v>
      </c>
      <c r="F860">
        <v>0</v>
      </c>
      <c r="G860" s="1" t="s">
        <v>23</v>
      </c>
      <c r="K860">
        <v>44150</v>
      </c>
      <c r="N860">
        <v>125.1652</v>
      </c>
      <c r="O860">
        <v>-0.106306226</v>
      </c>
      <c r="P860">
        <v>15626</v>
      </c>
      <c r="Q860">
        <v>27.42</v>
      </c>
      <c r="R860">
        <v>6.26</v>
      </c>
      <c r="S860">
        <v>85.03</v>
      </c>
      <c r="T860">
        <v>24</v>
      </c>
      <c r="U860" s="1" t="s">
        <v>46</v>
      </c>
      <c r="V860">
        <v>-7.67</v>
      </c>
    </row>
    <row r="861" spans="1:22" x14ac:dyDescent="0.3">
      <c r="A861" s="2">
        <v>44859</v>
      </c>
      <c r="B861">
        <v>38750</v>
      </c>
      <c r="C861">
        <v>1028</v>
      </c>
      <c r="D861">
        <v>10</v>
      </c>
      <c r="E861" s="1" t="s">
        <v>22</v>
      </c>
      <c r="F861">
        <v>1</v>
      </c>
      <c r="G861" s="1" t="s">
        <v>23</v>
      </c>
      <c r="J861">
        <v>39150</v>
      </c>
      <c r="K861">
        <v>42250</v>
      </c>
      <c r="M861">
        <v>-400</v>
      </c>
      <c r="N861">
        <v>125.1652</v>
      </c>
      <c r="O861">
        <v>-0.106306226</v>
      </c>
      <c r="P861">
        <v>15586.5</v>
      </c>
      <c r="Q861">
        <v>27.66</v>
      </c>
      <c r="R861">
        <v>8.0500000000000007</v>
      </c>
      <c r="S861">
        <v>82.91</v>
      </c>
      <c r="T861">
        <v>25</v>
      </c>
      <c r="U861" s="1" t="s">
        <v>99</v>
      </c>
      <c r="V861">
        <v>-1.02</v>
      </c>
    </row>
    <row r="862" spans="1:22" x14ac:dyDescent="0.3">
      <c r="A862" s="2">
        <v>44860</v>
      </c>
      <c r="B862">
        <v>38750</v>
      </c>
      <c r="C862">
        <v>1029</v>
      </c>
      <c r="D862">
        <v>10</v>
      </c>
      <c r="E862" s="1" t="s">
        <v>22</v>
      </c>
      <c r="F862">
        <v>2</v>
      </c>
      <c r="G862" s="1" t="s">
        <v>23</v>
      </c>
      <c r="J862">
        <v>38750</v>
      </c>
      <c r="K862">
        <v>42250</v>
      </c>
      <c r="L862">
        <v>36750</v>
      </c>
      <c r="M862">
        <v>0</v>
      </c>
      <c r="N862">
        <v>125.1652</v>
      </c>
      <c r="O862">
        <v>-0.106306226</v>
      </c>
      <c r="P862">
        <v>15549</v>
      </c>
      <c r="Q862">
        <v>27.62</v>
      </c>
      <c r="R862">
        <v>23.48</v>
      </c>
      <c r="S862">
        <v>81.510000000000005</v>
      </c>
      <c r="T862">
        <v>26</v>
      </c>
      <c r="U862" s="1" t="s">
        <v>25</v>
      </c>
      <c r="V862">
        <v>0</v>
      </c>
    </row>
    <row r="863" spans="1:22" x14ac:dyDescent="0.3">
      <c r="A863" s="2">
        <v>44861</v>
      </c>
      <c r="B863">
        <v>38750</v>
      </c>
      <c r="C863">
        <v>1030</v>
      </c>
      <c r="D863">
        <v>10</v>
      </c>
      <c r="E863" s="1" t="s">
        <v>22</v>
      </c>
      <c r="F863">
        <v>3</v>
      </c>
      <c r="G863" s="1" t="s">
        <v>23</v>
      </c>
      <c r="J863">
        <v>38750</v>
      </c>
      <c r="K863">
        <v>41750</v>
      </c>
      <c r="L863">
        <v>36750</v>
      </c>
      <c r="M863">
        <v>0</v>
      </c>
      <c r="N863">
        <v>125.1652</v>
      </c>
      <c r="O863">
        <v>-0.106306226</v>
      </c>
      <c r="P863">
        <v>15502.700199999999</v>
      </c>
      <c r="Q863">
        <v>27</v>
      </c>
      <c r="R863">
        <v>21.76</v>
      </c>
      <c r="S863">
        <v>84.44</v>
      </c>
      <c r="T863">
        <v>27</v>
      </c>
      <c r="U863" s="1" t="s">
        <v>25</v>
      </c>
      <c r="V863">
        <v>0</v>
      </c>
    </row>
    <row r="864" spans="1:22" x14ac:dyDescent="0.3">
      <c r="A864" s="2">
        <v>44862</v>
      </c>
      <c r="B864">
        <v>38250</v>
      </c>
      <c r="C864">
        <v>1031</v>
      </c>
      <c r="D864">
        <v>10</v>
      </c>
      <c r="E864" s="1" t="s">
        <v>22</v>
      </c>
      <c r="F864">
        <v>4</v>
      </c>
      <c r="G864" s="1" t="s">
        <v>23</v>
      </c>
      <c r="J864">
        <v>38750</v>
      </c>
      <c r="K864">
        <v>42400</v>
      </c>
      <c r="L864">
        <v>36750</v>
      </c>
      <c r="M864">
        <v>-500</v>
      </c>
      <c r="N864">
        <v>125.1652</v>
      </c>
      <c r="O864">
        <v>-0.106306226</v>
      </c>
      <c r="P864">
        <v>15554.200199999999</v>
      </c>
      <c r="Q864">
        <v>27.58</v>
      </c>
      <c r="R864">
        <v>5.23</v>
      </c>
      <c r="S864">
        <v>80.52</v>
      </c>
      <c r="T864">
        <v>28</v>
      </c>
      <c r="U864" s="1" t="s">
        <v>24</v>
      </c>
      <c r="V864">
        <v>-1.29</v>
      </c>
    </row>
    <row r="865" spans="1:22" x14ac:dyDescent="0.3">
      <c r="A865" s="2">
        <v>44863</v>
      </c>
      <c r="B865">
        <v>38250</v>
      </c>
      <c r="C865">
        <v>1032</v>
      </c>
      <c r="D865">
        <v>10</v>
      </c>
      <c r="E865" s="1" t="s">
        <v>22</v>
      </c>
      <c r="F865">
        <v>5</v>
      </c>
      <c r="G865" s="1" t="s">
        <v>23</v>
      </c>
      <c r="J865">
        <v>38250</v>
      </c>
      <c r="K865">
        <v>42400</v>
      </c>
      <c r="L865">
        <v>36500</v>
      </c>
      <c r="M865">
        <v>0</v>
      </c>
      <c r="N865">
        <v>125.1652</v>
      </c>
      <c r="O865">
        <v>-0.106306226</v>
      </c>
      <c r="P865">
        <v>15554.200199999999</v>
      </c>
      <c r="Q865">
        <v>27.7</v>
      </c>
      <c r="R865">
        <v>3.95</v>
      </c>
      <c r="S865">
        <v>81.319999999999993</v>
      </c>
      <c r="T865">
        <v>29</v>
      </c>
      <c r="U865" s="1" t="s">
        <v>24</v>
      </c>
      <c r="V865">
        <v>-1.29</v>
      </c>
    </row>
    <row r="866" spans="1:22" x14ac:dyDescent="0.3">
      <c r="A866" s="2">
        <v>44864</v>
      </c>
      <c r="B866">
        <v>38250</v>
      </c>
      <c r="C866">
        <v>1033</v>
      </c>
      <c r="D866">
        <v>10</v>
      </c>
      <c r="E866" s="1" t="s">
        <v>22</v>
      </c>
      <c r="F866">
        <v>6</v>
      </c>
      <c r="G866" s="1" t="s">
        <v>23</v>
      </c>
      <c r="H866">
        <v>38592.857142857145</v>
      </c>
      <c r="J866">
        <v>38250</v>
      </c>
      <c r="L866">
        <v>35900</v>
      </c>
      <c r="M866">
        <v>0</v>
      </c>
      <c r="N866">
        <v>125.1652</v>
      </c>
      <c r="O866">
        <v>-0.106306226</v>
      </c>
      <c r="P866">
        <v>15554.200199999999</v>
      </c>
      <c r="Q866">
        <v>27.39</v>
      </c>
      <c r="R866">
        <v>7.67</v>
      </c>
      <c r="S866">
        <v>84.93</v>
      </c>
      <c r="T866">
        <v>30</v>
      </c>
      <c r="U866" s="1" t="s">
        <v>24</v>
      </c>
      <c r="V866">
        <v>-1.29</v>
      </c>
    </row>
    <row r="867" spans="1:22" x14ac:dyDescent="0.3">
      <c r="A867" s="2">
        <v>44865</v>
      </c>
      <c r="B867">
        <v>38750</v>
      </c>
      <c r="C867">
        <v>1034</v>
      </c>
      <c r="D867">
        <v>10</v>
      </c>
      <c r="E867" s="1" t="s">
        <v>22</v>
      </c>
      <c r="F867">
        <v>0</v>
      </c>
      <c r="G867" s="1" t="s">
        <v>23</v>
      </c>
      <c r="H867">
        <v>38535.714285714283</v>
      </c>
      <c r="J867">
        <v>38250</v>
      </c>
      <c r="K867">
        <v>39150</v>
      </c>
      <c r="L867">
        <v>35900</v>
      </c>
      <c r="M867">
        <v>500</v>
      </c>
      <c r="N867">
        <v>125.1652</v>
      </c>
      <c r="O867">
        <v>-0.106306226</v>
      </c>
      <c r="P867">
        <v>15549.200199999999</v>
      </c>
      <c r="Q867">
        <v>27.09</v>
      </c>
      <c r="R867">
        <v>5.74</v>
      </c>
      <c r="S867">
        <v>80.44</v>
      </c>
      <c r="T867">
        <v>31</v>
      </c>
      <c r="U867" s="1" t="s">
        <v>26</v>
      </c>
      <c r="V867">
        <v>1.31</v>
      </c>
    </row>
    <row r="868" spans="1:22" x14ac:dyDescent="0.3">
      <c r="A868" s="2">
        <v>44866</v>
      </c>
      <c r="B868">
        <v>38750</v>
      </c>
      <c r="C868">
        <v>1035</v>
      </c>
      <c r="D868">
        <v>11</v>
      </c>
      <c r="E868" s="1" t="s">
        <v>22</v>
      </c>
      <c r="F868">
        <v>1</v>
      </c>
      <c r="G868" s="1" t="s">
        <v>23</v>
      </c>
      <c r="H868">
        <v>38535.714285714283</v>
      </c>
      <c r="J868">
        <v>38750</v>
      </c>
      <c r="K868">
        <v>38750</v>
      </c>
      <c r="L868">
        <v>35900</v>
      </c>
      <c r="M868">
        <v>0</v>
      </c>
      <c r="N868">
        <v>125.2762</v>
      </c>
      <c r="O868">
        <v>8.8682796999999994E-2</v>
      </c>
      <c r="P868">
        <v>15649</v>
      </c>
      <c r="Q868">
        <v>27.73</v>
      </c>
      <c r="R868">
        <v>5.66</v>
      </c>
      <c r="S868">
        <v>79.14</v>
      </c>
      <c r="T868">
        <v>1</v>
      </c>
      <c r="U868" s="1" t="s">
        <v>25</v>
      </c>
      <c r="V868">
        <v>0</v>
      </c>
    </row>
    <row r="869" spans="1:22" x14ac:dyDescent="0.3">
      <c r="A869" s="2">
        <v>44867</v>
      </c>
      <c r="B869">
        <v>38750</v>
      </c>
      <c r="C869">
        <v>1036</v>
      </c>
      <c r="D869">
        <v>11</v>
      </c>
      <c r="E869" s="1" t="s">
        <v>22</v>
      </c>
      <c r="F869">
        <v>2</v>
      </c>
      <c r="G869" s="1" t="s">
        <v>23</v>
      </c>
      <c r="H869">
        <v>38535.714285714283</v>
      </c>
      <c r="J869">
        <v>38750</v>
      </c>
      <c r="K869">
        <v>38750</v>
      </c>
      <c r="L869">
        <v>34400</v>
      </c>
      <c r="M869">
        <v>0</v>
      </c>
      <c r="N869">
        <v>125.2762</v>
      </c>
      <c r="O869">
        <v>8.8682796999999994E-2</v>
      </c>
      <c r="P869">
        <v>15690</v>
      </c>
      <c r="Q869">
        <v>27.31</v>
      </c>
      <c r="R869">
        <v>6.73</v>
      </c>
      <c r="S869">
        <v>81.349999999999994</v>
      </c>
      <c r="T869">
        <v>2</v>
      </c>
      <c r="U869" s="1" t="s">
        <v>25</v>
      </c>
      <c r="V869">
        <v>0</v>
      </c>
    </row>
    <row r="870" spans="1:22" x14ac:dyDescent="0.3">
      <c r="A870" s="2">
        <v>44868</v>
      </c>
      <c r="B870">
        <v>38750</v>
      </c>
      <c r="C870">
        <v>1037</v>
      </c>
      <c r="D870">
        <v>11</v>
      </c>
      <c r="E870" s="1" t="s">
        <v>22</v>
      </c>
      <c r="F870">
        <v>3</v>
      </c>
      <c r="G870" s="1" t="s">
        <v>23</v>
      </c>
      <c r="H870">
        <v>38535.714285714283</v>
      </c>
      <c r="J870">
        <v>38750</v>
      </c>
      <c r="K870">
        <v>38750</v>
      </c>
      <c r="L870">
        <v>34400</v>
      </c>
      <c r="M870">
        <v>0</v>
      </c>
      <c r="N870">
        <v>125.2762</v>
      </c>
      <c r="O870">
        <v>8.8682796999999994E-2</v>
      </c>
      <c r="P870">
        <v>15696</v>
      </c>
      <c r="Q870">
        <v>27.58</v>
      </c>
      <c r="R870">
        <v>1.58</v>
      </c>
      <c r="S870">
        <v>79.2</v>
      </c>
      <c r="T870">
        <v>3</v>
      </c>
      <c r="U870" s="1" t="s">
        <v>25</v>
      </c>
      <c r="V870">
        <v>0</v>
      </c>
    </row>
    <row r="871" spans="1:22" x14ac:dyDescent="0.3">
      <c r="A871" s="2">
        <v>44869</v>
      </c>
      <c r="B871">
        <v>39400</v>
      </c>
      <c r="C871">
        <v>1038</v>
      </c>
      <c r="D871">
        <v>11</v>
      </c>
      <c r="E871" s="1" t="s">
        <v>22</v>
      </c>
      <c r="F871">
        <v>4</v>
      </c>
      <c r="G871" s="1" t="s">
        <v>23</v>
      </c>
      <c r="H871">
        <v>38700</v>
      </c>
      <c r="J871">
        <v>38750</v>
      </c>
      <c r="K871">
        <v>38250</v>
      </c>
      <c r="L871">
        <v>34900</v>
      </c>
      <c r="M871">
        <v>650</v>
      </c>
      <c r="N871">
        <v>125.2762</v>
      </c>
      <c r="O871">
        <v>8.8682796999999994E-2</v>
      </c>
      <c r="P871">
        <v>15780</v>
      </c>
      <c r="Q871">
        <v>27.84</v>
      </c>
      <c r="R871">
        <v>2.35</v>
      </c>
      <c r="S871">
        <v>76.23</v>
      </c>
      <c r="T871">
        <v>4</v>
      </c>
      <c r="U871" s="1" t="s">
        <v>73</v>
      </c>
      <c r="V871">
        <v>1.68</v>
      </c>
    </row>
    <row r="872" spans="1:22" x14ac:dyDescent="0.3">
      <c r="A872" s="2">
        <v>44870</v>
      </c>
      <c r="B872">
        <v>39400</v>
      </c>
      <c r="C872">
        <v>1039</v>
      </c>
      <c r="D872">
        <v>11</v>
      </c>
      <c r="E872" s="1" t="s">
        <v>22</v>
      </c>
      <c r="F872">
        <v>5</v>
      </c>
      <c r="G872" s="1" t="s">
        <v>23</v>
      </c>
      <c r="H872">
        <v>38864.285714285717</v>
      </c>
      <c r="J872">
        <v>39400</v>
      </c>
      <c r="K872">
        <v>38250</v>
      </c>
      <c r="L872">
        <v>35400</v>
      </c>
      <c r="M872">
        <v>0</v>
      </c>
      <c r="N872">
        <v>125.2762</v>
      </c>
      <c r="O872">
        <v>8.8682796999999994E-2</v>
      </c>
      <c r="P872">
        <v>15780</v>
      </c>
      <c r="Q872">
        <v>27.98</v>
      </c>
      <c r="R872">
        <v>4.04</v>
      </c>
      <c r="S872">
        <v>76.98</v>
      </c>
      <c r="T872">
        <v>5</v>
      </c>
      <c r="U872" s="1" t="s">
        <v>73</v>
      </c>
      <c r="V872">
        <v>1.68</v>
      </c>
    </row>
    <row r="873" spans="1:22" x14ac:dyDescent="0.3">
      <c r="A873" s="2">
        <v>44871</v>
      </c>
      <c r="B873">
        <v>39400</v>
      </c>
      <c r="C873">
        <v>1040</v>
      </c>
      <c r="D873">
        <v>11</v>
      </c>
      <c r="E873" s="1" t="s">
        <v>22</v>
      </c>
      <c r="F873">
        <v>6</v>
      </c>
      <c r="G873" s="1" t="s">
        <v>23</v>
      </c>
      <c r="H873">
        <v>39028.571428571428</v>
      </c>
      <c r="J873">
        <v>39400</v>
      </c>
      <c r="K873">
        <v>38250</v>
      </c>
      <c r="L873">
        <v>36150</v>
      </c>
      <c r="M873">
        <v>0</v>
      </c>
      <c r="N873">
        <v>125.2762</v>
      </c>
      <c r="O873">
        <v>8.8682796999999994E-2</v>
      </c>
      <c r="P873">
        <v>15780</v>
      </c>
      <c r="Q873">
        <v>27.25</v>
      </c>
      <c r="R873">
        <v>24.74</v>
      </c>
      <c r="S873">
        <v>82.67</v>
      </c>
      <c r="T873">
        <v>6</v>
      </c>
      <c r="U873" s="1" t="s">
        <v>73</v>
      </c>
      <c r="V873">
        <v>1.68</v>
      </c>
    </row>
    <row r="874" spans="1:22" x14ac:dyDescent="0.3">
      <c r="A874" s="2">
        <v>44872</v>
      </c>
      <c r="B874">
        <v>40400</v>
      </c>
      <c r="C874">
        <v>1041</v>
      </c>
      <c r="D874">
        <v>11</v>
      </c>
      <c r="E874" s="1" t="s">
        <v>22</v>
      </c>
      <c r="F874">
        <v>0</v>
      </c>
      <c r="G874" s="1" t="s">
        <v>23</v>
      </c>
      <c r="H874">
        <v>39264.285714285717</v>
      </c>
      <c r="J874">
        <v>39400</v>
      </c>
      <c r="K874">
        <v>38750</v>
      </c>
      <c r="L874">
        <v>36150</v>
      </c>
      <c r="M874">
        <v>1000</v>
      </c>
      <c r="N874">
        <v>125.2762</v>
      </c>
      <c r="O874">
        <v>8.8682796999999994E-2</v>
      </c>
      <c r="P874">
        <v>15609.5</v>
      </c>
      <c r="Q874">
        <v>27.12</v>
      </c>
      <c r="R874">
        <v>9.15</v>
      </c>
      <c r="S874">
        <v>82.25</v>
      </c>
      <c r="T874">
        <v>7</v>
      </c>
      <c r="U874" s="1"/>
      <c r="V874">
        <v>0</v>
      </c>
    </row>
    <row r="875" spans="1:22" x14ac:dyDescent="0.3">
      <c r="A875" s="2">
        <v>44873</v>
      </c>
      <c r="B875">
        <v>40900</v>
      </c>
      <c r="C875">
        <v>1042</v>
      </c>
      <c r="D875">
        <v>11</v>
      </c>
      <c r="E875" s="1" t="s">
        <v>22</v>
      </c>
      <c r="F875">
        <v>1</v>
      </c>
      <c r="G875" s="1" t="s">
        <v>23</v>
      </c>
      <c r="H875">
        <v>39571.428571428572</v>
      </c>
      <c r="J875">
        <v>40400</v>
      </c>
      <c r="K875">
        <v>38750</v>
      </c>
      <c r="L875">
        <v>36150</v>
      </c>
      <c r="M875">
        <v>500</v>
      </c>
      <c r="N875">
        <v>125.2762</v>
      </c>
      <c r="O875">
        <v>8.8682796999999994E-2</v>
      </c>
      <c r="P875">
        <v>15675</v>
      </c>
      <c r="Q875">
        <v>26.79</v>
      </c>
      <c r="R875">
        <v>13.34</v>
      </c>
      <c r="S875">
        <v>85.22</v>
      </c>
      <c r="T875">
        <v>8</v>
      </c>
      <c r="U875" s="1" t="s">
        <v>26</v>
      </c>
      <c r="V875">
        <v>1.24</v>
      </c>
    </row>
    <row r="876" spans="1:22" x14ac:dyDescent="0.3">
      <c r="A876" s="2">
        <v>44874</v>
      </c>
      <c r="B876">
        <v>42250</v>
      </c>
      <c r="C876">
        <v>1043</v>
      </c>
      <c r="D876">
        <v>11</v>
      </c>
      <c r="E876" s="1" t="s">
        <v>22</v>
      </c>
      <c r="F876">
        <v>2</v>
      </c>
      <c r="G876" s="1" t="s">
        <v>23</v>
      </c>
      <c r="H876">
        <v>40071.428571428572</v>
      </c>
      <c r="J876">
        <v>40900</v>
      </c>
      <c r="K876">
        <v>38750</v>
      </c>
      <c r="L876">
        <v>39000</v>
      </c>
      <c r="M876">
        <v>1350</v>
      </c>
      <c r="N876">
        <v>125.2762</v>
      </c>
      <c r="O876">
        <v>8.8682796999999994E-2</v>
      </c>
      <c r="P876">
        <v>15645</v>
      </c>
      <c r="Q876">
        <v>27.23</v>
      </c>
      <c r="R876">
        <v>1.84</v>
      </c>
      <c r="S876">
        <v>79.540000000000006</v>
      </c>
      <c r="T876">
        <v>9</v>
      </c>
      <c r="U876" s="1" t="s">
        <v>63</v>
      </c>
      <c r="V876">
        <v>3.3</v>
      </c>
    </row>
    <row r="877" spans="1:22" x14ac:dyDescent="0.3">
      <c r="A877" s="2">
        <v>44875</v>
      </c>
      <c r="B877">
        <v>43500</v>
      </c>
      <c r="C877">
        <v>1044</v>
      </c>
      <c r="D877">
        <v>11</v>
      </c>
      <c r="E877" s="1" t="s">
        <v>22</v>
      </c>
      <c r="F877">
        <v>3</v>
      </c>
      <c r="G877" s="1" t="s">
        <v>23</v>
      </c>
      <c r="H877">
        <v>40750</v>
      </c>
      <c r="J877">
        <v>42250</v>
      </c>
      <c r="K877">
        <v>38750</v>
      </c>
      <c r="L877">
        <v>39000</v>
      </c>
      <c r="M877">
        <v>1250</v>
      </c>
      <c r="N877">
        <v>125.2762</v>
      </c>
      <c r="O877">
        <v>8.8682796999999994E-2</v>
      </c>
      <c r="P877">
        <v>15671.5</v>
      </c>
      <c r="Q877">
        <v>27.27</v>
      </c>
      <c r="R877">
        <v>3.26</v>
      </c>
      <c r="S877">
        <v>81.010000000000005</v>
      </c>
      <c r="T877">
        <v>10</v>
      </c>
      <c r="U877" s="1" t="s">
        <v>36</v>
      </c>
      <c r="V877">
        <v>2.96</v>
      </c>
    </row>
    <row r="878" spans="1:22" x14ac:dyDescent="0.3">
      <c r="A878" s="2">
        <v>44876</v>
      </c>
      <c r="B878">
        <v>44150</v>
      </c>
      <c r="C878">
        <v>1045</v>
      </c>
      <c r="D878">
        <v>11</v>
      </c>
      <c r="E878" s="1" t="s">
        <v>22</v>
      </c>
      <c r="F878">
        <v>4</v>
      </c>
      <c r="G878" s="1" t="s">
        <v>23</v>
      </c>
      <c r="H878">
        <v>41428.571428571428</v>
      </c>
      <c r="J878">
        <v>43500</v>
      </c>
      <c r="K878">
        <v>39400</v>
      </c>
      <c r="L878">
        <v>39650</v>
      </c>
      <c r="M878">
        <v>650</v>
      </c>
      <c r="N878">
        <v>125.2762</v>
      </c>
      <c r="O878">
        <v>8.8682796999999994E-2</v>
      </c>
      <c r="P878">
        <v>15500</v>
      </c>
      <c r="Q878">
        <v>26.8</v>
      </c>
      <c r="R878">
        <v>6.21</v>
      </c>
      <c r="S878">
        <v>82.39</v>
      </c>
      <c r="T878">
        <v>11</v>
      </c>
      <c r="U878" s="1" t="s">
        <v>73</v>
      </c>
      <c r="V878">
        <v>1.49</v>
      </c>
    </row>
    <row r="879" spans="1:22" x14ac:dyDescent="0.3">
      <c r="A879" s="2">
        <v>44877</v>
      </c>
      <c r="B879">
        <v>44150</v>
      </c>
      <c r="C879">
        <v>1046</v>
      </c>
      <c r="D879">
        <v>11</v>
      </c>
      <c r="E879" s="1" t="s">
        <v>22</v>
      </c>
      <c r="F879">
        <v>5</v>
      </c>
      <c r="G879" s="1" t="s">
        <v>23</v>
      </c>
      <c r="H879">
        <v>42107.142857142855</v>
      </c>
      <c r="J879">
        <v>44150</v>
      </c>
      <c r="K879">
        <v>39400</v>
      </c>
      <c r="L879">
        <v>40250</v>
      </c>
      <c r="M879">
        <v>0</v>
      </c>
      <c r="N879">
        <v>125.2762</v>
      </c>
      <c r="O879">
        <v>8.8682796999999994E-2</v>
      </c>
      <c r="P879">
        <v>15500</v>
      </c>
      <c r="Q879">
        <v>26.31</v>
      </c>
      <c r="R879">
        <v>19.100000000000001</v>
      </c>
      <c r="S879">
        <v>86.58</v>
      </c>
      <c r="T879">
        <v>12</v>
      </c>
      <c r="U879" s="1" t="s">
        <v>73</v>
      </c>
      <c r="V879">
        <v>1.49</v>
      </c>
    </row>
    <row r="880" spans="1:22" x14ac:dyDescent="0.3">
      <c r="A880" s="2">
        <v>44878</v>
      </c>
      <c r="B880">
        <v>44150</v>
      </c>
      <c r="C880">
        <v>1047</v>
      </c>
      <c r="D880">
        <v>11</v>
      </c>
      <c r="E880" s="1" t="s">
        <v>22</v>
      </c>
      <c r="F880">
        <v>6</v>
      </c>
      <c r="G880" s="1" t="s">
        <v>23</v>
      </c>
      <c r="H880">
        <v>42785.714285714283</v>
      </c>
      <c r="J880">
        <v>44150</v>
      </c>
      <c r="K880">
        <v>39400</v>
      </c>
      <c r="L880">
        <v>40400</v>
      </c>
      <c r="M880">
        <v>0</v>
      </c>
      <c r="N880">
        <v>125.2762</v>
      </c>
      <c r="O880">
        <v>8.8682796999999994E-2</v>
      </c>
      <c r="P880">
        <v>15500</v>
      </c>
      <c r="Q880">
        <v>26.73</v>
      </c>
      <c r="R880">
        <v>4.33</v>
      </c>
      <c r="S880">
        <v>82.44</v>
      </c>
      <c r="T880">
        <v>13</v>
      </c>
      <c r="U880" s="1" t="s">
        <v>73</v>
      </c>
      <c r="V880">
        <v>1.49</v>
      </c>
    </row>
    <row r="881" spans="1:22" x14ac:dyDescent="0.3">
      <c r="A881" s="2">
        <v>44879</v>
      </c>
      <c r="B881">
        <v>45400</v>
      </c>
      <c r="C881">
        <v>1048</v>
      </c>
      <c r="D881">
        <v>11</v>
      </c>
      <c r="E881" s="1" t="s">
        <v>22</v>
      </c>
      <c r="F881">
        <v>0</v>
      </c>
      <c r="G881" s="1" t="s">
        <v>23</v>
      </c>
      <c r="H881">
        <v>43500</v>
      </c>
      <c r="J881">
        <v>44150</v>
      </c>
      <c r="K881">
        <v>40400</v>
      </c>
      <c r="L881">
        <v>40400</v>
      </c>
      <c r="M881">
        <v>1250</v>
      </c>
      <c r="N881">
        <v>125.2762</v>
      </c>
      <c r="O881">
        <v>8.8682796999999994E-2</v>
      </c>
      <c r="P881">
        <v>15473.900390000001</v>
      </c>
      <c r="Q881">
        <v>27.46</v>
      </c>
      <c r="R881">
        <v>3.04</v>
      </c>
      <c r="S881">
        <v>80.760000000000005</v>
      </c>
      <c r="T881">
        <v>14</v>
      </c>
      <c r="U881" s="1" t="s">
        <v>36</v>
      </c>
      <c r="V881">
        <v>2.83</v>
      </c>
    </row>
    <row r="882" spans="1:22" x14ac:dyDescent="0.3">
      <c r="A882" s="2">
        <v>44880</v>
      </c>
      <c r="B882">
        <v>45150</v>
      </c>
      <c r="C882">
        <v>1049</v>
      </c>
      <c r="D882">
        <v>11</v>
      </c>
      <c r="E882" s="1" t="s">
        <v>22</v>
      </c>
      <c r="F882">
        <v>1</v>
      </c>
      <c r="G882" s="1" t="s">
        <v>23</v>
      </c>
      <c r="H882">
        <v>44107.142857142855</v>
      </c>
      <c r="J882">
        <v>45400</v>
      </c>
      <c r="K882">
        <v>40900</v>
      </c>
      <c r="M882">
        <v>-250</v>
      </c>
      <c r="N882">
        <v>125.2762</v>
      </c>
      <c r="O882">
        <v>8.8682796999999994E-2</v>
      </c>
      <c r="P882">
        <v>15530.099609999999</v>
      </c>
      <c r="Q882">
        <v>27.2</v>
      </c>
      <c r="R882">
        <v>33.979999999999997</v>
      </c>
      <c r="S882">
        <v>82.79</v>
      </c>
      <c r="T882">
        <v>15</v>
      </c>
      <c r="U882" s="1" t="s">
        <v>35</v>
      </c>
      <c r="V882">
        <v>-0.55000000000000004</v>
      </c>
    </row>
    <row r="883" spans="1:22" x14ac:dyDescent="0.3">
      <c r="A883" s="2">
        <v>44881</v>
      </c>
      <c r="B883">
        <v>45750</v>
      </c>
      <c r="C883">
        <v>1050</v>
      </c>
      <c r="D883">
        <v>11</v>
      </c>
      <c r="E883" s="1" t="s">
        <v>22</v>
      </c>
      <c r="F883">
        <v>2</v>
      </c>
      <c r="G883" s="1" t="s">
        <v>23</v>
      </c>
      <c r="H883">
        <v>44607.142857142855</v>
      </c>
      <c r="J883">
        <v>45150</v>
      </c>
      <c r="K883">
        <v>42250</v>
      </c>
      <c r="L883">
        <v>44150</v>
      </c>
      <c r="M883">
        <v>600</v>
      </c>
      <c r="N883">
        <v>125.2762</v>
      </c>
      <c r="O883">
        <v>8.8682796999999994E-2</v>
      </c>
      <c r="P883">
        <v>15557</v>
      </c>
      <c r="Q883">
        <v>26.1</v>
      </c>
      <c r="R883">
        <v>14.84</v>
      </c>
      <c r="S883">
        <v>88.02</v>
      </c>
      <c r="T883">
        <v>16</v>
      </c>
      <c r="U883" s="1" t="s">
        <v>64</v>
      </c>
      <c r="V883">
        <v>1.33</v>
      </c>
    </row>
    <row r="884" spans="1:22" x14ac:dyDescent="0.3">
      <c r="A884" s="2">
        <v>44882</v>
      </c>
      <c r="B884">
        <v>45750</v>
      </c>
      <c r="C884">
        <v>1051</v>
      </c>
      <c r="D884">
        <v>11</v>
      </c>
      <c r="E884" s="1" t="s">
        <v>22</v>
      </c>
      <c r="F884">
        <v>3</v>
      </c>
      <c r="G884" s="1" t="s">
        <v>23</v>
      </c>
      <c r="H884">
        <v>44928.571428571428</v>
      </c>
      <c r="J884">
        <v>45750</v>
      </c>
      <c r="K884">
        <v>43500</v>
      </c>
      <c r="L884">
        <v>42250</v>
      </c>
      <c r="M884">
        <v>0</v>
      </c>
      <c r="N884">
        <v>125.2762</v>
      </c>
      <c r="O884">
        <v>8.8682796999999994E-2</v>
      </c>
      <c r="P884">
        <v>15655</v>
      </c>
      <c r="Q884">
        <v>27.01</v>
      </c>
      <c r="R884">
        <v>13.72</v>
      </c>
      <c r="S884">
        <v>81.67</v>
      </c>
      <c r="T884">
        <v>17</v>
      </c>
      <c r="U884" s="1" t="s">
        <v>25</v>
      </c>
      <c r="V884">
        <v>0</v>
      </c>
    </row>
    <row r="885" spans="1:22" x14ac:dyDescent="0.3">
      <c r="A885" s="2">
        <v>44883</v>
      </c>
      <c r="B885">
        <v>44900</v>
      </c>
      <c r="C885">
        <v>1052</v>
      </c>
      <c r="D885">
        <v>11</v>
      </c>
      <c r="E885" s="1" t="s">
        <v>22</v>
      </c>
      <c r="F885">
        <v>4</v>
      </c>
      <c r="G885" s="1" t="s">
        <v>23</v>
      </c>
      <c r="H885">
        <v>45035.714285714283</v>
      </c>
      <c r="J885">
        <v>45750</v>
      </c>
      <c r="K885">
        <v>44150</v>
      </c>
      <c r="L885">
        <v>42250</v>
      </c>
      <c r="M885">
        <v>-850</v>
      </c>
      <c r="N885">
        <v>125.2762</v>
      </c>
      <c r="O885">
        <v>8.8682796999999994E-2</v>
      </c>
      <c r="P885">
        <v>15720</v>
      </c>
      <c r="Q885">
        <v>27.33</v>
      </c>
      <c r="R885">
        <v>11.08</v>
      </c>
      <c r="S885">
        <v>80.5</v>
      </c>
      <c r="T885">
        <v>18</v>
      </c>
      <c r="U885" s="1" t="s">
        <v>60</v>
      </c>
      <c r="V885">
        <v>-1.86</v>
      </c>
    </row>
    <row r="886" spans="1:22" x14ac:dyDescent="0.3">
      <c r="A886" s="2">
        <v>44884</v>
      </c>
      <c r="B886">
        <v>44900</v>
      </c>
      <c r="C886">
        <v>1053</v>
      </c>
      <c r="D886">
        <v>11</v>
      </c>
      <c r="E886" s="1" t="s">
        <v>22</v>
      </c>
      <c r="F886">
        <v>5</v>
      </c>
      <c r="G886" s="1" t="s">
        <v>23</v>
      </c>
      <c r="H886">
        <v>45142.857142857145</v>
      </c>
      <c r="J886">
        <v>44900</v>
      </c>
      <c r="K886">
        <v>44150</v>
      </c>
      <c r="L886">
        <v>41750</v>
      </c>
      <c r="M886">
        <v>0</v>
      </c>
      <c r="N886">
        <v>125.2762</v>
      </c>
      <c r="O886">
        <v>8.8682796999999994E-2</v>
      </c>
      <c r="P886">
        <v>15720</v>
      </c>
      <c r="Q886">
        <v>26.65</v>
      </c>
      <c r="R886">
        <v>24.85</v>
      </c>
      <c r="S886">
        <v>86.14</v>
      </c>
      <c r="T886">
        <v>19</v>
      </c>
      <c r="U886" s="1" t="s">
        <v>60</v>
      </c>
      <c r="V886">
        <v>-1.86</v>
      </c>
    </row>
    <row r="887" spans="1:22" x14ac:dyDescent="0.3">
      <c r="A887" s="2">
        <v>44885</v>
      </c>
      <c r="B887">
        <v>44900</v>
      </c>
      <c r="C887">
        <v>1054</v>
      </c>
      <c r="D887">
        <v>11</v>
      </c>
      <c r="E887" s="1" t="s">
        <v>22</v>
      </c>
      <c r="F887">
        <v>6</v>
      </c>
      <c r="G887" s="1" t="s">
        <v>23</v>
      </c>
      <c r="H887">
        <v>45250</v>
      </c>
      <c r="J887">
        <v>44900</v>
      </c>
      <c r="K887">
        <v>44150</v>
      </c>
      <c r="L887">
        <v>42400</v>
      </c>
      <c r="M887">
        <v>0</v>
      </c>
      <c r="N887">
        <v>125.2762</v>
      </c>
      <c r="O887">
        <v>8.8682796999999994E-2</v>
      </c>
      <c r="P887">
        <v>15720</v>
      </c>
      <c r="Q887">
        <v>26.54</v>
      </c>
      <c r="R887">
        <v>13.24</v>
      </c>
      <c r="S887">
        <v>84.16</v>
      </c>
      <c r="T887">
        <v>20</v>
      </c>
      <c r="U887" s="1" t="s">
        <v>60</v>
      </c>
      <c r="V887">
        <v>-1.86</v>
      </c>
    </row>
    <row r="888" spans="1:22" x14ac:dyDescent="0.3">
      <c r="A888" s="2">
        <v>44886</v>
      </c>
      <c r="B888">
        <v>45400</v>
      </c>
      <c r="C888">
        <v>1055</v>
      </c>
      <c r="D888">
        <v>11</v>
      </c>
      <c r="E888" s="1" t="s">
        <v>22</v>
      </c>
      <c r="F888">
        <v>0</v>
      </c>
      <c r="G888" s="1" t="s">
        <v>23</v>
      </c>
      <c r="H888">
        <v>45250</v>
      </c>
      <c r="J888">
        <v>44900</v>
      </c>
      <c r="K888">
        <v>45400</v>
      </c>
      <c r="L888">
        <v>42400</v>
      </c>
      <c r="M888">
        <v>500</v>
      </c>
      <c r="N888">
        <v>125.2762</v>
      </c>
      <c r="O888">
        <v>8.8682796999999994E-2</v>
      </c>
      <c r="P888">
        <v>15629.400390000001</v>
      </c>
      <c r="Q888">
        <v>26.9</v>
      </c>
      <c r="R888">
        <v>5.99</v>
      </c>
      <c r="S888">
        <v>82.83</v>
      </c>
      <c r="T888">
        <v>21</v>
      </c>
      <c r="U888" s="1" t="s">
        <v>26</v>
      </c>
      <c r="V888">
        <v>1.1100000000000001</v>
      </c>
    </row>
    <row r="889" spans="1:22" x14ac:dyDescent="0.3">
      <c r="A889" s="2">
        <v>44887</v>
      </c>
      <c r="B889">
        <v>45400</v>
      </c>
      <c r="C889">
        <v>1056</v>
      </c>
      <c r="D889">
        <v>11</v>
      </c>
      <c r="E889" s="1" t="s">
        <v>22</v>
      </c>
      <c r="F889">
        <v>1</v>
      </c>
      <c r="G889" s="1" t="s">
        <v>23</v>
      </c>
      <c r="H889">
        <v>45285.714285714283</v>
      </c>
      <c r="I889">
        <v>41680</v>
      </c>
      <c r="J889">
        <v>45400</v>
      </c>
      <c r="K889">
        <v>45150</v>
      </c>
      <c r="M889">
        <v>0</v>
      </c>
      <c r="N889">
        <v>125.2762</v>
      </c>
      <c r="O889">
        <v>8.8682796999999994E-2</v>
      </c>
      <c r="P889">
        <v>15755</v>
      </c>
      <c r="Q889">
        <v>26.35</v>
      </c>
      <c r="R889">
        <v>7.88</v>
      </c>
      <c r="S889">
        <v>85.29</v>
      </c>
      <c r="T889">
        <v>22</v>
      </c>
      <c r="U889" s="1" t="s">
        <v>25</v>
      </c>
      <c r="V889">
        <v>0</v>
      </c>
    </row>
    <row r="890" spans="1:22" x14ac:dyDescent="0.3">
      <c r="A890" s="2">
        <v>44888</v>
      </c>
      <c r="B890">
        <v>44500</v>
      </c>
      <c r="C890">
        <v>1057</v>
      </c>
      <c r="D890">
        <v>11</v>
      </c>
      <c r="E890" s="1" t="s">
        <v>22</v>
      </c>
      <c r="F890">
        <v>2</v>
      </c>
      <c r="G890" s="1" t="s">
        <v>23</v>
      </c>
      <c r="H890">
        <v>45107.142857142855</v>
      </c>
      <c r="I890">
        <v>41858.333333333336</v>
      </c>
      <c r="J890">
        <v>45400</v>
      </c>
      <c r="K890">
        <v>45750</v>
      </c>
      <c r="L890">
        <v>39150</v>
      </c>
      <c r="M890">
        <v>-900</v>
      </c>
      <c r="N890">
        <v>125.2762</v>
      </c>
      <c r="O890">
        <v>8.8682796999999994E-2</v>
      </c>
      <c r="P890">
        <v>15671</v>
      </c>
      <c r="Q890">
        <v>26.16</v>
      </c>
      <c r="R890">
        <v>16.61</v>
      </c>
      <c r="S890">
        <v>82.08</v>
      </c>
      <c r="T890">
        <v>23</v>
      </c>
      <c r="U890" s="1" t="s">
        <v>67</v>
      </c>
      <c r="V890">
        <v>-1.98</v>
      </c>
    </row>
    <row r="891" spans="1:22" x14ac:dyDescent="0.3">
      <c r="A891" s="2">
        <v>44889</v>
      </c>
      <c r="B891">
        <v>44500</v>
      </c>
      <c r="C891">
        <v>1058</v>
      </c>
      <c r="D891">
        <v>11</v>
      </c>
      <c r="E891" s="1" t="s">
        <v>22</v>
      </c>
      <c r="F891">
        <v>3</v>
      </c>
      <c r="G891" s="1" t="s">
        <v>23</v>
      </c>
      <c r="H891">
        <v>44928.571428571428</v>
      </c>
      <c r="I891">
        <v>42050</v>
      </c>
      <c r="J891">
        <v>44500</v>
      </c>
      <c r="K891">
        <v>45750</v>
      </c>
      <c r="L891">
        <v>38750</v>
      </c>
      <c r="M891">
        <v>0</v>
      </c>
      <c r="N891">
        <v>125.2762</v>
      </c>
      <c r="O891">
        <v>8.8682796999999994E-2</v>
      </c>
      <c r="P891">
        <v>15619.599609999999</v>
      </c>
      <c r="Q891">
        <v>26.94</v>
      </c>
      <c r="R891">
        <v>5.74</v>
      </c>
      <c r="S891">
        <v>78.180000000000007</v>
      </c>
      <c r="T891">
        <v>24</v>
      </c>
      <c r="U891" s="1" t="s">
        <v>25</v>
      </c>
      <c r="V891">
        <v>0</v>
      </c>
    </row>
    <row r="892" spans="1:22" x14ac:dyDescent="0.3">
      <c r="A892" s="2">
        <v>44890</v>
      </c>
      <c r="B892">
        <v>44500</v>
      </c>
      <c r="C892">
        <v>1059</v>
      </c>
      <c r="D892">
        <v>11</v>
      </c>
      <c r="E892" s="1" t="s">
        <v>22</v>
      </c>
      <c r="F892">
        <v>4</v>
      </c>
      <c r="G892" s="1" t="s">
        <v>23</v>
      </c>
      <c r="H892">
        <v>44871.428571428572</v>
      </c>
      <c r="I892">
        <v>42241.666666666664</v>
      </c>
      <c r="J892">
        <v>44500</v>
      </c>
      <c r="K892">
        <v>44900</v>
      </c>
      <c r="L892">
        <v>38750</v>
      </c>
      <c r="M892">
        <v>0</v>
      </c>
      <c r="N892">
        <v>125.2762</v>
      </c>
      <c r="O892">
        <v>8.8682796999999994E-2</v>
      </c>
      <c r="P892">
        <v>15605</v>
      </c>
      <c r="Q892">
        <v>26.73</v>
      </c>
      <c r="R892">
        <v>15.33</v>
      </c>
      <c r="S892">
        <v>81.430000000000007</v>
      </c>
      <c r="T892">
        <v>25</v>
      </c>
      <c r="U892" s="1" t="s">
        <v>25</v>
      </c>
      <c r="V892">
        <v>0</v>
      </c>
    </row>
    <row r="893" spans="1:22" x14ac:dyDescent="0.3">
      <c r="A893" s="2">
        <v>44891</v>
      </c>
      <c r="B893">
        <v>44500</v>
      </c>
      <c r="C893">
        <v>1060</v>
      </c>
      <c r="D893">
        <v>11</v>
      </c>
      <c r="E893" s="1" t="s">
        <v>22</v>
      </c>
      <c r="F893">
        <v>5</v>
      </c>
      <c r="G893" s="1" t="s">
        <v>23</v>
      </c>
      <c r="H893">
        <v>44814.285714285717</v>
      </c>
      <c r="I893">
        <v>42433.333333333336</v>
      </c>
      <c r="J893">
        <v>44500</v>
      </c>
      <c r="K893">
        <v>44900</v>
      </c>
      <c r="L893">
        <v>38750</v>
      </c>
      <c r="M893">
        <v>0</v>
      </c>
      <c r="N893">
        <v>125.2762</v>
      </c>
      <c r="O893">
        <v>8.8682796999999994E-2</v>
      </c>
      <c r="P893">
        <v>15605</v>
      </c>
      <c r="Q893">
        <v>26.91</v>
      </c>
      <c r="R893">
        <v>4.08</v>
      </c>
      <c r="S893">
        <v>81.47</v>
      </c>
      <c r="T893">
        <v>26</v>
      </c>
      <c r="U893" s="1" t="s">
        <v>25</v>
      </c>
      <c r="V893">
        <v>0</v>
      </c>
    </row>
    <row r="894" spans="1:22" x14ac:dyDescent="0.3">
      <c r="A894" s="2">
        <v>44892</v>
      </c>
      <c r="B894">
        <v>44500</v>
      </c>
      <c r="C894">
        <v>1061</v>
      </c>
      <c r="D894">
        <v>11</v>
      </c>
      <c r="E894" s="1" t="s">
        <v>22</v>
      </c>
      <c r="F894">
        <v>6</v>
      </c>
      <c r="G894" s="1" t="s">
        <v>23</v>
      </c>
      <c r="H894">
        <v>44757.142857142855</v>
      </c>
      <c r="I894">
        <v>42641.666666666664</v>
      </c>
      <c r="J894">
        <v>44500</v>
      </c>
      <c r="K894">
        <v>44900</v>
      </c>
      <c r="L894">
        <v>38250</v>
      </c>
      <c r="M894">
        <v>0</v>
      </c>
      <c r="N894">
        <v>125.2762</v>
      </c>
      <c r="O894">
        <v>8.8682796999999994E-2</v>
      </c>
      <c r="P894">
        <v>15605</v>
      </c>
      <c r="Q894">
        <v>26.93</v>
      </c>
      <c r="R894">
        <v>5.95</v>
      </c>
      <c r="S894">
        <v>81.95</v>
      </c>
      <c r="T894">
        <v>27</v>
      </c>
      <c r="U894" s="1" t="s">
        <v>25</v>
      </c>
      <c r="V894">
        <v>0</v>
      </c>
    </row>
    <row r="895" spans="1:22" x14ac:dyDescent="0.3">
      <c r="A895" s="2">
        <v>44893</v>
      </c>
      <c r="B895">
        <v>43900</v>
      </c>
      <c r="C895">
        <v>1062</v>
      </c>
      <c r="D895">
        <v>11</v>
      </c>
      <c r="E895" s="1" t="s">
        <v>22</v>
      </c>
      <c r="F895">
        <v>0</v>
      </c>
      <c r="G895" s="1" t="s">
        <v>23</v>
      </c>
      <c r="H895">
        <v>44542.857142857145</v>
      </c>
      <c r="I895">
        <v>42830</v>
      </c>
      <c r="J895">
        <v>44500</v>
      </c>
      <c r="K895">
        <v>45400</v>
      </c>
      <c r="L895">
        <v>38250</v>
      </c>
      <c r="M895">
        <v>-600</v>
      </c>
      <c r="N895">
        <v>125.2762</v>
      </c>
      <c r="O895">
        <v>8.8682796999999994E-2</v>
      </c>
      <c r="P895">
        <v>15675.099609999999</v>
      </c>
      <c r="Q895">
        <v>27.07</v>
      </c>
      <c r="R895">
        <v>2.2999999999999998</v>
      </c>
      <c r="S895">
        <v>81.48</v>
      </c>
      <c r="T895">
        <v>28</v>
      </c>
      <c r="U895" s="1" t="s">
        <v>62</v>
      </c>
      <c r="V895">
        <v>-1.35</v>
      </c>
    </row>
    <row r="896" spans="1:22" x14ac:dyDescent="0.3">
      <c r="A896" s="2">
        <v>44894</v>
      </c>
      <c r="B896">
        <v>44500</v>
      </c>
      <c r="C896">
        <v>1063</v>
      </c>
      <c r="D896">
        <v>11</v>
      </c>
      <c r="E896" s="1" t="s">
        <v>22</v>
      </c>
      <c r="F896">
        <v>1</v>
      </c>
      <c r="G896" s="1" t="s">
        <v>23</v>
      </c>
      <c r="H896">
        <v>44414.285714285717</v>
      </c>
      <c r="I896">
        <v>43038.333333333336</v>
      </c>
      <c r="J896">
        <v>43900</v>
      </c>
      <c r="K896">
        <v>45400</v>
      </c>
      <c r="L896">
        <v>38250</v>
      </c>
      <c r="M896">
        <v>600</v>
      </c>
      <c r="N896">
        <v>125.2762</v>
      </c>
      <c r="O896">
        <v>8.8682796999999994E-2</v>
      </c>
      <c r="P896">
        <v>15746</v>
      </c>
      <c r="Q896">
        <v>26.91</v>
      </c>
      <c r="R896">
        <v>5.29</v>
      </c>
      <c r="S896">
        <v>83.6</v>
      </c>
      <c r="T896">
        <v>29</v>
      </c>
      <c r="U896" s="1" t="s">
        <v>64</v>
      </c>
      <c r="V896">
        <v>1.37</v>
      </c>
    </row>
    <row r="897" spans="1:22" x14ac:dyDescent="0.3">
      <c r="A897" s="2">
        <v>44895</v>
      </c>
      <c r="B897">
        <v>43500</v>
      </c>
      <c r="C897">
        <v>1064</v>
      </c>
      <c r="D897">
        <v>11</v>
      </c>
      <c r="E897" s="1" t="s">
        <v>22</v>
      </c>
      <c r="F897">
        <v>2</v>
      </c>
      <c r="G897" s="1" t="s">
        <v>23</v>
      </c>
      <c r="H897">
        <v>44271.428571428572</v>
      </c>
      <c r="I897">
        <v>43196.666666666664</v>
      </c>
      <c r="J897">
        <v>44500</v>
      </c>
      <c r="K897">
        <v>44500</v>
      </c>
      <c r="L897">
        <v>38750</v>
      </c>
      <c r="M897">
        <v>-1000</v>
      </c>
      <c r="N897">
        <v>125.2762</v>
      </c>
      <c r="O897">
        <v>8.8682796999999994E-2</v>
      </c>
      <c r="P897">
        <v>15726.5</v>
      </c>
      <c r="Q897">
        <v>26.24</v>
      </c>
      <c r="R897">
        <v>9.8800000000000008</v>
      </c>
      <c r="S897">
        <v>82.09</v>
      </c>
      <c r="T897">
        <v>30</v>
      </c>
      <c r="U897" s="1" t="s">
        <v>30</v>
      </c>
      <c r="V897">
        <v>-2.25</v>
      </c>
    </row>
    <row r="898" spans="1:22" x14ac:dyDescent="0.3">
      <c r="A898" s="2">
        <v>44896</v>
      </c>
      <c r="B898">
        <v>43150</v>
      </c>
      <c r="C898">
        <v>1065</v>
      </c>
      <c r="D898">
        <v>12</v>
      </c>
      <c r="E898" s="1" t="s">
        <v>22</v>
      </c>
      <c r="F898">
        <v>3</v>
      </c>
      <c r="G898" s="1" t="s">
        <v>23</v>
      </c>
      <c r="H898">
        <v>44078.571428571428</v>
      </c>
      <c r="I898">
        <v>43343.333333333336</v>
      </c>
      <c r="J898">
        <v>43500</v>
      </c>
      <c r="K898">
        <v>44500</v>
      </c>
      <c r="L898">
        <v>38750</v>
      </c>
      <c r="M898">
        <v>-350</v>
      </c>
      <c r="N898">
        <v>126.0977</v>
      </c>
      <c r="O898">
        <v>0.65575105199999995</v>
      </c>
      <c r="P898">
        <v>15634.5</v>
      </c>
      <c r="Q898">
        <v>26.4</v>
      </c>
      <c r="R898">
        <v>8.36</v>
      </c>
      <c r="S898">
        <v>81.36</v>
      </c>
      <c r="T898">
        <v>1</v>
      </c>
      <c r="U898" s="1" t="s">
        <v>77</v>
      </c>
      <c r="V898">
        <v>-0.8</v>
      </c>
    </row>
    <row r="899" spans="1:22" x14ac:dyDescent="0.3">
      <c r="A899" s="2">
        <v>44897</v>
      </c>
      <c r="B899">
        <v>43150</v>
      </c>
      <c r="C899">
        <v>1066</v>
      </c>
      <c r="D899">
        <v>12</v>
      </c>
      <c r="E899" s="1" t="s">
        <v>22</v>
      </c>
      <c r="F899">
        <v>4</v>
      </c>
      <c r="G899" s="1" t="s">
        <v>23</v>
      </c>
      <c r="H899">
        <v>43885.714285714283</v>
      </c>
      <c r="I899">
        <v>43490</v>
      </c>
      <c r="J899">
        <v>43150</v>
      </c>
      <c r="K899">
        <v>44500</v>
      </c>
      <c r="L899">
        <v>38750</v>
      </c>
      <c r="M899">
        <v>0</v>
      </c>
      <c r="N899">
        <v>126.0977</v>
      </c>
      <c r="O899">
        <v>0.65575105199999995</v>
      </c>
      <c r="P899">
        <v>15355.5</v>
      </c>
      <c r="Q899">
        <v>26.35</v>
      </c>
      <c r="R899">
        <v>4.07</v>
      </c>
      <c r="S899">
        <v>82.71</v>
      </c>
      <c r="T899">
        <v>2</v>
      </c>
      <c r="U899" s="1" t="s">
        <v>25</v>
      </c>
      <c r="V899">
        <v>0</v>
      </c>
    </row>
    <row r="900" spans="1:22" x14ac:dyDescent="0.3">
      <c r="A900" s="2">
        <v>44898</v>
      </c>
      <c r="B900">
        <v>43150</v>
      </c>
      <c r="C900">
        <v>1067</v>
      </c>
      <c r="D900">
        <v>12</v>
      </c>
      <c r="E900" s="1" t="s">
        <v>22</v>
      </c>
      <c r="F900">
        <v>5</v>
      </c>
      <c r="G900" s="1" t="s">
        <v>23</v>
      </c>
      <c r="H900">
        <v>43692.857142857145</v>
      </c>
      <c r="I900">
        <v>43636.666666666664</v>
      </c>
      <c r="J900">
        <v>43150</v>
      </c>
      <c r="K900">
        <v>44500</v>
      </c>
      <c r="L900">
        <v>38750</v>
      </c>
      <c r="M900">
        <v>0</v>
      </c>
      <c r="N900">
        <v>126.0977</v>
      </c>
      <c r="O900">
        <v>0.65575105199999995</v>
      </c>
      <c r="P900">
        <v>15355.5</v>
      </c>
      <c r="Q900">
        <v>26.87</v>
      </c>
      <c r="R900">
        <v>2.63</v>
      </c>
      <c r="S900">
        <v>81.09</v>
      </c>
      <c r="T900">
        <v>3</v>
      </c>
      <c r="U900" s="1" t="s">
        <v>25</v>
      </c>
      <c r="V900">
        <v>0</v>
      </c>
    </row>
    <row r="901" spans="1:22" x14ac:dyDescent="0.3">
      <c r="A901" s="2">
        <v>44899</v>
      </c>
      <c r="B901">
        <v>43150</v>
      </c>
      <c r="C901">
        <v>1068</v>
      </c>
      <c r="D901">
        <v>12</v>
      </c>
      <c r="E901" s="1" t="s">
        <v>22</v>
      </c>
      <c r="F901">
        <v>6</v>
      </c>
      <c r="G901" s="1" t="s">
        <v>23</v>
      </c>
      <c r="H901">
        <v>43500</v>
      </c>
      <c r="I901">
        <v>43761.666666666664</v>
      </c>
      <c r="J901">
        <v>43150</v>
      </c>
      <c r="K901">
        <v>44500</v>
      </c>
      <c r="L901">
        <v>39400</v>
      </c>
      <c r="M901">
        <v>0</v>
      </c>
      <c r="N901">
        <v>126.0977</v>
      </c>
      <c r="O901">
        <v>0.65575105199999995</v>
      </c>
      <c r="P901">
        <v>15355.5</v>
      </c>
      <c r="Q901">
        <v>26.83</v>
      </c>
      <c r="R901">
        <v>5.84</v>
      </c>
      <c r="S901">
        <v>79.97</v>
      </c>
      <c r="T901">
        <v>4</v>
      </c>
      <c r="U901" s="1" t="s">
        <v>25</v>
      </c>
      <c r="V901">
        <v>0</v>
      </c>
    </row>
    <row r="902" spans="1:22" x14ac:dyDescent="0.3">
      <c r="A902" s="2">
        <v>44900</v>
      </c>
      <c r="B902">
        <v>44400</v>
      </c>
      <c r="C902">
        <v>1069</v>
      </c>
      <c r="D902">
        <v>12</v>
      </c>
      <c r="E902" s="1" t="s">
        <v>22</v>
      </c>
      <c r="F902">
        <v>0</v>
      </c>
      <c r="G902" s="1" t="s">
        <v>23</v>
      </c>
      <c r="H902">
        <v>43571.428571428572</v>
      </c>
      <c r="I902">
        <v>43928.333333333336</v>
      </c>
      <c r="J902">
        <v>43150</v>
      </c>
      <c r="K902">
        <v>43900</v>
      </c>
      <c r="L902">
        <v>39400</v>
      </c>
      <c r="M902">
        <v>1250</v>
      </c>
      <c r="N902">
        <v>126.0977</v>
      </c>
      <c r="O902">
        <v>0.65575105199999995</v>
      </c>
      <c r="P902">
        <v>15421</v>
      </c>
      <c r="Q902">
        <v>26.24</v>
      </c>
      <c r="R902">
        <v>6.62</v>
      </c>
      <c r="S902">
        <v>83.27</v>
      </c>
      <c r="T902">
        <v>5</v>
      </c>
      <c r="U902" s="1" t="s">
        <v>36</v>
      </c>
      <c r="V902">
        <v>2.9</v>
      </c>
    </row>
    <row r="903" spans="1:22" x14ac:dyDescent="0.3">
      <c r="A903" s="2">
        <v>44901</v>
      </c>
      <c r="B903">
        <v>43650</v>
      </c>
      <c r="C903">
        <v>1070</v>
      </c>
      <c r="D903">
        <v>12</v>
      </c>
      <c r="E903" s="1" t="s">
        <v>22</v>
      </c>
      <c r="F903">
        <v>1</v>
      </c>
      <c r="G903" s="1" t="s">
        <v>23</v>
      </c>
      <c r="H903">
        <v>43450</v>
      </c>
      <c r="I903">
        <v>44070</v>
      </c>
      <c r="J903">
        <v>44400</v>
      </c>
      <c r="K903">
        <v>44500</v>
      </c>
      <c r="L903">
        <v>39400</v>
      </c>
      <c r="M903">
        <v>-750</v>
      </c>
      <c r="N903">
        <v>126.0977</v>
      </c>
      <c r="O903">
        <v>0.65575105199999995</v>
      </c>
      <c r="P903">
        <v>15520.299800000001</v>
      </c>
      <c r="Q903">
        <v>26.68</v>
      </c>
      <c r="R903">
        <v>4.8899999999999997</v>
      </c>
      <c r="S903">
        <v>79.06</v>
      </c>
      <c r="T903">
        <v>6</v>
      </c>
      <c r="U903" s="1" t="s">
        <v>42</v>
      </c>
      <c r="V903">
        <v>-1.69</v>
      </c>
    </row>
    <row r="904" spans="1:22" x14ac:dyDescent="0.3">
      <c r="A904" s="2">
        <v>44902</v>
      </c>
      <c r="B904">
        <v>45500</v>
      </c>
      <c r="C904">
        <v>1071</v>
      </c>
      <c r="D904">
        <v>12</v>
      </c>
      <c r="E904" s="1" t="s">
        <v>22</v>
      </c>
      <c r="F904">
        <v>2</v>
      </c>
      <c r="G904" s="1" t="s">
        <v>23</v>
      </c>
      <c r="H904">
        <v>43735.714285714283</v>
      </c>
      <c r="I904">
        <v>44240</v>
      </c>
      <c r="J904">
        <v>43650</v>
      </c>
      <c r="K904">
        <v>43500</v>
      </c>
      <c r="L904">
        <v>40400</v>
      </c>
      <c r="M904">
        <v>1850</v>
      </c>
      <c r="N904">
        <v>126.0977</v>
      </c>
      <c r="O904">
        <v>0.65575105199999995</v>
      </c>
      <c r="P904">
        <v>15623</v>
      </c>
      <c r="Q904">
        <v>27.37</v>
      </c>
      <c r="R904">
        <v>4.91</v>
      </c>
      <c r="S904">
        <v>75.52</v>
      </c>
      <c r="T904">
        <v>7</v>
      </c>
      <c r="U904" s="1" t="s">
        <v>100</v>
      </c>
      <c r="V904">
        <v>4.24</v>
      </c>
    </row>
    <row r="905" spans="1:22" x14ac:dyDescent="0.3">
      <c r="A905" s="2">
        <v>44903</v>
      </c>
      <c r="B905">
        <v>45900</v>
      </c>
      <c r="C905">
        <v>1072</v>
      </c>
      <c r="D905">
        <v>12</v>
      </c>
      <c r="E905" s="1" t="s">
        <v>22</v>
      </c>
      <c r="F905">
        <v>3</v>
      </c>
      <c r="G905" s="1" t="s">
        <v>23</v>
      </c>
      <c r="H905">
        <v>44128.571428571428</v>
      </c>
      <c r="I905">
        <v>44406.666666666664</v>
      </c>
      <c r="J905">
        <v>45500</v>
      </c>
      <c r="K905">
        <v>43150</v>
      </c>
      <c r="L905">
        <v>40900</v>
      </c>
      <c r="M905">
        <v>400</v>
      </c>
      <c r="N905">
        <v>126.0977</v>
      </c>
      <c r="O905">
        <v>0.65575105199999995</v>
      </c>
      <c r="P905">
        <v>15596</v>
      </c>
      <c r="Q905">
        <v>26.98</v>
      </c>
      <c r="R905">
        <v>3.16</v>
      </c>
      <c r="S905">
        <v>79.11</v>
      </c>
      <c r="T905">
        <v>8</v>
      </c>
      <c r="U905" s="1" t="s">
        <v>70</v>
      </c>
      <c r="V905">
        <v>0.88</v>
      </c>
    </row>
    <row r="906" spans="1:22" x14ac:dyDescent="0.3">
      <c r="A906" s="2">
        <v>44904</v>
      </c>
      <c r="B906">
        <v>45250</v>
      </c>
      <c r="C906">
        <v>1073</v>
      </c>
      <c r="D906">
        <v>12</v>
      </c>
      <c r="E906" s="1" t="s">
        <v>22</v>
      </c>
      <c r="F906">
        <v>4</v>
      </c>
      <c r="G906" s="1" t="s">
        <v>23</v>
      </c>
      <c r="H906">
        <v>44428.571428571428</v>
      </c>
      <c r="I906">
        <v>44506.666666666664</v>
      </c>
      <c r="J906">
        <v>45900</v>
      </c>
      <c r="K906">
        <v>43150</v>
      </c>
      <c r="L906">
        <v>42250</v>
      </c>
      <c r="M906">
        <v>-650</v>
      </c>
      <c r="N906">
        <v>126.0977</v>
      </c>
      <c r="O906">
        <v>0.65575105199999995</v>
      </c>
      <c r="P906">
        <v>15590</v>
      </c>
      <c r="Q906">
        <v>27.66</v>
      </c>
      <c r="R906">
        <v>1.91</v>
      </c>
      <c r="S906">
        <v>77.42</v>
      </c>
      <c r="T906">
        <v>9</v>
      </c>
      <c r="U906" s="1" t="s">
        <v>72</v>
      </c>
      <c r="V906">
        <v>-1.42</v>
      </c>
    </row>
    <row r="907" spans="1:22" x14ac:dyDescent="0.3">
      <c r="A907" s="2">
        <v>44905</v>
      </c>
      <c r="B907">
        <v>45250</v>
      </c>
      <c r="C907">
        <v>1074</v>
      </c>
      <c r="D907">
        <v>12</v>
      </c>
      <c r="E907" s="1" t="s">
        <v>22</v>
      </c>
      <c r="F907">
        <v>5</v>
      </c>
      <c r="G907" s="1" t="s">
        <v>23</v>
      </c>
      <c r="H907">
        <v>44728.571428571428</v>
      </c>
      <c r="I907">
        <v>44565</v>
      </c>
      <c r="J907">
        <v>45250</v>
      </c>
      <c r="K907">
        <v>43150</v>
      </c>
      <c r="L907">
        <v>43500</v>
      </c>
      <c r="M907">
        <v>0</v>
      </c>
      <c r="N907">
        <v>126.0977</v>
      </c>
      <c r="O907">
        <v>0.65575105199999995</v>
      </c>
      <c r="P907">
        <v>15590</v>
      </c>
      <c r="Q907">
        <v>27.55</v>
      </c>
      <c r="R907">
        <v>3.88</v>
      </c>
      <c r="S907">
        <v>80.19</v>
      </c>
      <c r="T907">
        <v>10</v>
      </c>
      <c r="U907" s="1" t="s">
        <v>72</v>
      </c>
      <c r="V907">
        <v>-1.42</v>
      </c>
    </row>
    <row r="908" spans="1:22" x14ac:dyDescent="0.3">
      <c r="A908" s="2">
        <v>44906</v>
      </c>
      <c r="B908">
        <v>45250</v>
      </c>
      <c r="C908">
        <v>1075</v>
      </c>
      <c r="D908">
        <v>12</v>
      </c>
      <c r="E908" s="1" t="s">
        <v>22</v>
      </c>
      <c r="F908">
        <v>6</v>
      </c>
      <c r="G908" s="1" t="s">
        <v>23</v>
      </c>
      <c r="H908">
        <v>45028.571428571428</v>
      </c>
      <c r="I908">
        <v>44601.666666666664</v>
      </c>
      <c r="J908">
        <v>45250</v>
      </c>
      <c r="K908">
        <v>43150</v>
      </c>
      <c r="L908">
        <v>44150</v>
      </c>
      <c r="M908">
        <v>0</v>
      </c>
      <c r="N908">
        <v>126.0977</v>
      </c>
      <c r="O908">
        <v>0.65575105199999995</v>
      </c>
      <c r="P908">
        <v>15590</v>
      </c>
      <c r="Q908">
        <v>27.15</v>
      </c>
      <c r="R908">
        <v>4.16</v>
      </c>
      <c r="S908">
        <v>82.86</v>
      </c>
      <c r="T908">
        <v>11</v>
      </c>
      <c r="U908" s="1" t="s">
        <v>72</v>
      </c>
      <c r="V908">
        <v>-1.42</v>
      </c>
    </row>
    <row r="909" spans="1:22" x14ac:dyDescent="0.3">
      <c r="A909" s="2">
        <v>44907</v>
      </c>
      <c r="B909">
        <v>45250</v>
      </c>
      <c r="C909">
        <v>1076</v>
      </c>
      <c r="D909">
        <v>12</v>
      </c>
      <c r="E909" s="1" t="s">
        <v>22</v>
      </c>
      <c r="F909">
        <v>0</v>
      </c>
      <c r="G909" s="1" t="s">
        <v>23</v>
      </c>
      <c r="H909">
        <v>45150</v>
      </c>
      <c r="I909">
        <v>44638.333333333336</v>
      </c>
      <c r="J909">
        <v>45250</v>
      </c>
      <c r="K909">
        <v>44400</v>
      </c>
      <c r="L909">
        <v>44150</v>
      </c>
      <c r="M909">
        <v>0</v>
      </c>
      <c r="N909">
        <v>126.0977</v>
      </c>
      <c r="O909">
        <v>0.65575105199999995</v>
      </c>
      <c r="P909">
        <v>15582</v>
      </c>
      <c r="Q909">
        <v>26.83</v>
      </c>
      <c r="R909">
        <v>5.27</v>
      </c>
      <c r="S909">
        <v>83.62</v>
      </c>
      <c r="T909">
        <v>12</v>
      </c>
      <c r="U909" s="1" t="s">
        <v>25</v>
      </c>
      <c r="V909">
        <v>0</v>
      </c>
    </row>
    <row r="910" spans="1:22" x14ac:dyDescent="0.3">
      <c r="A910" s="2">
        <v>44908</v>
      </c>
      <c r="B910">
        <v>45250</v>
      </c>
      <c r="C910">
        <v>1077</v>
      </c>
      <c r="D910">
        <v>12</v>
      </c>
      <c r="E910" s="1" t="s">
        <v>22</v>
      </c>
      <c r="F910">
        <v>1</v>
      </c>
      <c r="G910" s="1" t="s">
        <v>23</v>
      </c>
      <c r="H910">
        <v>45378.571428571428</v>
      </c>
      <c r="I910">
        <v>44675</v>
      </c>
      <c r="J910">
        <v>45250</v>
      </c>
      <c r="K910">
        <v>43650</v>
      </c>
      <c r="L910">
        <v>44150</v>
      </c>
      <c r="M910">
        <v>0</v>
      </c>
      <c r="N910">
        <v>126.0977</v>
      </c>
      <c r="O910">
        <v>0.65575105199999995</v>
      </c>
      <c r="P910">
        <v>15676.299800000001</v>
      </c>
      <c r="Q910">
        <v>26.51</v>
      </c>
      <c r="R910">
        <v>10.15</v>
      </c>
      <c r="S910">
        <v>83.38</v>
      </c>
      <c r="T910">
        <v>13</v>
      </c>
      <c r="U910" s="1" t="s">
        <v>25</v>
      </c>
      <c r="V910">
        <v>0</v>
      </c>
    </row>
    <row r="911" spans="1:22" x14ac:dyDescent="0.3">
      <c r="A911" s="2">
        <v>44909</v>
      </c>
      <c r="B911">
        <v>45900</v>
      </c>
      <c r="C911">
        <v>1078</v>
      </c>
      <c r="D911">
        <v>12</v>
      </c>
      <c r="E911" s="1" t="s">
        <v>22</v>
      </c>
      <c r="F911">
        <v>2</v>
      </c>
      <c r="G911" s="1" t="s">
        <v>23</v>
      </c>
      <c r="H911">
        <v>45435.714285714283</v>
      </c>
      <c r="I911">
        <v>44691.666666666664</v>
      </c>
      <c r="J911">
        <v>45250</v>
      </c>
      <c r="K911">
        <v>45500</v>
      </c>
      <c r="L911">
        <v>45400</v>
      </c>
      <c r="M911">
        <v>650</v>
      </c>
      <c r="N911">
        <v>126.0977</v>
      </c>
      <c r="O911">
        <v>0.65575105199999995</v>
      </c>
      <c r="P911">
        <v>15554.700199999999</v>
      </c>
      <c r="Q911">
        <v>26.4</v>
      </c>
      <c r="R911">
        <v>7.33</v>
      </c>
      <c r="S911">
        <v>82.17</v>
      </c>
      <c r="T911">
        <v>14</v>
      </c>
      <c r="U911" s="1" t="s">
        <v>73</v>
      </c>
      <c r="V911">
        <v>1.44</v>
      </c>
    </row>
    <row r="912" spans="1:22" x14ac:dyDescent="0.3">
      <c r="A912" s="2">
        <v>44910</v>
      </c>
      <c r="B912">
        <v>45650</v>
      </c>
      <c r="C912">
        <v>1079</v>
      </c>
      <c r="D912">
        <v>12</v>
      </c>
      <c r="E912" s="1" t="s">
        <v>22</v>
      </c>
      <c r="F912">
        <v>3</v>
      </c>
      <c r="G912" s="1" t="s">
        <v>23</v>
      </c>
      <c r="H912">
        <v>45400</v>
      </c>
      <c r="I912">
        <v>44708.333333333336</v>
      </c>
      <c r="J912">
        <v>45900</v>
      </c>
      <c r="K912">
        <v>45900</v>
      </c>
      <c r="L912">
        <v>45150</v>
      </c>
      <c r="M912">
        <v>-250</v>
      </c>
      <c r="N912">
        <v>126.0977</v>
      </c>
      <c r="O912">
        <v>0.65575105199999995</v>
      </c>
      <c r="P912">
        <v>15481</v>
      </c>
      <c r="Q912">
        <v>26.08</v>
      </c>
      <c r="R912">
        <v>13.55</v>
      </c>
      <c r="S912">
        <v>84.17</v>
      </c>
      <c r="T912">
        <v>15</v>
      </c>
      <c r="U912" s="1" t="s">
        <v>35</v>
      </c>
      <c r="V912">
        <v>-0.54</v>
      </c>
    </row>
    <row r="913" spans="1:22" x14ac:dyDescent="0.3">
      <c r="A913" s="2">
        <v>44911</v>
      </c>
      <c r="B913">
        <v>45250</v>
      </c>
      <c r="C913">
        <v>1080</v>
      </c>
      <c r="D913">
        <v>12</v>
      </c>
      <c r="E913" s="1" t="s">
        <v>22</v>
      </c>
      <c r="F913">
        <v>4</v>
      </c>
      <c r="G913" s="1" t="s">
        <v>23</v>
      </c>
      <c r="H913">
        <v>45400</v>
      </c>
      <c r="I913">
        <v>44691.666666666664</v>
      </c>
      <c r="J913">
        <v>45650</v>
      </c>
      <c r="K913">
        <v>45250</v>
      </c>
      <c r="L913">
        <v>45750</v>
      </c>
      <c r="M913">
        <v>-400</v>
      </c>
      <c r="N913">
        <v>126.0977</v>
      </c>
      <c r="O913">
        <v>0.65575105199999995</v>
      </c>
      <c r="P913">
        <v>15626</v>
      </c>
      <c r="Q913">
        <v>26.76</v>
      </c>
      <c r="R913">
        <v>3.78</v>
      </c>
      <c r="S913">
        <v>80.739999999999995</v>
      </c>
      <c r="T913">
        <v>16</v>
      </c>
      <c r="U913" s="1" t="s">
        <v>99</v>
      </c>
      <c r="V913">
        <v>-0.88</v>
      </c>
    </row>
    <row r="914" spans="1:22" x14ac:dyDescent="0.3">
      <c r="A914" s="2">
        <v>44912</v>
      </c>
      <c r="B914">
        <v>45250</v>
      </c>
      <c r="C914">
        <v>1081</v>
      </c>
      <c r="D914">
        <v>12</v>
      </c>
      <c r="E914" s="1" t="s">
        <v>22</v>
      </c>
      <c r="F914">
        <v>5</v>
      </c>
      <c r="G914" s="1" t="s">
        <v>23</v>
      </c>
      <c r="H914">
        <v>45400</v>
      </c>
      <c r="I914">
        <v>44675</v>
      </c>
      <c r="J914">
        <v>45250</v>
      </c>
      <c r="K914">
        <v>45250</v>
      </c>
      <c r="L914">
        <v>45750</v>
      </c>
      <c r="M914">
        <v>0</v>
      </c>
      <c r="N914">
        <v>126.0977</v>
      </c>
      <c r="O914">
        <v>0.65575105199999995</v>
      </c>
      <c r="P914">
        <v>15626</v>
      </c>
      <c r="Q914">
        <v>26.53</v>
      </c>
      <c r="R914">
        <v>20.21</v>
      </c>
      <c r="S914">
        <v>85.93</v>
      </c>
      <c r="T914">
        <v>17</v>
      </c>
      <c r="U914" s="1" t="s">
        <v>99</v>
      </c>
      <c r="V914">
        <v>-0.88</v>
      </c>
    </row>
    <row r="915" spans="1:22" x14ac:dyDescent="0.3">
      <c r="A915" s="2">
        <v>44913</v>
      </c>
      <c r="B915">
        <v>45250</v>
      </c>
      <c r="C915">
        <v>1082</v>
      </c>
      <c r="D915">
        <v>12</v>
      </c>
      <c r="E915" s="1" t="s">
        <v>22</v>
      </c>
      <c r="F915">
        <v>6</v>
      </c>
      <c r="G915" s="1" t="s">
        <v>23</v>
      </c>
      <c r="H915">
        <v>45400</v>
      </c>
      <c r="I915">
        <v>44686.666666666664</v>
      </c>
      <c r="J915">
        <v>45250</v>
      </c>
      <c r="K915">
        <v>45250</v>
      </c>
      <c r="L915">
        <v>44900</v>
      </c>
      <c r="M915">
        <v>0</v>
      </c>
      <c r="N915">
        <v>126.0977</v>
      </c>
      <c r="O915">
        <v>0.65575105199999995</v>
      </c>
      <c r="P915">
        <v>15626</v>
      </c>
      <c r="Q915">
        <v>26.24</v>
      </c>
      <c r="R915">
        <v>14.09</v>
      </c>
      <c r="S915">
        <v>84.06</v>
      </c>
      <c r="T915">
        <v>18</v>
      </c>
      <c r="U915" s="1" t="s">
        <v>99</v>
      </c>
      <c r="V915">
        <v>-0.88</v>
      </c>
    </row>
    <row r="916" spans="1:22" x14ac:dyDescent="0.3">
      <c r="A916" s="2">
        <v>44914</v>
      </c>
      <c r="B916">
        <v>45250</v>
      </c>
      <c r="C916">
        <v>1083</v>
      </c>
      <c r="D916">
        <v>12</v>
      </c>
      <c r="E916" s="1" t="s">
        <v>22</v>
      </c>
      <c r="F916">
        <v>0</v>
      </c>
      <c r="G916" s="1" t="s">
        <v>23</v>
      </c>
      <c r="H916">
        <v>45400</v>
      </c>
      <c r="I916">
        <v>44698.333333333336</v>
      </c>
      <c r="J916">
        <v>45250</v>
      </c>
      <c r="K916">
        <v>45250</v>
      </c>
      <c r="L916">
        <v>44900</v>
      </c>
      <c r="M916">
        <v>0</v>
      </c>
      <c r="N916">
        <v>126.0977</v>
      </c>
      <c r="O916">
        <v>0.65575105199999995</v>
      </c>
      <c r="P916">
        <v>15615.900390000001</v>
      </c>
      <c r="Q916">
        <v>26.69</v>
      </c>
      <c r="R916">
        <v>6.01</v>
      </c>
      <c r="S916">
        <v>84.63</v>
      </c>
      <c r="T916">
        <v>19</v>
      </c>
      <c r="U916" s="1" t="s">
        <v>25</v>
      </c>
      <c r="V916">
        <v>0</v>
      </c>
    </row>
    <row r="917" spans="1:22" x14ac:dyDescent="0.3">
      <c r="A917" s="2">
        <v>44915</v>
      </c>
      <c r="B917">
        <v>45250</v>
      </c>
      <c r="C917">
        <v>1084</v>
      </c>
      <c r="D917">
        <v>12</v>
      </c>
      <c r="E917" s="1" t="s">
        <v>22</v>
      </c>
      <c r="F917">
        <v>1</v>
      </c>
      <c r="G917" s="1" t="s">
        <v>23</v>
      </c>
      <c r="H917">
        <v>45400</v>
      </c>
      <c r="I917">
        <v>44710</v>
      </c>
      <c r="J917">
        <v>45250</v>
      </c>
      <c r="K917">
        <v>45250</v>
      </c>
      <c r="L917">
        <v>44900</v>
      </c>
      <c r="M917">
        <v>0</v>
      </c>
      <c r="N917">
        <v>126.0977</v>
      </c>
      <c r="O917">
        <v>0.65575105199999995</v>
      </c>
      <c r="P917">
        <v>15567.5</v>
      </c>
      <c r="Q917">
        <v>26.88</v>
      </c>
      <c r="R917">
        <v>5.34</v>
      </c>
      <c r="S917">
        <v>84.47</v>
      </c>
      <c r="T917">
        <v>20</v>
      </c>
      <c r="U917" s="1" t="s">
        <v>25</v>
      </c>
      <c r="V917">
        <v>0</v>
      </c>
    </row>
    <row r="918" spans="1:22" x14ac:dyDescent="0.3">
      <c r="A918" s="2">
        <v>44916</v>
      </c>
      <c r="B918">
        <v>44900</v>
      </c>
      <c r="C918">
        <v>1085</v>
      </c>
      <c r="D918">
        <v>12</v>
      </c>
      <c r="E918" s="1" t="s">
        <v>22</v>
      </c>
      <c r="F918">
        <v>2</v>
      </c>
      <c r="G918" s="1" t="s">
        <v>23</v>
      </c>
      <c r="H918">
        <v>45257.142857142855</v>
      </c>
      <c r="I918">
        <v>44693.333333333336</v>
      </c>
      <c r="J918">
        <v>45250</v>
      </c>
      <c r="K918">
        <v>45900</v>
      </c>
      <c r="L918">
        <v>45400</v>
      </c>
      <c r="M918">
        <v>-350</v>
      </c>
      <c r="N918">
        <v>126.0977</v>
      </c>
      <c r="O918">
        <v>0.65575105199999995</v>
      </c>
      <c r="P918">
        <v>15556</v>
      </c>
      <c r="Q918">
        <v>27.05</v>
      </c>
      <c r="R918">
        <v>7.17</v>
      </c>
      <c r="S918">
        <v>85.61</v>
      </c>
      <c r="T918">
        <v>21</v>
      </c>
      <c r="U918" s="1" t="s">
        <v>77</v>
      </c>
      <c r="V918">
        <v>-0.77</v>
      </c>
    </row>
    <row r="919" spans="1:22" x14ac:dyDescent="0.3">
      <c r="A919" s="2">
        <v>44917</v>
      </c>
      <c r="B919">
        <v>44900</v>
      </c>
      <c r="C919">
        <v>1086</v>
      </c>
      <c r="D919">
        <v>12</v>
      </c>
      <c r="E919" s="1" t="s">
        <v>22</v>
      </c>
      <c r="F919">
        <v>3</v>
      </c>
      <c r="G919" s="1" t="s">
        <v>23</v>
      </c>
      <c r="H919">
        <v>45150</v>
      </c>
      <c r="I919">
        <v>44676.666666666664</v>
      </c>
      <c r="J919">
        <v>44900</v>
      </c>
      <c r="K919">
        <v>45650</v>
      </c>
      <c r="L919">
        <v>45400</v>
      </c>
      <c r="M919">
        <v>0</v>
      </c>
      <c r="N919">
        <v>126.0977</v>
      </c>
      <c r="O919">
        <v>0.65575105199999995</v>
      </c>
      <c r="P919">
        <v>15513</v>
      </c>
      <c r="Q919">
        <v>27.16</v>
      </c>
      <c r="R919">
        <v>3.18</v>
      </c>
      <c r="S919">
        <v>85.43</v>
      </c>
      <c r="T919">
        <v>22</v>
      </c>
      <c r="U919" s="1" t="s">
        <v>25</v>
      </c>
      <c r="V919">
        <v>0</v>
      </c>
    </row>
    <row r="920" spans="1:22" x14ac:dyDescent="0.3">
      <c r="A920" s="2">
        <v>44918</v>
      </c>
      <c r="B920">
        <v>44900</v>
      </c>
      <c r="C920">
        <v>1087</v>
      </c>
      <c r="D920">
        <v>12</v>
      </c>
      <c r="E920" s="1" t="s">
        <v>22</v>
      </c>
      <c r="F920">
        <v>4</v>
      </c>
      <c r="G920" s="1" t="s">
        <v>23</v>
      </c>
      <c r="H920">
        <v>45100</v>
      </c>
      <c r="I920">
        <v>44690</v>
      </c>
      <c r="J920">
        <v>44900</v>
      </c>
      <c r="K920">
        <v>45250</v>
      </c>
      <c r="L920">
        <v>44500</v>
      </c>
      <c r="M920">
        <v>0</v>
      </c>
      <c r="N920">
        <v>126.0977</v>
      </c>
      <c r="O920">
        <v>0.65575105199999995</v>
      </c>
      <c r="P920">
        <v>15563</v>
      </c>
      <c r="Q920">
        <v>27.57</v>
      </c>
      <c r="R920">
        <v>2.6</v>
      </c>
      <c r="S920">
        <v>81.87</v>
      </c>
      <c r="T920">
        <v>23</v>
      </c>
      <c r="U920" s="1" t="s">
        <v>25</v>
      </c>
      <c r="V920">
        <v>0</v>
      </c>
    </row>
    <row r="921" spans="1:22" x14ac:dyDescent="0.3">
      <c r="A921" s="2">
        <v>44921</v>
      </c>
      <c r="B921">
        <v>43900</v>
      </c>
      <c r="C921">
        <v>1090</v>
      </c>
      <c r="D921">
        <v>12</v>
      </c>
      <c r="E921" s="1" t="s">
        <v>22</v>
      </c>
      <c r="F921">
        <v>0</v>
      </c>
      <c r="G921" s="1" t="s">
        <v>23</v>
      </c>
      <c r="K921">
        <v>45250</v>
      </c>
      <c r="L921">
        <v>44500</v>
      </c>
      <c r="N921">
        <v>126.0977</v>
      </c>
      <c r="O921">
        <v>0.65575105199999995</v>
      </c>
      <c r="P921">
        <v>15565.900390000001</v>
      </c>
      <c r="Q921">
        <v>26.77</v>
      </c>
      <c r="R921">
        <v>3.6</v>
      </c>
      <c r="S921">
        <v>82.73</v>
      </c>
      <c r="T921">
        <v>26</v>
      </c>
      <c r="U921" s="1" t="s">
        <v>30</v>
      </c>
      <c r="V921">
        <v>-2.23</v>
      </c>
    </row>
    <row r="922" spans="1:22" x14ac:dyDescent="0.3">
      <c r="A922" s="2">
        <v>44922</v>
      </c>
      <c r="B922">
        <v>43650</v>
      </c>
      <c r="C922">
        <v>1091</v>
      </c>
      <c r="D922">
        <v>12</v>
      </c>
      <c r="E922" s="1" t="s">
        <v>22</v>
      </c>
      <c r="F922">
        <v>1</v>
      </c>
      <c r="G922" s="1" t="s">
        <v>23</v>
      </c>
      <c r="J922">
        <v>43900</v>
      </c>
      <c r="K922">
        <v>45250</v>
      </c>
      <c r="L922">
        <v>44500</v>
      </c>
      <c r="M922">
        <v>-250</v>
      </c>
      <c r="N922">
        <v>126.0977</v>
      </c>
      <c r="O922">
        <v>0.65575105199999995</v>
      </c>
      <c r="P922">
        <v>15607</v>
      </c>
      <c r="Q922">
        <v>26.2</v>
      </c>
      <c r="R922">
        <v>5.67</v>
      </c>
      <c r="S922">
        <v>86.03</v>
      </c>
      <c r="T922">
        <v>27</v>
      </c>
      <c r="U922" s="1" t="s">
        <v>35</v>
      </c>
      <c r="V922">
        <v>-0.56999999999999995</v>
      </c>
    </row>
    <row r="923" spans="1:22" x14ac:dyDescent="0.3">
      <c r="A923" s="2">
        <v>44923</v>
      </c>
      <c r="B923">
        <v>43650</v>
      </c>
      <c r="C923">
        <v>1092</v>
      </c>
      <c r="D923">
        <v>12</v>
      </c>
      <c r="E923" s="1" t="s">
        <v>22</v>
      </c>
      <c r="F923">
        <v>2</v>
      </c>
      <c r="G923" s="1" t="s">
        <v>23</v>
      </c>
      <c r="J923">
        <v>43650</v>
      </c>
      <c r="K923">
        <v>44900</v>
      </c>
      <c r="L923">
        <v>43900</v>
      </c>
      <c r="M923">
        <v>0</v>
      </c>
      <c r="N923">
        <v>126.0977</v>
      </c>
      <c r="O923">
        <v>0.65575105199999995</v>
      </c>
      <c r="P923">
        <v>15617.5</v>
      </c>
      <c r="Q923">
        <v>26.17</v>
      </c>
      <c r="R923">
        <v>2.11</v>
      </c>
      <c r="S923">
        <v>86.07</v>
      </c>
      <c r="T923">
        <v>28</v>
      </c>
      <c r="U923" s="1" t="s">
        <v>25</v>
      </c>
      <c r="V923">
        <v>0</v>
      </c>
    </row>
    <row r="924" spans="1:22" x14ac:dyDescent="0.3">
      <c r="A924" s="2">
        <v>44924</v>
      </c>
      <c r="B924">
        <v>43650</v>
      </c>
      <c r="C924">
        <v>1093</v>
      </c>
      <c r="D924">
        <v>12</v>
      </c>
      <c r="E924" s="1" t="s">
        <v>22</v>
      </c>
      <c r="F924">
        <v>3</v>
      </c>
      <c r="G924" s="1" t="s">
        <v>23</v>
      </c>
      <c r="J924">
        <v>43650</v>
      </c>
      <c r="K924">
        <v>44900</v>
      </c>
      <c r="L924">
        <v>44500</v>
      </c>
      <c r="M924">
        <v>0</v>
      </c>
      <c r="N924">
        <v>126.0977</v>
      </c>
      <c r="O924">
        <v>0.65575105199999995</v>
      </c>
      <c r="P924">
        <v>15789</v>
      </c>
      <c r="Q924">
        <v>26.88</v>
      </c>
      <c r="R924">
        <v>3.29</v>
      </c>
      <c r="S924">
        <v>83.08</v>
      </c>
      <c r="T924">
        <v>29</v>
      </c>
      <c r="U924" s="1" t="s">
        <v>25</v>
      </c>
      <c r="V924">
        <v>0</v>
      </c>
    </row>
    <row r="925" spans="1:22" x14ac:dyDescent="0.3">
      <c r="A925" s="2">
        <v>44925</v>
      </c>
      <c r="B925">
        <v>42400</v>
      </c>
      <c r="C925">
        <v>1094</v>
      </c>
      <c r="D925">
        <v>12</v>
      </c>
      <c r="E925" s="1" t="s">
        <v>22</v>
      </c>
      <c r="F925">
        <v>4</v>
      </c>
      <c r="G925" s="1" t="s">
        <v>23</v>
      </c>
      <c r="J925">
        <v>43650</v>
      </c>
      <c r="K925">
        <v>44900</v>
      </c>
      <c r="L925">
        <v>43500</v>
      </c>
      <c r="M925">
        <v>-1250</v>
      </c>
      <c r="N925">
        <v>126.0977</v>
      </c>
      <c r="O925">
        <v>0.65575105199999995</v>
      </c>
      <c r="P925">
        <v>15620</v>
      </c>
      <c r="Q925">
        <v>26.86</v>
      </c>
      <c r="R925">
        <v>4.95</v>
      </c>
      <c r="S925">
        <v>81.150000000000006</v>
      </c>
      <c r="T925">
        <v>30</v>
      </c>
      <c r="U925" s="1" t="s">
        <v>40</v>
      </c>
      <c r="V925">
        <v>-2.86</v>
      </c>
    </row>
    <row r="926" spans="1:22" x14ac:dyDescent="0.3">
      <c r="A926" s="2">
        <v>44926</v>
      </c>
      <c r="B926">
        <v>42400</v>
      </c>
      <c r="C926">
        <v>1095</v>
      </c>
      <c r="D926">
        <v>12</v>
      </c>
      <c r="E926" s="1" t="s">
        <v>22</v>
      </c>
      <c r="F926">
        <v>5</v>
      </c>
      <c r="G926" s="1" t="s">
        <v>23</v>
      </c>
      <c r="J926">
        <v>42400</v>
      </c>
      <c r="L926">
        <v>43150</v>
      </c>
      <c r="M926">
        <v>0</v>
      </c>
      <c r="N926">
        <v>126.0977</v>
      </c>
      <c r="O926">
        <v>0.65575105199999995</v>
      </c>
      <c r="P926">
        <v>15620</v>
      </c>
      <c r="Q926">
        <v>26.82</v>
      </c>
      <c r="R926">
        <v>2.67</v>
      </c>
      <c r="S926">
        <v>78.599999999999994</v>
      </c>
      <c r="T926">
        <v>31</v>
      </c>
      <c r="U926" s="1" t="s">
        <v>40</v>
      </c>
      <c r="V926">
        <v>-2.86</v>
      </c>
    </row>
    <row r="927" spans="1:22" x14ac:dyDescent="0.3">
      <c r="A927" s="2">
        <v>44927</v>
      </c>
      <c r="B927">
        <v>42400</v>
      </c>
      <c r="C927">
        <v>1096</v>
      </c>
      <c r="D927">
        <v>1</v>
      </c>
      <c r="E927" s="1" t="s">
        <v>22</v>
      </c>
      <c r="F927">
        <v>6</v>
      </c>
      <c r="G927" s="1" t="s">
        <v>44</v>
      </c>
      <c r="H927">
        <v>43150</v>
      </c>
      <c r="J927">
        <v>42400</v>
      </c>
      <c r="L927">
        <v>43150</v>
      </c>
      <c r="M927">
        <v>0</v>
      </c>
      <c r="N927">
        <v>126.53060000000001</v>
      </c>
      <c r="O927">
        <v>0.34330523099999999</v>
      </c>
      <c r="P927">
        <v>15620</v>
      </c>
      <c r="Q927">
        <v>26.25</v>
      </c>
      <c r="R927">
        <v>1.44</v>
      </c>
      <c r="S927">
        <v>84.44</v>
      </c>
      <c r="T927">
        <v>1</v>
      </c>
      <c r="U927" s="1" t="s">
        <v>40</v>
      </c>
      <c r="V927">
        <v>-2.86</v>
      </c>
    </row>
    <row r="928" spans="1:22" x14ac:dyDescent="0.3">
      <c r="A928" s="2">
        <v>44928</v>
      </c>
      <c r="B928">
        <v>42650</v>
      </c>
      <c r="C928">
        <v>1097</v>
      </c>
      <c r="D928">
        <v>1</v>
      </c>
      <c r="E928" s="1" t="s">
        <v>22</v>
      </c>
      <c r="F928">
        <v>0</v>
      </c>
      <c r="G928" s="1" t="s">
        <v>23</v>
      </c>
      <c r="H928">
        <v>42971.428571428572</v>
      </c>
      <c r="J928">
        <v>42400</v>
      </c>
      <c r="K928">
        <v>43900</v>
      </c>
      <c r="L928">
        <v>43150</v>
      </c>
      <c r="M928">
        <v>250</v>
      </c>
      <c r="N928">
        <v>126.53060000000001</v>
      </c>
      <c r="O928">
        <v>0.34330523099999999</v>
      </c>
      <c r="P928">
        <v>15508.799800000001</v>
      </c>
      <c r="Q928">
        <v>26.5</v>
      </c>
      <c r="R928">
        <v>2.5</v>
      </c>
      <c r="S928">
        <v>82.3</v>
      </c>
      <c r="T928">
        <v>2</v>
      </c>
      <c r="U928" s="1" t="s">
        <v>34</v>
      </c>
      <c r="V928">
        <v>0.59</v>
      </c>
    </row>
    <row r="929" spans="1:22" x14ac:dyDescent="0.3">
      <c r="A929" s="2">
        <v>44929</v>
      </c>
      <c r="B929">
        <v>42650</v>
      </c>
      <c r="C929">
        <v>1098</v>
      </c>
      <c r="D929">
        <v>1</v>
      </c>
      <c r="E929" s="1" t="s">
        <v>22</v>
      </c>
      <c r="F929">
        <v>1</v>
      </c>
      <c r="G929" s="1" t="s">
        <v>23</v>
      </c>
      <c r="H929">
        <v>42828.571428571428</v>
      </c>
      <c r="J929">
        <v>42650</v>
      </c>
      <c r="K929">
        <v>43650</v>
      </c>
      <c r="L929">
        <v>43150</v>
      </c>
      <c r="M929">
        <v>0</v>
      </c>
      <c r="N929">
        <v>126.53060000000001</v>
      </c>
      <c r="O929">
        <v>0.34330523099999999</v>
      </c>
      <c r="P929">
        <v>15550</v>
      </c>
      <c r="Q929">
        <v>25.99</v>
      </c>
      <c r="R929">
        <v>3.06</v>
      </c>
      <c r="S929">
        <v>85.51</v>
      </c>
      <c r="T929">
        <v>3</v>
      </c>
      <c r="U929" s="1" t="s">
        <v>25</v>
      </c>
      <c r="V929">
        <v>0</v>
      </c>
    </row>
    <row r="930" spans="1:22" x14ac:dyDescent="0.3">
      <c r="A930" s="2">
        <v>44930</v>
      </c>
      <c r="B930">
        <v>42650</v>
      </c>
      <c r="C930">
        <v>1099</v>
      </c>
      <c r="D930">
        <v>1</v>
      </c>
      <c r="E930" s="1" t="s">
        <v>22</v>
      </c>
      <c r="F930">
        <v>2</v>
      </c>
      <c r="G930" s="1" t="s">
        <v>23</v>
      </c>
      <c r="H930">
        <v>42685.714285714283</v>
      </c>
      <c r="J930">
        <v>42650</v>
      </c>
      <c r="K930">
        <v>43650</v>
      </c>
      <c r="L930">
        <v>44400</v>
      </c>
      <c r="M930">
        <v>0</v>
      </c>
      <c r="N930">
        <v>126.53060000000001</v>
      </c>
      <c r="O930">
        <v>0.34330523099999999</v>
      </c>
      <c r="P930">
        <v>15571.799800000001</v>
      </c>
      <c r="Q930">
        <v>26.53</v>
      </c>
      <c r="R930">
        <v>2.4300000000000002</v>
      </c>
      <c r="S930">
        <v>84</v>
      </c>
      <c r="T930">
        <v>4</v>
      </c>
      <c r="U930" s="1" t="s">
        <v>25</v>
      </c>
      <c r="V930">
        <v>0</v>
      </c>
    </row>
    <row r="931" spans="1:22" x14ac:dyDescent="0.3">
      <c r="A931" s="2">
        <v>44931</v>
      </c>
      <c r="B931">
        <v>42650</v>
      </c>
      <c r="C931">
        <v>1100</v>
      </c>
      <c r="D931">
        <v>1</v>
      </c>
      <c r="E931" s="1" t="s">
        <v>22</v>
      </c>
      <c r="F931">
        <v>3</v>
      </c>
      <c r="G931" s="1" t="s">
        <v>23</v>
      </c>
      <c r="H931">
        <v>42542.857142857145</v>
      </c>
      <c r="J931">
        <v>42650</v>
      </c>
      <c r="K931">
        <v>43650</v>
      </c>
      <c r="L931">
        <v>43650</v>
      </c>
      <c r="M931">
        <v>0</v>
      </c>
      <c r="N931">
        <v>126.53060000000001</v>
      </c>
      <c r="O931">
        <v>0.34330523099999999</v>
      </c>
      <c r="P931">
        <v>15560</v>
      </c>
      <c r="Q931">
        <v>26.66</v>
      </c>
      <c r="R931">
        <v>2.52</v>
      </c>
      <c r="S931">
        <v>85.91</v>
      </c>
      <c r="T931">
        <v>5</v>
      </c>
      <c r="U931" s="1" t="s">
        <v>25</v>
      </c>
      <c r="V931">
        <v>0</v>
      </c>
    </row>
    <row r="932" spans="1:22" x14ac:dyDescent="0.3">
      <c r="A932" s="2">
        <v>44932</v>
      </c>
      <c r="B932">
        <v>43150</v>
      </c>
      <c r="C932">
        <v>1101</v>
      </c>
      <c r="D932">
        <v>1</v>
      </c>
      <c r="E932" s="1" t="s">
        <v>22</v>
      </c>
      <c r="F932">
        <v>4</v>
      </c>
      <c r="G932" s="1" t="s">
        <v>23</v>
      </c>
      <c r="H932">
        <v>42650</v>
      </c>
      <c r="J932">
        <v>42650</v>
      </c>
      <c r="K932">
        <v>42400</v>
      </c>
      <c r="L932">
        <v>45500</v>
      </c>
      <c r="M932">
        <v>500</v>
      </c>
      <c r="N932">
        <v>126.53060000000001</v>
      </c>
      <c r="O932">
        <v>0.34330523099999999</v>
      </c>
      <c r="P932">
        <v>15620</v>
      </c>
      <c r="Q932">
        <v>26.59</v>
      </c>
      <c r="R932">
        <v>12.39</v>
      </c>
      <c r="S932">
        <v>86.29</v>
      </c>
      <c r="T932">
        <v>6</v>
      </c>
      <c r="U932" s="1" t="s">
        <v>26</v>
      </c>
      <c r="V932">
        <v>1.17</v>
      </c>
    </row>
    <row r="933" spans="1:22" x14ac:dyDescent="0.3">
      <c r="A933" s="2">
        <v>44933</v>
      </c>
      <c r="B933">
        <v>43150</v>
      </c>
      <c r="C933">
        <v>1102</v>
      </c>
      <c r="D933">
        <v>1</v>
      </c>
      <c r="E933" s="1" t="s">
        <v>22</v>
      </c>
      <c r="F933">
        <v>5</v>
      </c>
      <c r="G933" s="1" t="s">
        <v>23</v>
      </c>
      <c r="H933">
        <v>42757.142857142855</v>
      </c>
      <c r="J933">
        <v>43150</v>
      </c>
      <c r="K933">
        <v>42400</v>
      </c>
      <c r="L933">
        <v>45900</v>
      </c>
      <c r="M933">
        <v>0</v>
      </c>
      <c r="N933">
        <v>126.53060000000001</v>
      </c>
      <c r="O933">
        <v>0.34330523099999999</v>
      </c>
      <c r="P933">
        <v>15620</v>
      </c>
      <c r="Q933">
        <v>26.02</v>
      </c>
      <c r="R933">
        <v>9.65</v>
      </c>
      <c r="S933">
        <v>86.68</v>
      </c>
      <c r="T933">
        <v>7</v>
      </c>
      <c r="U933" s="1" t="s">
        <v>26</v>
      </c>
      <c r="V933">
        <v>1.17</v>
      </c>
    </row>
    <row r="934" spans="1:22" x14ac:dyDescent="0.3">
      <c r="A934" s="2">
        <v>44934</v>
      </c>
      <c r="B934">
        <v>43150</v>
      </c>
      <c r="C934">
        <v>1103</v>
      </c>
      <c r="D934">
        <v>1</v>
      </c>
      <c r="E934" s="1" t="s">
        <v>22</v>
      </c>
      <c r="F934">
        <v>6</v>
      </c>
      <c r="G934" s="1" t="s">
        <v>23</v>
      </c>
      <c r="H934">
        <v>42864.285714285717</v>
      </c>
      <c r="J934">
        <v>43150</v>
      </c>
      <c r="K934">
        <v>42400</v>
      </c>
      <c r="L934">
        <v>45250</v>
      </c>
      <c r="M934">
        <v>0</v>
      </c>
      <c r="N934">
        <v>126.53060000000001</v>
      </c>
      <c r="O934">
        <v>0.34330523099999999</v>
      </c>
      <c r="P934">
        <v>15620</v>
      </c>
      <c r="Q934">
        <v>26.57</v>
      </c>
      <c r="R934">
        <v>3.09</v>
      </c>
      <c r="S934">
        <v>83.45</v>
      </c>
      <c r="T934">
        <v>8</v>
      </c>
      <c r="U934" s="1" t="s">
        <v>26</v>
      </c>
      <c r="V934">
        <v>1.17</v>
      </c>
    </row>
    <row r="935" spans="1:22" x14ac:dyDescent="0.3">
      <c r="A935" s="2">
        <v>44935</v>
      </c>
      <c r="B935">
        <v>42900</v>
      </c>
      <c r="C935">
        <v>1104</v>
      </c>
      <c r="D935">
        <v>1</v>
      </c>
      <c r="E935" s="1" t="s">
        <v>22</v>
      </c>
      <c r="F935">
        <v>0</v>
      </c>
      <c r="G935" s="1" t="s">
        <v>23</v>
      </c>
      <c r="H935">
        <v>42900</v>
      </c>
      <c r="J935">
        <v>43150</v>
      </c>
      <c r="K935">
        <v>42650</v>
      </c>
      <c r="L935">
        <v>45250</v>
      </c>
      <c r="M935">
        <v>-250</v>
      </c>
      <c r="N935">
        <v>126.53060000000001</v>
      </c>
      <c r="O935">
        <v>0.34330523099999999</v>
      </c>
      <c r="P935">
        <v>15602.299800000001</v>
      </c>
      <c r="Q935">
        <v>26.32</v>
      </c>
      <c r="R935">
        <v>10.36</v>
      </c>
      <c r="S935">
        <v>84.4</v>
      </c>
      <c r="T935">
        <v>9</v>
      </c>
      <c r="U935" s="1" t="s">
        <v>35</v>
      </c>
      <c r="V935">
        <v>-0.57999999999999996</v>
      </c>
    </row>
    <row r="936" spans="1:22" x14ac:dyDescent="0.3">
      <c r="A936" s="2">
        <v>44936</v>
      </c>
      <c r="B936">
        <v>42900</v>
      </c>
      <c r="C936">
        <v>1105</v>
      </c>
      <c r="D936">
        <v>1</v>
      </c>
      <c r="E936" s="1" t="s">
        <v>22</v>
      </c>
      <c r="F936">
        <v>1</v>
      </c>
      <c r="G936" s="1" t="s">
        <v>23</v>
      </c>
      <c r="H936">
        <v>42935.714285714283</v>
      </c>
      <c r="J936">
        <v>42900</v>
      </c>
      <c r="K936">
        <v>42650</v>
      </c>
      <c r="L936">
        <v>45250</v>
      </c>
      <c r="M936">
        <v>0</v>
      </c>
      <c r="N936">
        <v>126.53060000000001</v>
      </c>
      <c r="O936">
        <v>0.34330523099999999</v>
      </c>
      <c r="P936">
        <v>15580</v>
      </c>
      <c r="Q936">
        <v>26.38</v>
      </c>
      <c r="R936">
        <v>26.67</v>
      </c>
      <c r="S936">
        <v>85.25</v>
      </c>
      <c r="T936">
        <v>10</v>
      </c>
      <c r="U936" s="1" t="s">
        <v>25</v>
      </c>
      <c r="V936">
        <v>0</v>
      </c>
    </row>
    <row r="937" spans="1:22" x14ac:dyDescent="0.3">
      <c r="A937" s="2">
        <v>44937</v>
      </c>
      <c r="B937">
        <v>42900</v>
      </c>
      <c r="C937">
        <v>1106</v>
      </c>
      <c r="D937">
        <v>1</v>
      </c>
      <c r="E937" s="1" t="s">
        <v>22</v>
      </c>
      <c r="F937">
        <v>2</v>
      </c>
      <c r="G937" s="1" t="s">
        <v>23</v>
      </c>
      <c r="H937">
        <v>42971.428571428572</v>
      </c>
      <c r="J937">
        <v>42900</v>
      </c>
      <c r="K937">
        <v>42650</v>
      </c>
      <c r="L937">
        <v>45250</v>
      </c>
      <c r="M937">
        <v>0</v>
      </c>
      <c r="N937">
        <v>126.53060000000001</v>
      </c>
      <c r="O937">
        <v>0.34330523099999999</v>
      </c>
      <c r="P937">
        <v>15528.900390000001</v>
      </c>
      <c r="Q937">
        <v>26.77</v>
      </c>
      <c r="R937">
        <v>7.3</v>
      </c>
      <c r="S937">
        <v>81.31</v>
      </c>
      <c r="T937">
        <v>11</v>
      </c>
      <c r="U937" s="1" t="s">
        <v>25</v>
      </c>
      <c r="V937">
        <v>0</v>
      </c>
    </row>
    <row r="938" spans="1:22" x14ac:dyDescent="0.3">
      <c r="A938" s="2">
        <v>44938</v>
      </c>
      <c r="B938">
        <v>42900</v>
      </c>
      <c r="C938">
        <v>1107</v>
      </c>
      <c r="D938">
        <v>1</v>
      </c>
      <c r="E938" s="1" t="s">
        <v>22</v>
      </c>
      <c r="F938">
        <v>3</v>
      </c>
      <c r="G938" s="1" t="s">
        <v>23</v>
      </c>
      <c r="H938">
        <v>43007.142857142855</v>
      </c>
      <c r="J938">
        <v>42900</v>
      </c>
      <c r="K938">
        <v>42650</v>
      </c>
      <c r="L938">
        <v>45250</v>
      </c>
      <c r="M938">
        <v>0</v>
      </c>
      <c r="N938">
        <v>126.53060000000001</v>
      </c>
      <c r="O938">
        <v>0.34330523099999999</v>
      </c>
      <c r="P938">
        <v>15414</v>
      </c>
      <c r="Q938">
        <v>26.6</v>
      </c>
      <c r="R938">
        <v>6.99</v>
      </c>
      <c r="S938">
        <v>82.77</v>
      </c>
      <c r="T938">
        <v>12</v>
      </c>
      <c r="U938" s="1" t="s">
        <v>25</v>
      </c>
      <c r="V938">
        <v>0</v>
      </c>
    </row>
    <row r="939" spans="1:22" x14ac:dyDescent="0.3">
      <c r="A939" s="2">
        <v>44939</v>
      </c>
      <c r="B939">
        <v>43150</v>
      </c>
      <c r="C939">
        <v>1108</v>
      </c>
      <c r="D939">
        <v>1</v>
      </c>
      <c r="E939" s="1" t="s">
        <v>22</v>
      </c>
      <c r="F939">
        <v>4</v>
      </c>
      <c r="G939" s="1" t="s">
        <v>23</v>
      </c>
      <c r="H939">
        <v>43007.142857142855</v>
      </c>
      <c r="J939">
        <v>42900</v>
      </c>
      <c r="K939">
        <v>43150</v>
      </c>
      <c r="L939">
        <v>45900</v>
      </c>
      <c r="M939">
        <v>250</v>
      </c>
      <c r="N939">
        <v>126.53060000000001</v>
      </c>
      <c r="O939">
        <v>0.34330523099999999</v>
      </c>
      <c r="P939">
        <v>15172</v>
      </c>
      <c r="Q939">
        <v>26.95</v>
      </c>
      <c r="R939">
        <v>3.52</v>
      </c>
      <c r="S939">
        <v>81.84</v>
      </c>
      <c r="T939">
        <v>13</v>
      </c>
      <c r="U939" s="1" t="s">
        <v>34</v>
      </c>
      <c r="V939">
        <v>0.57999999999999996</v>
      </c>
    </row>
    <row r="940" spans="1:22" x14ac:dyDescent="0.3">
      <c r="A940" s="2">
        <v>44940</v>
      </c>
      <c r="B940">
        <v>43150</v>
      </c>
      <c r="C940">
        <v>1109</v>
      </c>
      <c r="D940">
        <v>1</v>
      </c>
      <c r="E940" s="1" t="s">
        <v>22</v>
      </c>
      <c r="F940">
        <v>5</v>
      </c>
      <c r="G940" s="1" t="s">
        <v>23</v>
      </c>
      <c r="H940">
        <v>43007.142857142855</v>
      </c>
      <c r="J940">
        <v>43150</v>
      </c>
      <c r="K940">
        <v>43150</v>
      </c>
      <c r="L940">
        <v>45650</v>
      </c>
      <c r="M940">
        <v>0</v>
      </c>
      <c r="N940">
        <v>126.53060000000001</v>
      </c>
      <c r="O940">
        <v>0.34330523099999999</v>
      </c>
      <c r="P940">
        <v>15172</v>
      </c>
      <c r="Q940">
        <v>26.91</v>
      </c>
      <c r="R940">
        <v>1.36</v>
      </c>
      <c r="S940">
        <v>83.26</v>
      </c>
      <c r="T940">
        <v>14</v>
      </c>
      <c r="U940" s="1" t="s">
        <v>34</v>
      </c>
      <c r="V940">
        <v>0.57999999999999996</v>
      </c>
    </row>
    <row r="941" spans="1:22" x14ac:dyDescent="0.3">
      <c r="A941" s="2">
        <v>44941</v>
      </c>
      <c r="B941">
        <v>43150</v>
      </c>
      <c r="C941">
        <v>1110</v>
      </c>
      <c r="D941">
        <v>1</v>
      </c>
      <c r="E941" s="1" t="s">
        <v>22</v>
      </c>
      <c r="F941">
        <v>6</v>
      </c>
      <c r="G941" s="1" t="s">
        <v>23</v>
      </c>
      <c r="H941">
        <v>43007.142857142855</v>
      </c>
      <c r="J941">
        <v>43150</v>
      </c>
      <c r="K941">
        <v>43150</v>
      </c>
      <c r="L941">
        <v>45250</v>
      </c>
      <c r="M941">
        <v>0</v>
      </c>
      <c r="N941">
        <v>126.53060000000001</v>
      </c>
      <c r="O941">
        <v>0.34330523099999999</v>
      </c>
      <c r="P941">
        <v>15172</v>
      </c>
      <c r="Q941">
        <v>26.98</v>
      </c>
      <c r="R941">
        <v>2.5299999999999998</v>
      </c>
      <c r="S941">
        <v>83.1</v>
      </c>
      <c r="T941">
        <v>15</v>
      </c>
      <c r="U941" s="1" t="s">
        <v>34</v>
      </c>
      <c r="V941">
        <v>0.57999999999999996</v>
      </c>
    </row>
    <row r="942" spans="1:22" x14ac:dyDescent="0.3">
      <c r="A942" s="2">
        <v>44942</v>
      </c>
      <c r="B942">
        <v>43150</v>
      </c>
      <c r="C942">
        <v>1111</v>
      </c>
      <c r="D942">
        <v>1</v>
      </c>
      <c r="E942" s="1" t="s">
        <v>22</v>
      </c>
      <c r="F942">
        <v>0</v>
      </c>
      <c r="G942" s="1" t="s">
        <v>23</v>
      </c>
      <c r="H942">
        <v>43042.857142857145</v>
      </c>
      <c r="J942">
        <v>43150</v>
      </c>
      <c r="K942">
        <v>42900</v>
      </c>
      <c r="L942">
        <v>45250</v>
      </c>
      <c r="M942">
        <v>0</v>
      </c>
      <c r="N942">
        <v>126.53060000000001</v>
      </c>
      <c r="O942">
        <v>0.34330523099999999</v>
      </c>
      <c r="P942">
        <v>15114.799800000001</v>
      </c>
      <c r="Q942">
        <v>26.79</v>
      </c>
      <c r="R942">
        <v>4.67</v>
      </c>
      <c r="S942">
        <v>82.78</v>
      </c>
      <c r="T942">
        <v>16</v>
      </c>
      <c r="U942" s="1" t="s">
        <v>25</v>
      </c>
      <c r="V942">
        <v>0</v>
      </c>
    </row>
    <row r="943" spans="1:22" x14ac:dyDescent="0.3">
      <c r="A943" s="2">
        <v>44943</v>
      </c>
      <c r="B943">
        <v>43150</v>
      </c>
      <c r="C943">
        <v>1112</v>
      </c>
      <c r="D943">
        <v>1</v>
      </c>
      <c r="E943" s="1" t="s">
        <v>22</v>
      </c>
      <c r="F943">
        <v>1</v>
      </c>
      <c r="G943" s="1" t="s">
        <v>23</v>
      </c>
      <c r="H943">
        <v>43078.571428571428</v>
      </c>
      <c r="J943">
        <v>43150</v>
      </c>
      <c r="K943">
        <v>42900</v>
      </c>
      <c r="L943">
        <v>45250</v>
      </c>
      <c r="M943">
        <v>0</v>
      </c>
      <c r="N943">
        <v>126.53060000000001</v>
      </c>
      <c r="O943">
        <v>0.34330523099999999</v>
      </c>
      <c r="P943">
        <v>15082</v>
      </c>
      <c r="Q943">
        <v>27.05</v>
      </c>
      <c r="R943">
        <v>2.31</v>
      </c>
      <c r="S943">
        <v>78.59</v>
      </c>
      <c r="T943">
        <v>17</v>
      </c>
      <c r="U943" s="1" t="s">
        <v>25</v>
      </c>
      <c r="V943">
        <v>0</v>
      </c>
    </row>
    <row r="944" spans="1:22" x14ac:dyDescent="0.3">
      <c r="A944" s="2">
        <v>44944</v>
      </c>
      <c r="B944">
        <v>43150</v>
      </c>
      <c r="C944">
        <v>1113</v>
      </c>
      <c r="D944">
        <v>1</v>
      </c>
      <c r="E944" s="1" t="s">
        <v>22</v>
      </c>
      <c r="F944">
        <v>2</v>
      </c>
      <c r="G944" s="1" t="s">
        <v>23</v>
      </c>
      <c r="H944">
        <v>43114.285714285717</v>
      </c>
      <c r="J944">
        <v>43150</v>
      </c>
      <c r="K944">
        <v>42900</v>
      </c>
      <c r="L944">
        <v>45250</v>
      </c>
      <c r="M944">
        <v>0</v>
      </c>
      <c r="N944">
        <v>126.53060000000001</v>
      </c>
      <c r="O944">
        <v>0.34330523099999999</v>
      </c>
      <c r="P944">
        <v>15162</v>
      </c>
      <c r="Q944">
        <v>26.06</v>
      </c>
      <c r="R944">
        <v>7.36</v>
      </c>
      <c r="S944">
        <v>83.26</v>
      </c>
      <c r="T944">
        <v>18</v>
      </c>
      <c r="U944" s="1" t="s">
        <v>25</v>
      </c>
      <c r="V944">
        <v>0</v>
      </c>
    </row>
    <row r="945" spans="1:22" x14ac:dyDescent="0.3">
      <c r="A945" s="2">
        <v>44945</v>
      </c>
      <c r="B945">
        <v>43150</v>
      </c>
      <c r="C945">
        <v>1114</v>
      </c>
      <c r="D945">
        <v>1</v>
      </c>
      <c r="E945" s="1" t="s">
        <v>22</v>
      </c>
      <c r="F945">
        <v>3</v>
      </c>
      <c r="G945" s="1" t="s">
        <v>23</v>
      </c>
      <c r="H945">
        <v>43150</v>
      </c>
      <c r="J945">
        <v>43150</v>
      </c>
      <c r="K945">
        <v>42900</v>
      </c>
      <c r="L945">
        <v>45250</v>
      </c>
      <c r="M945">
        <v>0</v>
      </c>
      <c r="N945">
        <v>126.53060000000001</v>
      </c>
      <c r="O945">
        <v>0.34330523099999999</v>
      </c>
      <c r="P945">
        <v>15096</v>
      </c>
      <c r="Q945">
        <v>26.1</v>
      </c>
      <c r="R945">
        <v>1.64</v>
      </c>
      <c r="S945">
        <v>82.39</v>
      </c>
      <c r="T945">
        <v>19</v>
      </c>
      <c r="U945" s="1" t="s">
        <v>25</v>
      </c>
      <c r="V945">
        <v>0</v>
      </c>
    </row>
    <row r="946" spans="1:22" x14ac:dyDescent="0.3">
      <c r="A946" s="2">
        <v>44946</v>
      </c>
      <c r="B946">
        <v>43150</v>
      </c>
      <c r="C946">
        <v>1115</v>
      </c>
      <c r="D946">
        <v>1</v>
      </c>
      <c r="E946" s="1" t="s">
        <v>22</v>
      </c>
      <c r="F946">
        <v>4</v>
      </c>
      <c r="G946" s="1" t="s">
        <v>23</v>
      </c>
      <c r="H946">
        <v>43150</v>
      </c>
      <c r="J946">
        <v>43150</v>
      </c>
      <c r="K946">
        <v>43150</v>
      </c>
      <c r="L946">
        <v>44900</v>
      </c>
      <c r="M946">
        <v>0</v>
      </c>
      <c r="N946">
        <v>126.53060000000001</v>
      </c>
      <c r="O946">
        <v>0.34330523099999999</v>
      </c>
      <c r="P946">
        <v>15141</v>
      </c>
      <c r="Q946">
        <v>26.42</v>
      </c>
      <c r="R946">
        <v>10.23</v>
      </c>
      <c r="S946">
        <v>84.83</v>
      </c>
      <c r="T946">
        <v>20</v>
      </c>
      <c r="U946" s="1" t="s">
        <v>25</v>
      </c>
      <c r="V946">
        <v>0</v>
      </c>
    </row>
    <row r="947" spans="1:22" x14ac:dyDescent="0.3">
      <c r="A947" s="2">
        <v>44947</v>
      </c>
      <c r="B947">
        <v>43150</v>
      </c>
      <c r="C947">
        <v>1116</v>
      </c>
      <c r="D947">
        <v>1</v>
      </c>
      <c r="E947" s="1" t="s">
        <v>22</v>
      </c>
      <c r="F947">
        <v>5</v>
      </c>
      <c r="G947" s="1" t="s">
        <v>23</v>
      </c>
      <c r="H947">
        <v>43150</v>
      </c>
      <c r="J947">
        <v>43150</v>
      </c>
      <c r="K947">
        <v>43150</v>
      </c>
      <c r="L947">
        <v>44900</v>
      </c>
      <c r="M947">
        <v>0</v>
      </c>
      <c r="N947">
        <v>126.53060000000001</v>
      </c>
      <c r="O947">
        <v>0.34330523099999999</v>
      </c>
      <c r="P947">
        <v>15141</v>
      </c>
      <c r="Q947">
        <v>25.35</v>
      </c>
      <c r="R947">
        <v>17.32</v>
      </c>
      <c r="S947">
        <v>82.86</v>
      </c>
      <c r="T947">
        <v>21</v>
      </c>
      <c r="U947" s="1" t="s">
        <v>25</v>
      </c>
      <c r="V947">
        <v>0</v>
      </c>
    </row>
    <row r="948" spans="1:22" x14ac:dyDescent="0.3">
      <c r="A948" s="2">
        <v>44948</v>
      </c>
      <c r="B948">
        <v>43150</v>
      </c>
      <c r="C948">
        <v>1117</v>
      </c>
      <c r="D948">
        <v>1</v>
      </c>
      <c r="E948" s="1" t="s">
        <v>22</v>
      </c>
      <c r="F948">
        <v>6</v>
      </c>
      <c r="G948" s="1" t="s">
        <v>44</v>
      </c>
      <c r="H948">
        <v>43150</v>
      </c>
      <c r="J948">
        <v>43150</v>
      </c>
      <c r="K948">
        <v>43150</v>
      </c>
      <c r="L948">
        <v>44900</v>
      </c>
      <c r="M948">
        <v>0</v>
      </c>
      <c r="N948">
        <v>126.53060000000001</v>
      </c>
      <c r="O948">
        <v>0.34330523099999999</v>
      </c>
      <c r="P948">
        <v>15141</v>
      </c>
      <c r="Q948">
        <v>25.73</v>
      </c>
      <c r="R948">
        <v>12.97</v>
      </c>
      <c r="S948">
        <v>85.2</v>
      </c>
      <c r="T948">
        <v>22</v>
      </c>
      <c r="U948" s="1" t="s">
        <v>25</v>
      </c>
      <c r="V948">
        <v>0</v>
      </c>
    </row>
    <row r="949" spans="1:22" x14ac:dyDescent="0.3">
      <c r="A949" s="2">
        <v>44949</v>
      </c>
      <c r="B949">
        <v>43150</v>
      </c>
      <c r="C949">
        <v>1118</v>
      </c>
      <c r="D949">
        <v>1</v>
      </c>
      <c r="E949" s="1" t="s">
        <v>22</v>
      </c>
      <c r="F949">
        <v>0</v>
      </c>
      <c r="G949" s="1" t="s">
        <v>23</v>
      </c>
      <c r="H949">
        <v>43150</v>
      </c>
      <c r="J949">
        <v>43150</v>
      </c>
      <c r="K949">
        <v>43150</v>
      </c>
      <c r="M949">
        <v>0</v>
      </c>
      <c r="N949">
        <v>126.53060000000001</v>
      </c>
      <c r="O949">
        <v>0.34330523099999999</v>
      </c>
      <c r="P949">
        <v>15055.900390000001</v>
      </c>
      <c r="Q949">
        <v>25.8</v>
      </c>
      <c r="R949">
        <v>32.950000000000003</v>
      </c>
      <c r="S949">
        <v>87.07</v>
      </c>
      <c r="T949">
        <v>23</v>
      </c>
      <c r="U949" s="1" t="s">
        <v>25</v>
      </c>
      <c r="V949">
        <v>0</v>
      </c>
    </row>
    <row r="950" spans="1:22" x14ac:dyDescent="0.3">
      <c r="A950" s="2">
        <v>44950</v>
      </c>
      <c r="B950">
        <v>42150</v>
      </c>
      <c r="C950">
        <v>1119</v>
      </c>
      <c r="D950">
        <v>1</v>
      </c>
      <c r="E950" s="1" t="s">
        <v>22</v>
      </c>
      <c r="F950">
        <v>1</v>
      </c>
      <c r="G950" s="1" t="s">
        <v>23</v>
      </c>
      <c r="H950">
        <v>43007.142857142855</v>
      </c>
      <c r="I950">
        <v>43016.666666666664</v>
      </c>
      <c r="J950">
        <v>43150</v>
      </c>
      <c r="K950">
        <v>43150</v>
      </c>
      <c r="M950">
        <v>-1000</v>
      </c>
      <c r="N950">
        <v>126.53060000000001</v>
      </c>
      <c r="O950">
        <v>0.34330523099999999</v>
      </c>
      <c r="P950">
        <v>15007</v>
      </c>
      <c r="Q950">
        <v>26.05</v>
      </c>
      <c r="R950">
        <v>6.34</v>
      </c>
      <c r="S950">
        <v>86.04</v>
      </c>
      <c r="T950">
        <v>24</v>
      </c>
      <c r="U950" s="1" t="s">
        <v>30</v>
      </c>
      <c r="V950">
        <v>-2.3199999999999998</v>
      </c>
    </row>
    <row r="951" spans="1:22" x14ac:dyDescent="0.3">
      <c r="A951" s="2">
        <v>44951</v>
      </c>
      <c r="B951">
        <v>41900</v>
      </c>
      <c r="C951">
        <v>1120</v>
      </c>
      <c r="D951">
        <v>1</v>
      </c>
      <c r="E951" s="1" t="s">
        <v>22</v>
      </c>
      <c r="F951">
        <v>2</v>
      </c>
      <c r="G951" s="1" t="s">
        <v>23</v>
      </c>
      <c r="H951">
        <v>42828.571428571428</v>
      </c>
      <c r="I951">
        <v>42950</v>
      </c>
      <c r="J951">
        <v>42150</v>
      </c>
      <c r="K951">
        <v>43150</v>
      </c>
      <c r="L951">
        <v>43900</v>
      </c>
      <c r="M951">
        <v>-250</v>
      </c>
      <c r="N951">
        <v>126.53060000000001</v>
      </c>
      <c r="O951">
        <v>0.34330523099999999</v>
      </c>
      <c r="P951">
        <v>14955.5</v>
      </c>
      <c r="Q951">
        <v>26.12</v>
      </c>
      <c r="R951">
        <v>13.53</v>
      </c>
      <c r="S951">
        <v>87.5</v>
      </c>
      <c r="T951">
        <v>25</v>
      </c>
      <c r="U951" s="1" t="s">
        <v>35</v>
      </c>
      <c r="V951">
        <v>-0.59</v>
      </c>
    </row>
    <row r="952" spans="1:22" x14ac:dyDescent="0.3">
      <c r="A952" s="2">
        <v>44952</v>
      </c>
      <c r="B952">
        <v>41250</v>
      </c>
      <c r="C952">
        <v>1121</v>
      </c>
      <c r="D952">
        <v>1</v>
      </c>
      <c r="E952" s="1" t="s">
        <v>22</v>
      </c>
      <c r="F952">
        <v>3</v>
      </c>
      <c r="G952" s="1" t="s">
        <v>23</v>
      </c>
      <c r="H952">
        <v>42557.142857142855</v>
      </c>
      <c r="I952">
        <v>42870</v>
      </c>
      <c r="J952">
        <v>41900</v>
      </c>
      <c r="K952">
        <v>43150</v>
      </c>
      <c r="L952">
        <v>43650</v>
      </c>
      <c r="M952">
        <v>-650</v>
      </c>
      <c r="N952">
        <v>126.53060000000001</v>
      </c>
      <c r="O952">
        <v>0.34330523099999999</v>
      </c>
      <c r="P952">
        <v>14938.700199999999</v>
      </c>
      <c r="Q952">
        <v>26.64</v>
      </c>
      <c r="R952">
        <v>33.78</v>
      </c>
      <c r="S952">
        <v>84.93</v>
      </c>
      <c r="T952">
        <v>26</v>
      </c>
      <c r="U952" s="1" t="s">
        <v>72</v>
      </c>
      <c r="V952">
        <v>-1.55</v>
      </c>
    </row>
    <row r="953" spans="1:22" x14ac:dyDescent="0.3">
      <c r="A953" s="2">
        <v>44953</v>
      </c>
      <c r="B953">
        <v>41250</v>
      </c>
      <c r="C953">
        <v>1122</v>
      </c>
      <c r="D953">
        <v>1</v>
      </c>
      <c r="E953" s="1" t="s">
        <v>22</v>
      </c>
      <c r="F953">
        <v>4</v>
      </c>
      <c r="G953" s="1" t="s">
        <v>23</v>
      </c>
      <c r="H953">
        <v>42285.714285714283</v>
      </c>
      <c r="I953">
        <v>42790</v>
      </c>
      <c r="J953">
        <v>41250</v>
      </c>
      <c r="K953">
        <v>43150</v>
      </c>
      <c r="L953">
        <v>43650</v>
      </c>
      <c r="M953">
        <v>0</v>
      </c>
      <c r="N953">
        <v>126.53060000000001</v>
      </c>
      <c r="O953">
        <v>0.34330523099999999</v>
      </c>
      <c r="P953">
        <v>14942.5</v>
      </c>
      <c r="Q953">
        <v>25.95</v>
      </c>
      <c r="R953">
        <v>35.04</v>
      </c>
      <c r="S953">
        <v>88.59</v>
      </c>
      <c r="T953">
        <v>27</v>
      </c>
      <c r="U953" s="1" t="s">
        <v>25</v>
      </c>
      <c r="V953">
        <v>0</v>
      </c>
    </row>
    <row r="954" spans="1:22" x14ac:dyDescent="0.3">
      <c r="A954" s="2">
        <v>44954</v>
      </c>
      <c r="B954">
        <v>41250</v>
      </c>
      <c r="C954">
        <v>1123</v>
      </c>
      <c r="D954">
        <v>1</v>
      </c>
      <c r="E954" s="1" t="s">
        <v>22</v>
      </c>
      <c r="F954">
        <v>5</v>
      </c>
      <c r="G954" s="1" t="s">
        <v>23</v>
      </c>
      <c r="H954">
        <v>42014.285714285717</v>
      </c>
      <c r="I954">
        <v>42710</v>
      </c>
      <c r="J954">
        <v>41250</v>
      </c>
      <c r="K954">
        <v>43150</v>
      </c>
      <c r="L954">
        <v>43650</v>
      </c>
      <c r="M954">
        <v>0</v>
      </c>
      <c r="N954">
        <v>126.53060000000001</v>
      </c>
      <c r="O954">
        <v>0.34330523099999999</v>
      </c>
      <c r="P954">
        <v>14942.5</v>
      </c>
      <c r="Q954">
        <v>26.29</v>
      </c>
      <c r="R954">
        <v>10.029999999999999</v>
      </c>
      <c r="S954">
        <v>83.61</v>
      </c>
      <c r="T954">
        <v>28</v>
      </c>
      <c r="U954" s="1" t="s">
        <v>25</v>
      </c>
      <c r="V954">
        <v>0</v>
      </c>
    </row>
    <row r="955" spans="1:22" x14ac:dyDescent="0.3">
      <c r="A955" s="2">
        <v>44955</v>
      </c>
      <c r="B955">
        <v>41250</v>
      </c>
      <c r="C955">
        <v>1124</v>
      </c>
      <c r="D955">
        <v>1</v>
      </c>
      <c r="E955" s="1" t="s">
        <v>22</v>
      </c>
      <c r="F955">
        <v>6</v>
      </c>
      <c r="G955" s="1" t="s">
        <v>23</v>
      </c>
      <c r="H955">
        <v>41742.857142857145</v>
      </c>
      <c r="I955">
        <v>42671.666666666664</v>
      </c>
      <c r="J955">
        <v>41250</v>
      </c>
      <c r="K955">
        <v>43150</v>
      </c>
      <c r="L955">
        <v>42400</v>
      </c>
      <c r="M955">
        <v>0</v>
      </c>
      <c r="N955">
        <v>126.53060000000001</v>
      </c>
      <c r="O955">
        <v>0.34330523099999999</v>
      </c>
      <c r="P955">
        <v>14942.5</v>
      </c>
      <c r="Q955">
        <v>26.53</v>
      </c>
      <c r="R955">
        <v>2.0499999999999998</v>
      </c>
      <c r="S955">
        <v>81.489999999999995</v>
      </c>
      <c r="T955">
        <v>29</v>
      </c>
      <c r="U955" s="1" t="s">
        <v>25</v>
      </c>
      <c r="V955">
        <v>0</v>
      </c>
    </row>
    <row r="956" spans="1:22" x14ac:dyDescent="0.3">
      <c r="A956" s="2">
        <v>44956</v>
      </c>
      <c r="B956">
        <v>41250</v>
      </c>
      <c r="C956">
        <v>1125</v>
      </c>
      <c r="D956">
        <v>1</v>
      </c>
      <c r="E956" s="1" t="s">
        <v>22</v>
      </c>
      <c r="F956">
        <v>0</v>
      </c>
      <c r="G956" s="1" t="s">
        <v>23</v>
      </c>
      <c r="H956">
        <v>41471.428571428572</v>
      </c>
      <c r="I956">
        <v>42633.333333333336</v>
      </c>
      <c r="J956">
        <v>41250</v>
      </c>
      <c r="K956">
        <v>43150</v>
      </c>
      <c r="L956">
        <v>42400</v>
      </c>
      <c r="M956">
        <v>0</v>
      </c>
      <c r="N956">
        <v>126.53060000000001</v>
      </c>
      <c r="O956">
        <v>0.34330523099999999</v>
      </c>
      <c r="P956">
        <v>14970.400390000001</v>
      </c>
      <c r="Q956">
        <v>26.28</v>
      </c>
      <c r="R956">
        <v>4.47</v>
      </c>
      <c r="S956">
        <v>84.28</v>
      </c>
      <c r="T956">
        <v>30</v>
      </c>
      <c r="U956" s="1" t="s">
        <v>25</v>
      </c>
      <c r="V956">
        <v>0</v>
      </c>
    </row>
    <row r="957" spans="1:22" x14ac:dyDescent="0.3">
      <c r="A957" s="2">
        <v>44957</v>
      </c>
      <c r="B957">
        <v>40500</v>
      </c>
      <c r="C957">
        <v>1126</v>
      </c>
      <c r="D957">
        <v>1</v>
      </c>
      <c r="E957" s="1" t="s">
        <v>22</v>
      </c>
      <c r="F957">
        <v>1</v>
      </c>
      <c r="G957" s="1" t="s">
        <v>23</v>
      </c>
      <c r="H957">
        <v>41235.714285714283</v>
      </c>
      <c r="I957">
        <v>42570</v>
      </c>
      <c r="J957">
        <v>41250</v>
      </c>
      <c r="K957">
        <v>42150</v>
      </c>
      <c r="L957">
        <v>42400</v>
      </c>
      <c r="M957">
        <v>-750</v>
      </c>
      <c r="N957">
        <v>126.53060000000001</v>
      </c>
      <c r="O957">
        <v>0.34330523099999999</v>
      </c>
      <c r="P957">
        <v>14995</v>
      </c>
      <c r="Q957">
        <v>26.03</v>
      </c>
      <c r="R957">
        <v>9.34</v>
      </c>
      <c r="S957">
        <v>87.2</v>
      </c>
      <c r="T957">
        <v>31</v>
      </c>
      <c r="U957" s="1" t="s">
        <v>42</v>
      </c>
      <c r="V957">
        <v>-1.82</v>
      </c>
    </row>
    <row r="958" spans="1:22" x14ac:dyDescent="0.3">
      <c r="A958" s="2">
        <v>44958</v>
      </c>
      <c r="B958">
        <v>41000</v>
      </c>
      <c r="C958">
        <v>1127</v>
      </c>
      <c r="D958">
        <v>2</v>
      </c>
      <c r="E958" s="1" t="s">
        <v>22</v>
      </c>
      <c r="F958">
        <v>2</v>
      </c>
      <c r="G958" s="1" t="s">
        <v>23</v>
      </c>
      <c r="H958">
        <v>41107.142857142855</v>
      </c>
      <c r="I958">
        <v>42515</v>
      </c>
      <c r="J958">
        <v>40500</v>
      </c>
      <c r="K958">
        <v>41900</v>
      </c>
      <c r="L958">
        <v>42650</v>
      </c>
      <c r="M958">
        <v>500</v>
      </c>
      <c r="N958">
        <v>126.7304</v>
      </c>
      <c r="O958">
        <v>0.15790646699999999</v>
      </c>
      <c r="P958">
        <v>14990.700199999999</v>
      </c>
      <c r="Q958">
        <v>26.38</v>
      </c>
      <c r="R958">
        <v>11.71</v>
      </c>
      <c r="S958">
        <v>86.69</v>
      </c>
      <c r="T958">
        <v>1</v>
      </c>
      <c r="U958" s="1" t="s">
        <v>26</v>
      </c>
      <c r="V958">
        <v>1.23</v>
      </c>
    </row>
    <row r="959" spans="1:22" x14ac:dyDescent="0.3">
      <c r="A959" s="2">
        <v>44959</v>
      </c>
      <c r="B959">
        <v>41000</v>
      </c>
      <c r="C959">
        <v>1128</v>
      </c>
      <c r="D959">
        <v>2</v>
      </c>
      <c r="E959" s="1" t="s">
        <v>22</v>
      </c>
      <c r="F959">
        <v>3</v>
      </c>
      <c r="G959" s="1" t="s">
        <v>23</v>
      </c>
      <c r="H959">
        <v>41071.428571428572</v>
      </c>
      <c r="I959">
        <v>42460</v>
      </c>
      <c r="J959">
        <v>41000</v>
      </c>
      <c r="K959">
        <v>41250</v>
      </c>
      <c r="L959">
        <v>42650</v>
      </c>
      <c r="M959">
        <v>0</v>
      </c>
      <c r="N959">
        <v>126.7304</v>
      </c>
      <c r="O959">
        <v>0.15790646699999999</v>
      </c>
      <c r="P959">
        <v>14855</v>
      </c>
      <c r="Q959">
        <v>25.5</v>
      </c>
      <c r="R959">
        <v>9.08</v>
      </c>
      <c r="S959">
        <v>86.42</v>
      </c>
      <c r="T959">
        <v>2</v>
      </c>
      <c r="U959" s="1" t="s">
        <v>25</v>
      </c>
      <c r="V959">
        <v>0</v>
      </c>
    </row>
    <row r="960" spans="1:22" x14ac:dyDescent="0.3">
      <c r="A960" s="2">
        <v>44960</v>
      </c>
      <c r="B960">
        <v>42000</v>
      </c>
      <c r="C960">
        <v>1129</v>
      </c>
      <c r="D960">
        <v>2</v>
      </c>
      <c r="E960" s="1" t="s">
        <v>22</v>
      </c>
      <c r="F960">
        <v>4</v>
      </c>
      <c r="G960" s="1" t="s">
        <v>23</v>
      </c>
      <c r="H960">
        <v>41178.571428571428</v>
      </c>
      <c r="I960">
        <v>42438.333333333336</v>
      </c>
      <c r="J960">
        <v>41000</v>
      </c>
      <c r="K960">
        <v>41250</v>
      </c>
      <c r="L960">
        <v>42650</v>
      </c>
      <c r="M960">
        <v>1000</v>
      </c>
      <c r="N960">
        <v>126.7304</v>
      </c>
      <c r="O960">
        <v>0.15790646699999999</v>
      </c>
      <c r="P960">
        <v>14881</v>
      </c>
      <c r="Q960">
        <v>26.42</v>
      </c>
      <c r="R960">
        <v>9.1300000000000008</v>
      </c>
      <c r="S960">
        <v>85.62</v>
      </c>
      <c r="T960">
        <v>3</v>
      </c>
      <c r="U960" s="1" t="s">
        <v>29</v>
      </c>
      <c r="V960">
        <v>2.44</v>
      </c>
    </row>
    <row r="961" spans="1:22" x14ac:dyDescent="0.3">
      <c r="A961" s="2">
        <v>44961</v>
      </c>
      <c r="B961">
        <v>42000</v>
      </c>
      <c r="C961">
        <v>1130</v>
      </c>
      <c r="D961">
        <v>2</v>
      </c>
      <c r="E961" s="1" t="s">
        <v>22</v>
      </c>
      <c r="F961">
        <v>5</v>
      </c>
      <c r="G961" s="1" t="s">
        <v>23</v>
      </c>
      <c r="H961">
        <v>41285.714285714283</v>
      </c>
      <c r="I961">
        <v>42416.666666666664</v>
      </c>
      <c r="J961">
        <v>42000</v>
      </c>
      <c r="K961">
        <v>41250</v>
      </c>
      <c r="L961">
        <v>42650</v>
      </c>
      <c r="M961">
        <v>0</v>
      </c>
      <c r="N961">
        <v>126.7304</v>
      </c>
      <c r="O961">
        <v>0.15790646699999999</v>
      </c>
      <c r="P961">
        <v>14881</v>
      </c>
      <c r="Q961">
        <v>25.68</v>
      </c>
      <c r="R961">
        <v>14.93</v>
      </c>
      <c r="S961">
        <v>86.38</v>
      </c>
      <c r="T961">
        <v>4</v>
      </c>
      <c r="U961" s="1" t="s">
        <v>29</v>
      </c>
      <c r="V961">
        <v>2.44</v>
      </c>
    </row>
    <row r="962" spans="1:22" x14ac:dyDescent="0.3">
      <c r="A962" s="2">
        <v>44962</v>
      </c>
      <c r="B962">
        <v>42000</v>
      </c>
      <c r="C962">
        <v>1131</v>
      </c>
      <c r="D962">
        <v>2</v>
      </c>
      <c r="E962" s="1" t="s">
        <v>22</v>
      </c>
      <c r="F962">
        <v>6</v>
      </c>
      <c r="G962" s="1" t="s">
        <v>23</v>
      </c>
      <c r="H962">
        <v>41392.857142857145</v>
      </c>
      <c r="I962">
        <v>42378.333333333336</v>
      </c>
      <c r="J962">
        <v>42000</v>
      </c>
      <c r="K962">
        <v>41250</v>
      </c>
      <c r="L962">
        <v>43150</v>
      </c>
      <c r="M962">
        <v>0</v>
      </c>
      <c r="N962">
        <v>126.7304</v>
      </c>
      <c r="O962">
        <v>0.15790646699999999</v>
      </c>
      <c r="P962">
        <v>14881</v>
      </c>
      <c r="Q962">
        <v>25.71</v>
      </c>
      <c r="R962">
        <v>5.73</v>
      </c>
      <c r="S962">
        <v>83.4</v>
      </c>
      <c r="T962">
        <v>5</v>
      </c>
      <c r="U962" s="1" t="s">
        <v>29</v>
      </c>
      <c r="V962">
        <v>2.44</v>
      </c>
    </row>
    <row r="963" spans="1:22" x14ac:dyDescent="0.3">
      <c r="A963" s="2">
        <v>44963</v>
      </c>
      <c r="B963">
        <v>43250</v>
      </c>
      <c r="C963">
        <v>1132</v>
      </c>
      <c r="D963">
        <v>2</v>
      </c>
      <c r="E963" s="1" t="s">
        <v>22</v>
      </c>
      <c r="F963">
        <v>0</v>
      </c>
      <c r="G963" s="1" t="s">
        <v>23</v>
      </c>
      <c r="H963">
        <v>41678.571428571428</v>
      </c>
      <c r="I963">
        <v>42381.666666666664</v>
      </c>
      <c r="J963">
        <v>42000</v>
      </c>
      <c r="K963">
        <v>41250</v>
      </c>
      <c r="L963">
        <v>43150</v>
      </c>
      <c r="M963">
        <v>1250</v>
      </c>
      <c r="N963">
        <v>126.7304</v>
      </c>
      <c r="O963">
        <v>0.15790646699999999</v>
      </c>
      <c r="P963">
        <v>15078.799800000001</v>
      </c>
      <c r="Q963">
        <v>26.09</v>
      </c>
      <c r="R963">
        <v>3.22</v>
      </c>
      <c r="S963">
        <v>83.91</v>
      </c>
      <c r="T963">
        <v>6</v>
      </c>
      <c r="U963" s="1" t="s">
        <v>36</v>
      </c>
      <c r="V963">
        <v>2.98</v>
      </c>
    </row>
    <row r="964" spans="1:22" x14ac:dyDescent="0.3">
      <c r="A964" s="2">
        <v>44964</v>
      </c>
      <c r="B964">
        <v>43750</v>
      </c>
      <c r="C964">
        <v>1133</v>
      </c>
      <c r="D964">
        <v>2</v>
      </c>
      <c r="E964" s="1" t="s">
        <v>22</v>
      </c>
      <c r="F964">
        <v>1</v>
      </c>
      <c r="G964" s="1" t="s">
        <v>23</v>
      </c>
      <c r="H964">
        <v>42142.857142857145</v>
      </c>
      <c r="I964">
        <v>42401.666666666664</v>
      </c>
      <c r="J964">
        <v>43250</v>
      </c>
      <c r="K964">
        <v>40500</v>
      </c>
      <c r="L964">
        <v>43150</v>
      </c>
      <c r="M964">
        <v>500</v>
      </c>
      <c r="N964">
        <v>126.7304</v>
      </c>
      <c r="O964">
        <v>0.15790646699999999</v>
      </c>
      <c r="P964">
        <v>15200</v>
      </c>
      <c r="Q964">
        <v>25.7</v>
      </c>
      <c r="R964">
        <v>23.43</v>
      </c>
      <c r="S964">
        <v>86.27</v>
      </c>
      <c r="T964">
        <v>7</v>
      </c>
      <c r="U964" s="1" t="s">
        <v>26</v>
      </c>
      <c r="V964">
        <v>1.1599999999999999</v>
      </c>
    </row>
    <row r="965" spans="1:22" x14ac:dyDescent="0.3">
      <c r="A965" s="2">
        <v>44965</v>
      </c>
      <c r="B965">
        <v>43750</v>
      </c>
      <c r="C965">
        <v>1134</v>
      </c>
      <c r="D965">
        <v>2</v>
      </c>
      <c r="E965" s="1" t="s">
        <v>22</v>
      </c>
      <c r="F965">
        <v>2</v>
      </c>
      <c r="G965" s="1" t="s">
        <v>23</v>
      </c>
      <c r="H965">
        <v>42535.714285714283</v>
      </c>
      <c r="I965">
        <v>42430</v>
      </c>
      <c r="J965">
        <v>43750</v>
      </c>
      <c r="K965">
        <v>41000</v>
      </c>
      <c r="L965">
        <v>42900</v>
      </c>
      <c r="M965">
        <v>0</v>
      </c>
      <c r="N965">
        <v>126.7304</v>
      </c>
      <c r="O965">
        <v>0.15790646699999999</v>
      </c>
      <c r="P965">
        <v>15147</v>
      </c>
      <c r="Q965">
        <v>25.06</v>
      </c>
      <c r="R965">
        <v>22.32</v>
      </c>
      <c r="S965">
        <v>87.21</v>
      </c>
      <c r="T965">
        <v>8</v>
      </c>
      <c r="U965" s="1" t="s">
        <v>25</v>
      </c>
      <c r="V965">
        <v>0</v>
      </c>
    </row>
    <row r="966" spans="1:22" x14ac:dyDescent="0.3">
      <c r="A966" s="2">
        <v>44966</v>
      </c>
      <c r="B966">
        <v>45500</v>
      </c>
      <c r="C966">
        <v>1135</v>
      </c>
      <c r="D966">
        <v>2</v>
      </c>
      <c r="E966" s="1" t="s">
        <v>22</v>
      </c>
      <c r="F966">
        <v>3</v>
      </c>
      <c r="G966" s="1" t="s">
        <v>23</v>
      </c>
      <c r="H966">
        <v>43178.571428571428</v>
      </c>
      <c r="I966">
        <v>42516.666666666664</v>
      </c>
      <c r="J966">
        <v>43750</v>
      </c>
      <c r="K966">
        <v>41000</v>
      </c>
      <c r="L966">
        <v>42900</v>
      </c>
      <c r="M966">
        <v>1750</v>
      </c>
      <c r="N966">
        <v>126.7304</v>
      </c>
      <c r="O966">
        <v>0.15790646699999999</v>
      </c>
      <c r="P966">
        <v>15117</v>
      </c>
      <c r="Q966">
        <v>25.87</v>
      </c>
      <c r="R966">
        <v>0.92</v>
      </c>
      <c r="S966">
        <v>83.92</v>
      </c>
      <c r="T966">
        <v>9</v>
      </c>
      <c r="U966" s="1" t="s">
        <v>41</v>
      </c>
      <c r="V966">
        <v>4</v>
      </c>
    </row>
    <row r="967" spans="1:22" x14ac:dyDescent="0.3">
      <c r="A967" s="2">
        <v>44967</v>
      </c>
      <c r="B967">
        <v>45500</v>
      </c>
      <c r="C967">
        <v>1136</v>
      </c>
      <c r="D967">
        <v>2</v>
      </c>
      <c r="E967" s="1" t="s">
        <v>22</v>
      </c>
      <c r="F967">
        <v>4</v>
      </c>
      <c r="G967" s="1" t="s">
        <v>23</v>
      </c>
      <c r="H967">
        <v>43678.571428571428</v>
      </c>
      <c r="I967">
        <v>42603.333333333336</v>
      </c>
      <c r="J967">
        <v>45500</v>
      </c>
      <c r="K967">
        <v>42000</v>
      </c>
      <c r="L967">
        <v>42900</v>
      </c>
      <c r="M967">
        <v>0</v>
      </c>
      <c r="N967">
        <v>126.7304</v>
      </c>
      <c r="O967">
        <v>0.15790646699999999</v>
      </c>
      <c r="P967">
        <v>15140</v>
      </c>
      <c r="Q967">
        <v>26.28</v>
      </c>
      <c r="R967">
        <v>2.66</v>
      </c>
      <c r="S967">
        <v>85.27</v>
      </c>
      <c r="T967">
        <v>10</v>
      </c>
      <c r="U967" s="1" t="s">
        <v>25</v>
      </c>
      <c r="V967">
        <v>0</v>
      </c>
    </row>
    <row r="968" spans="1:22" x14ac:dyDescent="0.3">
      <c r="A968" s="2">
        <v>44968</v>
      </c>
      <c r="B968">
        <v>45500</v>
      </c>
      <c r="C968">
        <v>1137</v>
      </c>
      <c r="D968">
        <v>2</v>
      </c>
      <c r="E968" s="1" t="s">
        <v>22</v>
      </c>
      <c r="F968">
        <v>5</v>
      </c>
      <c r="G968" s="1" t="s">
        <v>23</v>
      </c>
      <c r="H968">
        <v>44178.571428571428</v>
      </c>
      <c r="I968">
        <v>42690</v>
      </c>
      <c r="J968">
        <v>45500</v>
      </c>
      <c r="K968">
        <v>42000</v>
      </c>
      <c r="L968">
        <v>42900</v>
      </c>
      <c r="M968">
        <v>0</v>
      </c>
      <c r="N968">
        <v>126.7304</v>
      </c>
      <c r="O968">
        <v>0.15790646699999999</v>
      </c>
      <c r="P968">
        <v>15140</v>
      </c>
      <c r="Q968">
        <v>26.19</v>
      </c>
      <c r="R968">
        <v>4.74</v>
      </c>
      <c r="S968">
        <v>85.88</v>
      </c>
      <c r="T968">
        <v>11</v>
      </c>
      <c r="U968" s="1" t="s">
        <v>25</v>
      </c>
      <c r="V968">
        <v>0</v>
      </c>
    </row>
    <row r="969" spans="1:22" x14ac:dyDescent="0.3">
      <c r="A969" s="2">
        <v>44969</v>
      </c>
      <c r="B969">
        <v>45500</v>
      </c>
      <c r="C969">
        <v>1138</v>
      </c>
      <c r="D969">
        <v>2</v>
      </c>
      <c r="E969" s="1" t="s">
        <v>22</v>
      </c>
      <c r="F969">
        <v>6</v>
      </c>
      <c r="G969" s="1" t="s">
        <v>23</v>
      </c>
      <c r="H969">
        <v>44678.571428571428</v>
      </c>
      <c r="I969">
        <v>42768.333333333336</v>
      </c>
      <c r="J969">
        <v>45500</v>
      </c>
      <c r="K969">
        <v>42000</v>
      </c>
      <c r="L969">
        <v>43150</v>
      </c>
      <c r="M969">
        <v>0</v>
      </c>
      <c r="N969">
        <v>126.7304</v>
      </c>
      <c r="O969">
        <v>0.15790646699999999</v>
      </c>
      <c r="P969">
        <v>15140</v>
      </c>
      <c r="Q969">
        <v>26.38</v>
      </c>
      <c r="R969">
        <v>3.56</v>
      </c>
      <c r="S969">
        <v>86.02</v>
      </c>
      <c r="T969">
        <v>12</v>
      </c>
      <c r="U969" s="1" t="s">
        <v>25</v>
      </c>
      <c r="V969">
        <v>0</v>
      </c>
    </row>
    <row r="970" spans="1:22" x14ac:dyDescent="0.3">
      <c r="A970" s="2">
        <v>44970</v>
      </c>
      <c r="B970">
        <v>45250</v>
      </c>
      <c r="C970">
        <v>1139</v>
      </c>
      <c r="D970">
        <v>2</v>
      </c>
      <c r="E970" s="1" t="s">
        <v>22</v>
      </c>
      <c r="F970">
        <v>0</v>
      </c>
      <c r="G970" s="1" t="s">
        <v>23</v>
      </c>
      <c r="H970">
        <v>44964.285714285717</v>
      </c>
      <c r="I970">
        <v>42838.333333333336</v>
      </c>
      <c r="J970">
        <v>45500</v>
      </c>
      <c r="K970">
        <v>43250</v>
      </c>
      <c r="L970">
        <v>43150</v>
      </c>
      <c r="M970">
        <v>-250</v>
      </c>
      <c r="N970">
        <v>126.7304</v>
      </c>
      <c r="O970">
        <v>0.15790646699999999</v>
      </c>
      <c r="P970">
        <v>15182.200199999999</v>
      </c>
      <c r="Q970">
        <v>26.65</v>
      </c>
      <c r="R970">
        <v>3.33</v>
      </c>
      <c r="S970">
        <v>85.97</v>
      </c>
      <c r="T970">
        <v>13</v>
      </c>
      <c r="U970" s="1" t="s">
        <v>35</v>
      </c>
      <c r="V970">
        <v>-0.55000000000000004</v>
      </c>
    </row>
    <row r="971" spans="1:22" x14ac:dyDescent="0.3">
      <c r="A971" s="2">
        <v>44971</v>
      </c>
      <c r="B971">
        <v>44750</v>
      </c>
      <c r="C971">
        <v>1140</v>
      </c>
      <c r="D971">
        <v>2</v>
      </c>
      <c r="E971" s="1" t="s">
        <v>22</v>
      </c>
      <c r="F971">
        <v>1</v>
      </c>
      <c r="G971" s="1" t="s">
        <v>23</v>
      </c>
      <c r="H971">
        <v>45107.142857142855</v>
      </c>
      <c r="I971">
        <v>42891.666666666664</v>
      </c>
      <c r="J971">
        <v>45250</v>
      </c>
      <c r="K971">
        <v>43750</v>
      </c>
      <c r="L971">
        <v>43150</v>
      </c>
      <c r="M971">
        <v>-500</v>
      </c>
      <c r="N971">
        <v>126.7304</v>
      </c>
      <c r="O971">
        <v>0.15790646699999999</v>
      </c>
      <c r="P971">
        <v>15211</v>
      </c>
      <c r="Q971">
        <v>26.08</v>
      </c>
      <c r="R971">
        <v>9.5</v>
      </c>
      <c r="S971">
        <v>84.77</v>
      </c>
      <c r="T971">
        <v>14</v>
      </c>
      <c r="U971" s="1" t="s">
        <v>24</v>
      </c>
      <c r="V971">
        <v>-1.1000000000000001</v>
      </c>
    </row>
    <row r="972" spans="1:22" x14ac:dyDescent="0.3">
      <c r="A972" s="2">
        <v>44972</v>
      </c>
      <c r="B972">
        <v>44500</v>
      </c>
      <c r="C972">
        <v>1141</v>
      </c>
      <c r="D972">
        <v>2</v>
      </c>
      <c r="E972" s="1" t="s">
        <v>22</v>
      </c>
      <c r="F972">
        <v>2</v>
      </c>
      <c r="G972" s="1" t="s">
        <v>23</v>
      </c>
      <c r="H972">
        <v>45214.285714285717</v>
      </c>
      <c r="I972">
        <v>42936.666666666664</v>
      </c>
      <c r="J972">
        <v>44750</v>
      </c>
      <c r="K972">
        <v>43750</v>
      </c>
      <c r="L972">
        <v>43150</v>
      </c>
      <c r="M972">
        <v>-250</v>
      </c>
      <c r="N972">
        <v>126.7304</v>
      </c>
      <c r="O972">
        <v>0.15790646699999999</v>
      </c>
      <c r="P972">
        <v>15179</v>
      </c>
      <c r="Q972">
        <v>26.22</v>
      </c>
      <c r="R972">
        <v>5.57</v>
      </c>
      <c r="S972">
        <v>84.31</v>
      </c>
      <c r="T972">
        <v>15</v>
      </c>
      <c r="U972" s="1" t="s">
        <v>35</v>
      </c>
      <c r="V972">
        <v>-0.56000000000000005</v>
      </c>
    </row>
    <row r="973" spans="1:22" x14ac:dyDescent="0.3">
      <c r="A973" s="2">
        <v>44973</v>
      </c>
      <c r="B973">
        <v>44250</v>
      </c>
      <c r="C973">
        <v>1142</v>
      </c>
      <c r="D973">
        <v>2</v>
      </c>
      <c r="E973" s="1" t="s">
        <v>22</v>
      </c>
      <c r="F973">
        <v>3</v>
      </c>
      <c r="G973" s="1" t="s">
        <v>23</v>
      </c>
      <c r="H973">
        <v>45035.714285714283</v>
      </c>
      <c r="I973">
        <v>42973.333333333336</v>
      </c>
      <c r="J973">
        <v>44500</v>
      </c>
      <c r="K973">
        <v>45500</v>
      </c>
      <c r="L973">
        <v>43150</v>
      </c>
      <c r="M973">
        <v>-250</v>
      </c>
      <c r="N973">
        <v>126.7304</v>
      </c>
      <c r="O973">
        <v>0.15790646699999999</v>
      </c>
      <c r="P973">
        <v>15210</v>
      </c>
      <c r="Q973">
        <v>26.35</v>
      </c>
      <c r="R973">
        <v>3.1</v>
      </c>
      <c r="S973">
        <v>84.09</v>
      </c>
      <c r="T973">
        <v>16</v>
      </c>
      <c r="U973" s="1" t="s">
        <v>35</v>
      </c>
      <c r="V973">
        <v>-0.56000000000000005</v>
      </c>
    </row>
    <row r="974" spans="1:22" x14ac:dyDescent="0.3">
      <c r="A974" s="2">
        <v>44974</v>
      </c>
      <c r="B974">
        <v>43000</v>
      </c>
      <c r="C974">
        <v>1143</v>
      </c>
      <c r="D974">
        <v>2</v>
      </c>
      <c r="E974" s="1" t="s">
        <v>22</v>
      </c>
      <c r="F974">
        <v>4</v>
      </c>
      <c r="G974" s="1" t="s">
        <v>23</v>
      </c>
      <c r="H974">
        <v>44678.571428571428</v>
      </c>
      <c r="I974">
        <v>42968.333333333336</v>
      </c>
      <c r="J974">
        <v>44250</v>
      </c>
      <c r="K974">
        <v>45500</v>
      </c>
      <c r="L974">
        <v>43150</v>
      </c>
      <c r="M974">
        <v>-1250</v>
      </c>
      <c r="N974">
        <v>126.7304</v>
      </c>
      <c r="O974">
        <v>0.15790646699999999</v>
      </c>
      <c r="P974">
        <v>15142</v>
      </c>
      <c r="Q974">
        <v>26.65</v>
      </c>
      <c r="R974">
        <v>2.33</v>
      </c>
      <c r="S974">
        <v>83.72</v>
      </c>
      <c r="T974">
        <v>17</v>
      </c>
      <c r="U974" s="1" t="s">
        <v>40</v>
      </c>
      <c r="V974">
        <v>-2.82</v>
      </c>
    </row>
    <row r="975" spans="1:22" x14ac:dyDescent="0.3">
      <c r="A975" s="2">
        <v>44977</v>
      </c>
      <c r="B975">
        <v>41000</v>
      </c>
      <c r="C975">
        <v>1146</v>
      </c>
      <c r="D975">
        <v>2</v>
      </c>
      <c r="E975" s="1" t="s">
        <v>22</v>
      </c>
      <c r="F975">
        <v>0</v>
      </c>
      <c r="G975" s="1" t="s">
        <v>23</v>
      </c>
      <c r="K975">
        <v>45250</v>
      </c>
      <c r="L975">
        <v>43150</v>
      </c>
      <c r="N975">
        <v>126.7304</v>
      </c>
      <c r="O975">
        <v>0.15790646699999999</v>
      </c>
      <c r="P975">
        <v>15159</v>
      </c>
      <c r="Q975">
        <v>26.27</v>
      </c>
      <c r="R975">
        <v>6.11</v>
      </c>
      <c r="S975">
        <v>84.97</v>
      </c>
      <c r="T975">
        <v>20</v>
      </c>
      <c r="U975" s="1" t="s">
        <v>45</v>
      </c>
      <c r="V975">
        <v>-4.6500000000000004</v>
      </c>
    </row>
    <row r="976" spans="1:22" x14ac:dyDescent="0.3">
      <c r="A976" s="2">
        <v>44978</v>
      </c>
      <c r="B976">
        <v>40400</v>
      </c>
      <c r="C976">
        <v>1147</v>
      </c>
      <c r="D976">
        <v>2</v>
      </c>
      <c r="E976" s="1" t="s">
        <v>22</v>
      </c>
      <c r="F976">
        <v>1</v>
      </c>
      <c r="G976" s="1" t="s">
        <v>23</v>
      </c>
      <c r="J976">
        <v>41000</v>
      </c>
      <c r="K976">
        <v>44750</v>
      </c>
      <c r="L976">
        <v>43150</v>
      </c>
      <c r="M976">
        <v>-600</v>
      </c>
      <c r="N976">
        <v>126.7304</v>
      </c>
      <c r="O976">
        <v>0.15790646699999999</v>
      </c>
      <c r="P976">
        <v>15162.5</v>
      </c>
      <c r="Q976">
        <v>26.21</v>
      </c>
      <c r="R976">
        <v>5.56</v>
      </c>
      <c r="S976">
        <v>85.51</v>
      </c>
      <c r="T976">
        <v>21</v>
      </c>
      <c r="U976" s="1" t="s">
        <v>62</v>
      </c>
      <c r="V976">
        <v>-1.46</v>
      </c>
    </row>
    <row r="977" spans="1:22" x14ac:dyDescent="0.3">
      <c r="A977" s="2">
        <v>44979</v>
      </c>
      <c r="B977">
        <v>39650</v>
      </c>
      <c r="C977">
        <v>1148</v>
      </c>
      <c r="D977">
        <v>2</v>
      </c>
      <c r="E977" s="1" t="s">
        <v>22</v>
      </c>
      <c r="F977">
        <v>2</v>
      </c>
      <c r="G977" s="1" t="s">
        <v>23</v>
      </c>
      <c r="J977">
        <v>40400</v>
      </c>
      <c r="K977">
        <v>44500</v>
      </c>
      <c r="L977">
        <v>43150</v>
      </c>
      <c r="M977">
        <v>-750</v>
      </c>
      <c r="N977">
        <v>126.7304</v>
      </c>
      <c r="O977">
        <v>0.15790646699999999</v>
      </c>
      <c r="P977">
        <v>15233</v>
      </c>
      <c r="Q977">
        <v>26.23</v>
      </c>
      <c r="R977">
        <v>5.3</v>
      </c>
      <c r="S977">
        <v>86.62</v>
      </c>
      <c r="T977">
        <v>22</v>
      </c>
      <c r="U977" s="1" t="s">
        <v>42</v>
      </c>
      <c r="V977">
        <v>-1.86</v>
      </c>
    </row>
    <row r="978" spans="1:22" x14ac:dyDescent="0.3">
      <c r="A978" s="2">
        <v>44980</v>
      </c>
      <c r="B978">
        <v>39900</v>
      </c>
      <c r="C978">
        <v>1149</v>
      </c>
      <c r="D978">
        <v>2</v>
      </c>
      <c r="E978" s="1" t="s">
        <v>22</v>
      </c>
      <c r="F978">
        <v>3</v>
      </c>
      <c r="G978" s="1" t="s">
        <v>23</v>
      </c>
      <c r="J978">
        <v>39650</v>
      </c>
      <c r="K978">
        <v>44250</v>
      </c>
      <c r="L978">
        <v>42150</v>
      </c>
      <c r="M978">
        <v>250</v>
      </c>
      <c r="N978">
        <v>126.7304</v>
      </c>
      <c r="O978">
        <v>0.15790646699999999</v>
      </c>
      <c r="P978">
        <v>15192</v>
      </c>
      <c r="Q978">
        <v>26.56</v>
      </c>
      <c r="R978">
        <v>3</v>
      </c>
      <c r="S978">
        <v>85.47</v>
      </c>
      <c r="T978">
        <v>23</v>
      </c>
      <c r="U978" s="1" t="s">
        <v>34</v>
      </c>
      <c r="V978">
        <v>0.63</v>
      </c>
    </row>
    <row r="979" spans="1:22" x14ac:dyDescent="0.3">
      <c r="A979" s="2">
        <v>44981</v>
      </c>
      <c r="B979">
        <v>39900</v>
      </c>
      <c r="C979">
        <v>1150</v>
      </c>
      <c r="D979">
        <v>2</v>
      </c>
      <c r="E979" s="1" t="s">
        <v>22</v>
      </c>
      <c r="F979">
        <v>4</v>
      </c>
      <c r="G979" s="1" t="s">
        <v>23</v>
      </c>
      <c r="J979">
        <v>39900</v>
      </c>
      <c r="K979">
        <v>43000</v>
      </c>
      <c r="L979">
        <v>41900</v>
      </c>
      <c r="M979">
        <v>0</v>
      </c>
      <c r="N979">
        <v>126.7304</v>
      </c>
      <c r="O979">
        <v>0.15790646699999999</v>
      </c>
      <c r="P979">
        <v>15210</v>
      </c>
      <c r="Q979">
        <v>26.82</v>
      </c>
      <c r="R979">
        <v>2.7</v>
      </c>
      <c r="S979">
        <v>84.42</v>
      </c>
      <c r="T979">
        <v>24</v>
      </c>
      <c r="U979" s="1" t="s">
        <v>25</v>
      </c>
      <c r="V979">
        <v>0</v>
      </c>
    </row>
    <row r="980" spans="1:22" x14ac:dyDescent="0.3">
      <c r="A980" s="2">
        <v>44984</v>
      </c>
      <c r="B980">
        <v>39900</v>
      </c>
      <c r="C980">
        <v>1153</v>
      </c>
      <c r="D980">
        <v>2</v>
      </c>
      <c r="E980" s="1" t="s">
        <v>22</v>
      </c>
      <c r="F980">
        <v>0</v>
      </c>
      <c r="G980" s="1" t="s">
        <v>23</v>
      </c>
      <c r="K980">
        <v>41000</v>
      </c>
      <c r="L980">
        <v>41250</v>
      </c>
      <c r="N980">
        <v>126.7304</v>
      </c>
      <c r="O980">
        <v>0.15790646699999999</v>
      </c>
      <c r="P980">
        <v>15257.700199999999</v>
      </c>
      <c r="Q980">
        <v>26.35</v>
      </c>
      <c r="R980">
        <v>8.92</v>
      </c>
      <c r="S980">
        <v>85.53</v>
      </c>
      <c r="T980">
        <v>27</v>
      </c>
      <c r="U980" s="1" t="s">
        <v>25</v>
      </c>
      <c r="V980">
        <v>0</v>
      </c>
    </row>
    <row r="981" spans="1:22" x14ac:dyDescent="0.3">
      <c r="A981" s="2">
        <v>44985</v>
      </c>
      <c r="B981">
        <v>39900</v>
      </c>
      <c r="C981">
        <v>1154</v>
      </c>
      <c r="D981">
        <v>2</v>
      </c>
      <c r="E981" s="1" t="s">
        <v>22</v>
      </c>
      <c r="F981">
        <v>1</v>
      </c>
      <c r="G981" s="1" t="s">
        <v>23</v>
      </c>
      <c r="J981">
        <v>39900</v>
      </c>
      <c r="K981">
        <v>40400</v>
      </c>
      <c r="L981">
        <v>41250</v>
      </c>
      <c r="M981">
        <v>0</v>
      </c>
      <c r="N981">
        <v>126.7304</v>
      </c>
      <c r="O981">
        <v>0.15790646699999999</v>
      </c>
      <c r="P981">
        <v>15209</v>
      </c>
      <c r="Q981">
        <v>26.98</v>
      </c>
      <c r="R981">
        <v>3.96</v>
      </c>
      <c r="S981">
        <v>80.83</v>
      </c>
      <c r="T981">
        <v>28</v>
      </c>
      <c r="U981" s="1" t="s">
        <v>25</v>
      </c>
      <c r="V981">
        <v>0</v>
      </c>
    </row>
    <row r="982" spans="1:22" x14ac:dyDescent="0.3">
      <c r="A982" s="2">
        <v>44986</v>
      </c>
      <c r="B982">
        <v>39650</v>
      </c>
      <c r="C982">
        <v>1155</v>
      </c>
      <c r="D982">
        <v>3</v>
      </c>
      <c r="E982" s="1" t="s">
        <v>22</v>
      </c>
      <c r="F982">
        <v>2</v>
      </c>
      <c r="G982" s="1" t="s">
        <v>23</v>
      </c>
      <c r="J982">
        <v>39900</v>
      </c>
      <c r="K982">
        <v>39650</v>
      </c>
      <c r="L982">
        <v>41250</v>
      </c>
      <c r="M982">
        <v>-250</v>
      </c>
      <c r="N982">
        <v>126.9525</v>
      </c>
      <c r="O982">
        <v>0.175253925</v>
      </c>
      <c r="P982">
        <v>15240</v>
      </c>
      <c r="Q982">
        <v>26.84</v>
      </c>
      <c r="R982">
        <v>0.56000000000000005</v>
      </c>
      <c r="S982">
        <v>78.42</v>
      </c>
      <c r="T982">
        <v>1</v>
      </c>
      <c r="U982" s="1" t="s">
        <v>35</v>
      </c>
      <c r="V982">
        <v>-0.63</v>
      </c>
    </row>
    <row r="983" spans="1:22" x14ac:dyDescent="0.3">
      <c r="A983" s="2">
        <v>44987</v>
      </c>
      <c r="B983">
        <v>38900</v>
      </c>
      <c r="C983">
        <v>1156</v>
      </c>
      <c r="D983">
        <v>3</v>
      </c>
      <c r="E983" s="1" t="s">
        <v>22</v>
      </c>
      <c r="F983">
        <v>3</v>
      </c>
      <c r="G983" s="1" t="s">
        <v>23</v>
      </c>
      <c r="J983">
        <v>39650</v>
      </c>
      <c r="K983">
        <v>39900</v>
      </c>
      <c r="L983">
        <v>40500</v>
      </c>
      <c r="M983">
        <v>-750</v>
      </c>
      <c r="N983">
        <v>126.9525</v>
      </c>
      <c r="O983">
        <v>0.175253925</v>
      </c>
      <c r="P983">
        <v>15243</v>
      </c>
      <c r="Q983">
        <v>26.24</v>
      </c>
      <c r="R983">
        <v>6.29</v>
      </c>
      <c r="S983">
        <v>85.61</v>
      </c>
      <c r="T983">
        <v>2</v>
      </c>
      <c r="U983" s="1" t="s">
        <v>42</v>
      </c>
      <c r="V983">
        <v>-1.89</v>
      </c>
    </row>
    <row r="984" spans="1:22" x14ac:dyDescent="0.3">
      <c r="A984" s="2">
        <v>44988</v>
      </c>
      <c r="B984">
        <v>38650</v>
      </c>
      <c r="C984">
        <v>1157</v>
      </c>
      <c r="D984">
        <v>3</v>
      </c>
      <c r="E984" s="1" t="s">
        <v>22</v>
      </c>
      <c r="F984">
        <v>4</v>
      </c>
      <c r="G984" s="1" t="s">
        <v>23</v>
      </c>
      <c r="J984">
        <v>38900</v>
      </c>
      <c r="K984">
        <v>39900</v>
      </c>
      <c r="L984">
        <v>41000</v>
      </c>
      <c r="M984">
        <v>-250</v>
      </c>
      <c r="N984">
        <v>126.9525</v>
      </c>
      <c r="O984">
        <v>0.175253925</v>
      </c>
      <c r="P984">
        <v>15322</v>
      </c>
      <c r="Q984">
        <v>26.3</v>
      </c>
      <c r="R984">
        <v>19.190000000000001</v>
      </c>
      <c r="S984">
        <v>85.58</v>
      </c>
      <c r="T984">
        <v>3</v>
      </c>
      <c r="U984" s="1" t="s">
        <v>35</v>
      </c>
      <c r="V984">
        <v>-0.64</v>
      </c>
    </row>
    <row r="985" spans="1:22" x14ac:dyDescent="0.3">
      <c r="A985" s="2">
        <v>44989</v>
      </c>
      <c r="B985">
        <v>38650</v>
      </c>
      <c r="C985">
        <v>1158</v>
      </c>
      <c r="D985">
        <v>3</v>
      </c>
      <c r="E985" s="1" t="s">
        <v>22</v>
      </c>
      <c r="F985">
        <v>5</v>
      </c>
      <c r="G985" s="1" t="s">
        <v>23</v>
      </c>
      <c r="J985">
        <v>38650</v>
      </c>
      <c r="L985">
        <v>41000</v>
      </c>
      <c r="M985">
        <v>0</v>
      </c>
      <c r="N985">
        <v>126.9525</v>
      </c>
      <c r="O985">
        <v>0.175253925</v>
      </c>
      <c r="P985">
        <v>15322</v>
      </c>
      <c r="Q985">
        <v>25.74</v>
      </c>
      <c r="R985">
        <v>23.46</v>
      </c>
      <c r="S985">
        <v>88.1</v>
      </c>
      <c r="T985">
        <v>4</v>
      </c>
      <c r="U985" s="1" t="s">
        <v>35</v>
      </c>
      <c r="V985">
        <v>-0.64</v>
      </c>
    </row>
    <row r="986" spans="1:22" x14ac:dyDescent="0.3">
      <c r="A986" s="2">
        <v>44990</v>
      </c>
      <c r="B986">
        <v>38650</v>
      </c>
      <c r="C986">
        <v>1159</v>
      </c>
      <c r="D986">
        <v>3</v>
      </c>
      <c r="E986" s="1" t="s">
        <v>22</v>
      </c>
      <c r="F986">
        <v>6</v>
      </c>
      <c r="G986" s="1" t="s">
        <v>23</v>
      </c>
      <c r="H986">
        <v>39185.714285714283</v>
      </c>
      <c r="J986">
        <v>38650</v>
      </c>
      <c r="L986">
        <v>42000</v>
      </c>
      <c r="M986">
        <v>0</v>
      </c>
      <c r="N986">
        <v>126.9525</v>
      </c>
      <c r="O986">
        <v>0.175253925</v>
      </c>
      <c r="P986">
        <v>15322</v>
      </c>
      <c r="Q986">
        <v>25.97</v>
      </c>
      <c r="R986">
        <v>14.4</v>
      </c>
      <c r="S986">
        <v>87.06</v>
      </c>
      <c r="T986">
        <v>5</v>
      </c>
      <c r="U986" s="1" t="s">
        <v>35</v>
      </c>
      <c r="V986">
        <v>-0.64</v>
      </c>
    </row>
    <row r="987" spans="1:22" x14ac:dyDescent="0.3">
      <c r="A987" s="2">
        <v>44991</v>
      </c>
      <c r="B987">
        <v>39150</v>
      </c>
      <c r="C987">
        <v>1160</v>
      </c>
      <c r="D987">
        <v>3</v>
      </c>
      <c r="E987" s="1" t="s">
        <v>22</v>
      </c>
      <c r="F987">
        <v>0</v>
      </c>
      <c r="G987" s="1" t="s">
        <v>23</v>
      </c>
      <c r="H987">
        <v>39078.571428571428</v>
      </c>
      <c r="J987">
        <v>38650</v>
      </c>
      <c r="K987">
        <v>39900</v>
      </c>
      <c r="L987">
        <v>42000</v>
      </c>
      <c r="M987">
        <v>500</v>
      </c>
      <c r="N987">
        <v>126.9525</v>
      </c>
      <c r="O987">
        <v>0.175253925</v>
      </c>
      <c r="P987">
        <v>15255.099609999999</v>
      </c>
      <c r="Q987">
        <v>26.35</v>
      </c>
      <c r="R987">
        <v>2.4300000000000002</v>
      </c>
      <c r="S987">
        <v>85.06</v>
      </c>
      <c r="T987">
        <v>6</v>
      </c>
      <c r="U987" s="1" t="s">
        <v>26</v>
      </c>
      <c r="V987">
        <v>1.29</v>
      </c>
    </row>
    <row r="988" spans="1:22" x14ac:dyDescent="0.3">
      <c r="A988" s="2">
        <v>44992</v>
      </c>
      <c r="B988">
        <v>39150</v>
      </c>
      <c r="C988">
        <v>1161</v>
      </c>
      <c r="D988">
        <v>3</v>
      </c>
      <c r="E988" s="1" t="s">
        <v>22</v>
      </c>
      <c r="F988">
        <v>1</v>
      </c>
      <c r="G988" s="1" t="s">
        <v>23</v>
      </c>
      <c r="H988">
        <v>38971.428571428572</v>
      </c>
      <c r="J988">
        <v>39150</v>
      </c>
      <c r="K988">
        <v>39900</v>
      </c>
      <c r="L988">
        <v>42000</v>
      </c>
      <c r="M988">
        <v>0</v>
      </c>
      <c r="N988">
        <v>126.9525</v>
      </c>
      <c r="O988">
        <v>0.175253925</v>
      </c>
      <c r="P988">
        <v>15352</v>
      </c>
      <c r="Q988">
        <v>26.55</v>
      </c>
      <c r="R988">
        <v>2.33</v>
      </c>
      <c r="S988">
        <v>86.89</v>
      </c>
      <c r="T988">
        <v>7</v>
      </c>
      <c r="U988" s="1" t="s">
        <v>25</v>
      </c>
      <c r="V988">
        <v>0</v>
      </c>
    </row>
    <row r="989" spans="1:22" x14ac:dyDescent="0.3">
      <c r="A989" s="2">
        <v>44993</v>
      </c>
      <c r="B989">
        <v>40650</v>
      </c>
      <c r="C989">
        <v>1162</v>
      </c>
      <c r="D989">
        <v>3</v>
      </c>
      <c r="E989" s="1" t="s">
        <v>22</v>
      </c>
      <c r="F989">
        <v>2</v>
      </c>
      <c r="G989" s="1" t="s">
        <v>23</v>
      </c>
      <c r="H989">
        <v>39114.285714285717</v>
      </c>
      <c r="J989">
        <v>39150</v>
      </c>
      <c r="K989">
        <v>39650</v>
      </c>
      <c r="L989">
        <v>43250</v>
      </c>
      <c r="M989">
        <v>1500</v>
      </c>
      <c r="N989">
        <v>126.9525</v>
      </c>
      <c r="O989">
        <v>0.175253925</v>
      </c>
      <c r="P989">
        <v>15437</v>
      </c>
      <c r="Q989">
        <v>26.38</v>
      </c>
      <c r="R989">
        <v>1.86</v>
      </c>
      <c r="S989">
        <v>87.45</v>
      </c>
      <c r="T989">
        <v>8</v>
      </c>
      <c r="U989" s="1" t="s">
        <v>31</v>
      </c>
      <c r="V989">
        <v>3.83</v>
      </c>
    </row>
    <row r="990" spans="1:22" x14ac:dyDescent="0.3">
      <c r="A990" s="2">
        <v>44994</v>
      </c>
      <c r="B990">
        <v>40500</v>
      </c>
      <c r="C990">
        <v>1163</v>
      </c>
      <c r="D990">
        <v>3</v>
      </c>
      <c r="E990" s="1" t="s">
        <v>22</v>
      </c>
      <c r="F990">
        <v>3</v>
      </c>
      <c r="G990" s="1" t="s">
        <v>23</v>
      </c>
      <c r="H990">
        <v>39342.857142857145</v>
      </c>
      <c r="J990">
        <v>40650</v>
      </c>
      <c r="K990">
        <v>38900</v>
      </c>
      <c r="L990">
        <v>43750</v>
      </c>
      <c r="M990">
        <v>-150</v>
      </c>
      <c r="N990">
        <v>126.9525</v>
      </c>
      <c r="O990">
        <v>0.175253925</v>
      </c>
      <c r="P990">
        <v>15450</v>
      </c>
      <c r="Q990">
        <v>26.6</v>
      </c>
      <c r="R990">
        <v>0.76</v>
      </c>
      <c r="S990">
        <v>84.38</v>
      </c>
      <c r="T990">
        <v>9</v>
      </c>
      <c r="U990" s="1" t="s">
        <v>101</v>
      </c>
      <c r="V990">
        <v>-0.37</v>
      </c>
    </row>
    <row r="991" spans="1:22" x14ac:dyDescent="0.3">
      <c r="A991" s="2">
        <v>44995</v>
      </c>
      <c r="B991">
        <v>40000</v>
      </c>
      <c r="C991">
        <v>1164</v>
      </c>
      <c r="D991">
        <v>3</v>
      </c>
      <c r="E991" s="1" t="s">
        <v>22</v>
      </c>
      <c r="F991">
        <v>4</v>
      </c>
      <c r="G991" s="1" t="s">
        <v>23</v>
      </c>
      <c r="H991">
        <v>39535.714285714283</v>
      </c>
      <c r="J991">
        <v>40500</v>
      </c>
      <c r="K991">
        <v>38650</v>
      </c>
      <c r="L991">
        <v>43750</v>
      </c>
      <c r="M991">
        <v>-500</v>
      </c>
      <c r="N991">
        <v>126.9525</v>
      </c>
      <c r="O991">
        <v>0.175253925</v>
      </c>
      <c r="P991">
        <v>15489</v>
      </c>
      <c r="Q991">
        <v>26.84</v>
      </c>
      <c r="R991">
        <v>0.31</v>
      </c>
      <c r="S991">
        <v>81.459999999999994</v>
      </c>
      <c r="T991">
        <v>10</v>
      </c>
      <c r="U991" s="1" t="s">
        <v>24</v>
      </c>
      <c r="V991">
        <v>-1.23</v>
      </c>
    </row>
    <row r="992" spans="1:22" x14ac:dyDescent="0.3">
      <c r="A992" s="2">
        <v>44996</v>
      </c>
      <c r="B992">
        <v>40000</v>
      </c>
      <c r="C992">
        <v>1165</v>
      </c>
      <c r="D992">
        <v>3</v>
      </c>
      <c r="E992" s="1" t="s">
        <v>22</v>
      </c>
      <c r="F992">
        <v>5</v>
      </c>
      <c r="G992" s="1" t="s">
        <v>23</v>
      </c>
      <c r="H992">
        <v>39728.571428571428</v>
      </c>
      <c r="J992">
        <v>40000</v>
      </c>
      <c r="K992">
        <v>38650</v>
      </c>
      <c r="L992">
        <v>45500</v>
      </c>
      <c r="M992">
        <v>0</v>
      </c>
      <c r="N992">
        <v>126.9525</v>
      </c>
      <c r="O992">
        <v>0.175253925</v>
      </c>
      <c r="P992">
        <v>15489</v>
      </c>
      <c r="Q992">
        <v>27.29</v>
      </c>
      <c r="R992">
        <v>0.14000000000000001</v>
      </c>
      <c r="S992">
        <v>78.86</v>
      </c>
      <c r="T992">
        <v>11</v>
      </c>
      <c r="U992" s="1" t="s">
        <v>24</v>
      </c>
      <c r="V992">
        <v>-1.23</v>
      </c>
    </row>
    <row r="993" spans="1:22" x14ac:dyDescent="0.3">
      <c r="A993" s="2">
        <v>44997</v>
      </c>
      <c r="B993">
        <v>40000</v>
      </c>
      <c r="C993">
        <v>1166</v>
      </c>
      <c r="D993">
        <v>3</v>
      </c>
      <c r="E993" s="1" t="s">
        <v>22</v>
      </c>
      <c r="F993">
        <v>6</v>
      </c>
      <c r="G993" s="1" t="s">
        <v>23</v>
      </c>
      <c r="H993">
        <v>39921.428571428572</v>
      </c>
      <c r="J993">
        <v>40000</v>
      </c>
      <c r="K993">
        <v>38650</v>
      </c>
      <c r="L993">
        <v>45500</v>
      </c>
      <c r="M993">
        <v>0</v>
      </c>
      <c r="N993">
        <v>126.9525</v>
      </c>
      <c r="O993">
        <v>0.175253925</v>
      </c>
      <c r="P993">
        <v>15489</v>
      </c>
      <c r="Q993">
        <v>26.97</v>
      </c>
      <c r="R993">
        <v>1.04</v>
      </c>
      <c r="S993">
        <v>82.64</v>
      </c>
      <c r="T993">
        <v>12</v>
      </c>
      <c r="U993" s="1" t="s">
        <v>24</v>
      </c>
      <c r="V993">
        <v>-1.23</v>
      </c>
    </row>
    <row r="994" spans="1:22" x14ac:dyDescent="0.3">
      <c r="A994" s="2">
        <v>44998</v>
      </c>
      <c r="B994">
        <v>41250</v>
      </c>
      <c r="C994">
        <v>1167</v>
      </c>
      <c r="D994">
        <v>3</v>
      </c>
      <c r="E994" s="1" t="s">
        <v>22</v>
      </c>
      <c r="F994">
        <v>0</v>
      </c>
      <c r="G994" s="1" t="s">
        <v>23</v>
      </c>
      <c r="H994">
        <v>40221.428571428572</v>
      </c>
      <c r="J994">
        <v>40000</v>
      </c>
      <c r="K994">
        <v>39150</v>
      </c>
      <c r="L994">
        <v>45500</v>
      </c>
      <c r="M994">
        <v>1250</v>
      </c>
      <c r="N994">
        <v>126.9525</v>
      </c>
      <c r="O994">
        <v>0.175253925</v>
      </c>
      <c r="P994">
        <v>15472.599609999999</v>
      </c>
      <c r="Q994">
        <v>27.07</v>
      </c>
      <c r="R994">
        <v>1.73</v>
      </c>
      <c r="S994">
        <v>81.98</v>
      </c>
      <c r="T994">
        <v>13</v>
      </c>
      <c r="U994" s="1" t="s">
        <v>36</v>
      </c>
      <c r="V994">
        <v>3.13</v>
      </c>
    </row>
    <row r="995" spans="1:22" x14ac:dyDescent="0.3">
      <c r="A995" s="2">
        <v>44999</v>
      </c>
      <c r="B995">
        <v>40500</v>
      </c>
      <c r="C995">
        <v>1168</v>
      </c>
      <c r="D995">
        <v>3</v>
      </c>
      <c r="E995" s="1" t="s">
        <v>22</v>
      </c>
      <c r="F995">
        <v>1</v>
      </c>
      <c r="G995" s="1" t="s">
        <v>23</v>
      </c>
      <c r="H995">
        <v>40414.285714285717</v>
      </c>
      <c r="J995">
        <v>41250</v>
      </c>
      <c r="K995">
        <v>39150</v>
      </c>
      <c r="L995">
        <v>45500</v>
      </c>
      <c r="M995">
        <v>-750</v>
      </c>
      <c r="N995">
        <v>126.9525</v>
      </c>
      <c r="O995">
        <v>0.175253925</v>
      </c>
      <c r="P995">
        <v>15409</v>
      </c>
      <c r="Q995">
        <v>26.56</v>
      </c>
      <c r="R995">
        <v>14.03</v>
      </c>
      <c r="S995">
        <v>85.03</v>
      </c>
      <c r="T995">
        <v>14</v>
      </c>
      <c r="U995" s="1" t="s">
        <v>42</v>
      </c>
      <c r="V995">
        <v>-1.82</v>
      </c>
    </row>
    <row r="996" spans="1:22" x14ac:dyDescent="0.3">
      <c r="A996" s="2">
        <v>45000</v>
      </c>
      <c r="B996">
        <v>40250</v>
      </c>
      <c r="C996">
        <v>1169</v>
      </c>
      <c r="D996">
        <v>3</v>
      </c>
      <c r="E996" s="1" t="s">
        <v>22</v>
      </c>
      <c r="F996">
        <v>2</v>
      </c>
      <c r="G996" s="1" t="s">
        <v>23</v>
      </c>
      <c r="H996">
        <v>40357.142857142855</v>
      </c>
      <c r="J996">
        <v>40500</v>
      </c>
      <c r="K996">
        <v>40650</v>
      </c>
      <c r="L996">
        <v>45250</v>
      </c>
      <c r="M996">
        <v>-250</v>
      </c>
      <c r="N996">
        <v>126.9525</v>
      </c>
      <c r="O996">
        <v>0.175253925</v>
      </c>
      <c r="P996">
        <v>15372</v>
      </c>
      <c r="Q996">
        <v>26.19</v>
      </c>
      <c r="R996">
        <v>6.51</v>
      </c>
      <c r="S996">
        <v>86.54</v>
      </c>
      <c r="T996">
        <v>15</v>
      </c>
      <c r="U996" s="1" t="s">
        <v>35</v>
      </c>
      <c r="V996">
        <v>-0.62</v>
      </c>
    </row>
    <row r="997" spans="1:22" x14ac:dyDescent="0.3">
      <c r="A997" s="2">
        <v>45001</v>
      </c>
      <c r="B997">
        <v>40250</v>
      </c>
      <c r="C997">
        <v>1170</v>
      </c>
      <c r="D997">
        <v>3</v>
      </c>
      <c r="E997" s="1" t="s">
        <v>22</v>
      </c>
      <c r="F997">
        <v>3</v>
      </c>
      <c r="G997" s="1" t="s">
        <v>23</v>
      </c>
      <c r="H997">
        <v>40321.428571428572</v>
      </c>
      <c r="J997">
        <v>40250</v>
      </c>
      <c r="K997">
        <v>40500</v>
      </c>
      <c r="L997">
        <v>44750</v>
      </c>
      <c r="M997">
        <v>0</v>
      </c>
      <c r="N997">
        <v>126.9525</v>
      </c>
      <c r="O997">
        <v>0.175253925</v>
      </c>
      <c r="P997">
        <v>15479</v>
      </c>
      <c r="Q997">
        <v>26.99</v>
      </c>
      <c r="R997">
        <v>3.41</v>
      </c>
      <c r="S997">
        <v>78.709999999999994</v>
      </c>
      <c r="T997">
        <v>16</v>
      </c>
      <c r="U997" s="1" t="s">
        <v>25</v>
      </c>
      <c r="V997">
        <v>0</v>
      </c>
    </row>
    <row r="998" spans="1:22" x14ac:dyDescent="0.3">
      <c r="A998" s="2">
        <v>45002</v>
      </c>
      <c r="B998">
        <v>40250</v>
      </c>
      <c r="C998">
        <v>1171</v>
      </c>
      <c r="D998">
        <v>3</v>
      </c>
      <c r="E998" s="1" t="s">
        <v>22</v>
      </c>
      <c r="F998">
        <v>4</v>
      </c>
      <c r="G998" s="1" t="s">
        <v>23</v>
      </c>
      <c r="H998">
        <v>40357.142857142855</v>
      </c>
      <c r="J998">
        <v>40250</v>
      </c>
      <c r="K998">
        <v>40000</v>
      </c>
      <c r="L998">
        <v>44500</v>
      </c>
      <c r="M998">
        <v>0</v>
      </c>
      <c r="N998">
        <v>126.9525</v>
      </c>
      <c r="O998">
        <v>0.175253925</v>
      </c>
      <c r="P998">
        <v>15422</v>
      </c>
      <c r="Q998">
        <v>26.87</v>
      </c>
      <c r="R998">
        <v>1.76</v>
      </c>
      <c r="S998">
        <v>81.03</v>
      </c>
      <c r="T998">
        <v>17</v>
      </c>
      <c r="U998" s="1" t="s">
        <v>25</v>
      </c>
      <c r="V998">
        <v>0</v>
      </c>
    </row>
    <row r="999" spans="1:22" x14ac:dyDescent="0.3">
      <c r="A999" s="2">
        <v>45003</v>
      </c>
      <c r="B999">
        <v>40250</v>
      </c>
      <c r="C999">
        <v>1172</v>
      </c>
      <c r="D999">
        <v>3</v>
      </c>
      <c r="E999" s="1" t="s">
        <v>22</v>
      </c>
      <c r="F999">
        <v>5</v>
      </c>
      <c r="G999" s="1" t="s">
        <v>23</v>
      </c>
      <c r="H999">
        <v>40392.857142857145</v>
      </c>
      <c r="J999">
        <v>40250</v>
      </c>
      <c r="K999">
        <v>40000</v>
      </c>
      <c r="L999">
        <v>44250</v>
      </c>
      <c r="M999">
        <v>0</v>
      </c>
      <c r="N999">
        <v>126.9525</v>
      </c>
      <c r="O999">
        <v>0.175253925</v>
      </c>
      <c r="P999">
        <v>15422</v>
      </c>
      <c r="Q999">
        <v>27.17</v>
      </c>
      <c r="R999">
        <v>2.38</v>
      </c>
      <c r="S999">
        <v>80.05</v>
      </c>
      <c r="T999">
        <v>18</v>
      </c>
      <c r="U999" s="1" t="s">
        <v>25</v>
      </c>
      <c r="V999">
        <v>0</v>
      </c>
    </row>
    <row r="1000" spans="1:22" x14ac:dyDescent="0.3">
      <c r="A1000" s="2">
        <v>45005</v>
      </c>
      <c r="B1000">
        <v>38750</v>
      </c>
      <c r="C1000">
        <v>1174</v>
      </c>
      <c r="D1000">
        <v>3</v>
      </c>
      <c r="E1000" s="1" t="s">
        <v>22</v>
      </c>
      <c r="F1000">
        <v>0</v>
      </c>
      <c r="G1000" s="1" t="s">
        <v>23</v>
      </c>
      <c r="K1000">
        <v>41250</v>
      </c>
      <c r="N1000">
        <v>126.9525</v>
      </c>
      <c r="O1000">
        <v>0.175253925</v>
      </c>
      <c r="P1000">
        <v>15368.5</v>
      </c>
      <c r="Q1000">
        <v>27</v>
      </c>
      <c r="R1000">
        <v>2.76</v>
      </c>
      <c r="S1000">
        <v>86.29</v>
      </c>
      <c r="T1000">
        <v>20</v>
      </c>
      <c r="U1000" s="1" t="s">
        <v>37</v>
      </c>
      <c r="V1000">
        <v>-3.73</v>
      </c>
    </row>
    <row r="1001" spans="1:22" x14ac:dyDescent="0.3">
      <c r="A1001" s="2">
        <v>45006</v>
      </c>
      <c r="B1001">
        <v>39500</v>
      </c>
      <c r="C1001">
        <v>1175</v>
      </c>
      <c r="D1001">
        <v>3</v>
      </c>
      <c r="E1001" s="1" t="s">
        <v>22</v>
      </c>
      <c r="F1001">
        <v>1</v>
      </c>
      <c r="G1001" s="1" t="s">
        <v>23</v>
      </c>
      <c r="J1001">
        <v>38750</v>
      </c>
      <c r="K1001">
        <v>40500</v>
      </c>
      <c r="M1001">
        <v>750</v>
      </c>
      <c r="N1001">
        <v>126.9525</v>
      </c>
      <c r="O1001">
        <v>0.175253925</v>
      </c>
      <c r="P1001">
        <v>15340</v>
      </c>
      <c r="Q1001">
        <v>27.03</v>
      </c>
      <c r="R1001">
        <v>10.87</v>
      </c>
      <c r="S1001">
        <v>85.62</v>
      </c>
      <c r="T1001">
        <v>21</v>
      </c>
      <c r="U1001" s="1" t="s">
        <v>52</v>
      </c>
      <c r="V1001">
        <v>1.94</v>
      </c>
    </row>
    <row r="1002" spans="1:22" x14ac:dyDescent="0.3">
      <c r="A1002" s="2">
        <v>45007</v>
      </c>
      <c r="B1002">
        <v>39500</v>
      </c>
      <c r="C1002">
        <v>1176</v>
      </c>
      <c r="D1002">
        <v>3</v>
      </c>
      <c r="E1002" s="1" t="s">
        <v>22</v>
      </c>
      <c r="F1002">
        <v>2</v>
      </c>
      <c r="G1002" s="1" t="s">
        <v>44</v>
      </c>
      <c r="J1002">
        <v>39500</v>
      </c>
      <c r="K1002">
        <v>40250</v>
      </c>
      <c r="L1002">
        <v>41000</v>
      </c>
      <c r="M1002">
        <v>0</v>
      </c>
      <c r="N1002">
        <v>126.9525</v>
      </c>
      <c r="O1002">
        <v>0.175253925</v>
      </c>
      <c r="P1002">
        <v>15294</v>
      </c>
      <c r="Q1002">
        <v>26.21</v>
      </c>
      <c r="R1002">
        <v>13.86</v>
      </c>
      <c r="S1002">
        <v>86.91</v>
      </c>
      <c r="T1002">
        <v>22</v>
      </c>
      <c r="U1002" s="1" t="s">
        <v>25</v>
      </c>
      <c r="V1002">
        <v>0</v>
      </c>
    </row>
    <row r="1003" spans="1:22" x14ac:dyDescent="0.3">
      <c r="A1003" s="2">
        <v>45008</v>
      </c>
      <c r="B1003">
        <v>39500</v>
      </c>
      <c r="C1003">
        <v>1177</v>
      </c>
      <c r="D1003">
        <v>3</v>
      </c>
      <c r="E1003" s="1" t="s">
        <v>22</v>
      </c>
      <c r="F1003">
        <v>3</v>
      </c>
      <c r="G1003" s="1" t="s">
        <v>23</v>
      </c>
      <c r="J1003">
        <v>39500</v>
      </c>
      <c r="K1003">
        <v>40250</v>
      </c>
      <c r="L1003">
        <v>40400</v>
      </c>
      <c r="M1003">
        <v>0</v>
      </c>
      <c r="N1003">
        <v>126.9525</v>
      </c>
      <c r="O1003">
        <v>0.175253925</v>
      </c>
      <c r="P1003">
        <v>15251</v>
      </c>
      <c r="Q1003">
        <v>26.6</v>
      </c>
      <c r="R1003">
        <v>2.36</v>
      </c>
      <c r="S1003">
        <v>81.83</v>
      </c>
      <c r="T1003">
        <v>23</v>
      </c>
      <c r="U1003" s="1" t="s">
        <v>25</v>
      </c>
      <c r="V1003">
        <v>0</v>
      </c>
    </row>
    <row r="1004" spans="1:22" x14ac:dyDescent="0.3">
      <c r="A1004" s="2">
        <v>45009</v>
      </c>
      <c r="B1004">
        <v>40150</v>
      </c>
      <c r="C1004">
        <v>1178</v>
      </c>
      <c r="D1004">
        <v>3</v>
      </c>
      <c r="E1004" s="1" t="s">
        <v>22</v>
      </c>
      <c r="F1004">
        <v>4</v>
      </c>
      <c r="G1004" s="1" t="s">
        <v>23</v>
      </c>
      <c r="J1004">
        <v>39500</v>
      </c>
      <c r="K1004">
        <v>40250</v>
      </c>
      <c r="L1004">
        <v>39650</v>
      </c>
      <c r="M1004">
        <v>650</v>
      </c>
      <c r="N1004">
        <v>126.9525</v>
      </c>
      <c r="O1004">
        <v>0.175253925</v>
      </c>
      <c r="P1004">
        <v>15047</v>
      </c>
      <c r="Q1004">
        <v>26.92</v>
      </c>
      <c r="R1004">
        <v>6.72</v>
      </c>
      <c r="S1004">
        <v>85.73</v>
      </c>
      <c r="T1004">
        <v>24</v>
      </c>
      <c r="U1004" s="1" t="s">
        <v>73</v>
      </c>
      <c r="V1004">
        <v>1.65</v>
      </c>
    </row>
    <row r="1005" spans="1:22" x14ac:dyDescent="0.3">
      <c r="A1005" s="2">
        <v>45012</v>
      </c>
      <c r="B1005">
        <v>39650</v>
      </c>
      <c r="C1005">
        <v>1181</v>
      </c>
      <c r="D1005">
        <v>3</v>
      </c>
      <c r="E1005" s="1" t="s">
        <v>22</v>
      </c>
      <c r="F1005">
        <v>0</v>
      </c>
      <c r="G1005" s="1" t="s">
        <v>23</v>
      </c>
      <c r="K1005">
        <v>38750</v>
      </c>
      <c r="N1005">
        <v>126.9525</v>
      </c>
      <c r="O1005">
        <v>0.175253925</v>
      </c>
      <c r="P1005">
        <v>15148</v>
      </c>
      <c r="Q1005">
        <v>26.65</v>
      </c>
      <c r="R1005">
        <v>5.19</v>
      </c>
      <c r="S1005">
        <v>81.510000000000005</v>
      </c>
      <c r="T1005">
        <v>27</v>
      </c>
      <c r="U1005" s="1"/>
      <c r="V1005">
        <v>0</v>
      </c>
    </row>
    <row r="1006" spans="1:22" x14ac:dyDescent="0.3">
      <c r="A1006" s="2">
        <v>45013</v>
      </c>
      <c r="B1006">
        <v>39650</v>
      </c>
      <c r="C1006">
        <v>1182</v>
      </c>
      <c r="D1006">
        <v>3</v>
      </c>
      <c r="E1006" s="1" t="s">
        <v>22</v>
      </c>
      <c r="F1006">
        <v>1</v>
      </c>
      <c r="G1006" s="1" t="s">
        <v>23</v>
      </c>
      <c r="J1006">
        <v>39650</v>
      </c>
      <c r="K1006">
        <v>39500</v>
      </c>
      <c r="M1006">
        <v>0</v>
      </c>
      <c r="N1006">
        <v>126.9525</v>
      </c>
      <c r="O1006">
        <v>0.175253925</v>
      </c>
      <c r="P1006">
        <v>15107.5</v>
      </c>
      <c r="Q1006">
        <v>26.8</v>
      </c>
      <c r="R1006">
        <v>2.25</v>
      </c>
      <c r="S1006">
        <v>79.760000000000005</v>
      </c>
      <c r="T1006">
        <v>28</v>
      </c>
      <c r="U1006" s="1" t="s">
        <v>25</v>
      </c>
      <c r="V1006">
        <v>0</v>
      </c>
    </row>
    <row r="1007" spans="1:22" x14ac:dyDescent="0.3">
      <c r="A1007" s="2">
        <v>45014</v>
      </c>
      <c r="B1007">
        <v>39650</v>
      </c>
      <c r="C1007">
        <v>1183</v>
      </c>
      <c r="D1007">
        <v>3</v>
      </c>
      <c r="E1007" s="1" t="s">
        <v>22</v>
      </c>
      <c r="F1007">
        <v>2</v>
      </c>
      <c r="G1007" s="1" t="s">
        <v>23</v>
      </c>
      <c r="J1007">
        <v>39650</v>
      </c>
      <c r="K1007">
        <v>39500</v>
      </c>
      <c r="L1007">
        <v>39900</v>
      </c>
      <c r="M1007">
        <v>0</v>
      </c>
      <c r="N1007">
        <v>126.9525</v>
      </c>
      <c r="O1007">
        <v>0.175253925</v>
      </c>
      <c r="P1007">
        <v>15061</v>
      </c>
      <c r="Q1007">
        <v>26.42</v>
      </c>
      <c r="R1007">
        <v>10.92</v>
      </c>
      <c r="S1007">
        <v>84.26</v>
      </c>
      <c r="T1007">
        <v>29</v>
      </c>
      <c r="U1007" s="1" t="s">
        <v>25</v>
      </c>
      <c r="V1007">
        <v>0</v>
      </c>
    </row>
    <row r="1008" spans="1:22" x14ac:dyDescent="0.3">
      <c r="A1008" s="2">
        <v>45015</v>
      </c>
      <c r="B1008">
        <v>39650</v>
      </c>
      <c r="C1008">
        <v>1184</v>
      </c>
      <c r="D1008">
        <v>3</v>
      </c>
      <c r="E1008" s="1" t="s">
        <v>22</v>
      </c>
      <c r="F1008">
        <v>3</v>
      </c>
      <c r="G1008" s="1" t="s">
        <v>23</v>
      </c>
      <c r="J1008">
        <v>39650</v>
      </c>
      <c r="K1008">
        <v>39500</v>
      </c>
      <c r="L1008">
        <v>39900</v>
      </c>
      <c r="M1008">
        <v>0</v>
      </c>
      <c r="N1008">
        <v>126.9525</v>
      </c>
      <c r="O1008">
        <v>0.175253925</v>
      </c>
      <c r="P1008">
        <v>15031.5</v>
      </c>
      <c r="Q1008">
        <v>26.78</v>
      </c>
      <c r="R1008">
        <v>6.26</v>
      </c>
      <c r="S1008">
        <v>80.03</v>
      </c>
      <c r="T1008">
        <v>30</v>
      </c>
      <c r="U1008" s="1" t="s">
        <v>25</v>
      </c>
      <c r="V1008">
        <v>0</v>
      </c>
    </row>
    <row r="1009" spans="1:22" x14ac:dyDescent="0.3">
      <c r="A1009" s="2">
        <v>45016</v>
      </c>
      <c r="B1009">
        <v>39400</v>
      </c>
      <c r="C1009">
        <v>1185</v>
      </c>
      <c r="D1009">
        <v>3</v>
      </c>
      <c r="E1009" s="1" t="s">
        <v>22</v>
      </c>
      <c r="F1009">
        <v>4</v>
      </c>
      <c r="G1009" s="1" t="s">
        <v>23</v>
      </c>
      <c r="J1009">
        <v>39650</v>
      </c>
      <c r="K1009">
        <v>40150</v>
      </c>
      <c r="L1009">
        <v>39650</v>
      </c>
      <c r="M1009">
        <v>-250</v>
      </c>
      <c r="N1009">
        <v>126.9525</v>
      </c>
      <c r="O1009">
        <v>0.175253925</v>
      </c>
      <c r="P1009">
        <v>15020</v>
      </c>
      <c r="Q1009">
        <v>27.16</v>
      </c>
      <c r="R1009">
        <v>10.46</v>
      </c>
      <c r="S1009">
        <v>82.12</v>
      </c>
      <c r="T1009">
        <v>31</v>
      </c>
      <c r="U1009" s="1" t="s">
        <v>35</v>
      </c>
      <c r="V1009">
        <v>-0.63</v>
      </c>
    </row>
    <row r="1010" spans="1:22" x14ac:dyDescent="0.3">
      <c r="A1010" s="2">
        <v>45017</v>
      </c>
      <c r="B1010">
        <v>39400</v>
      </c>
      <c r="C1010">
        <v>1186</v>
      </c>
      <c r="D1010">
        <v>4</v>
      </c>
      <c r="E1010" s="1" t="s">
        <v>43</v>
      </c>
      <c r="F1010">
        <v>5</v>
      </c>
      <c r="G1010" s="1" t="s">
        <v>23</v>
      </c>
      <c r="J1010">
        <v>39400</v>
      </c>
      <c r="L1010">
        <v>38900</v>
      </c>
      <c r="M1010">
        <v>0</v>
      </c>
      <c r="N1010">
        <v>127.37430000000001</v>
      </c>
      <c r="O1010">
        <v>0.332250251</v>
      </c>
      <c r="P1010">
        <v>15020</v>
      </c>
      <c r="Q1010">
        <v>26.54</v>
      </c>
      <c r="R1010">
        <v>10.29</v>
      </c>
      <c r="S1010">
        <v>84.76</v>
      </c>
      <c r="T1010">
        <v>1</v>
      </c>
      <c r="U1010" s="1" t="s">
        <v>35</v>
      </c>
      <c r="V1010">
        <v>-0.63</v>
      </c>
    </row>
    <row r="1011" spans="1:22" x14ac:dyDescent="0.3">
      <c r="A1011" s="2">
        <v>45018</v>
      </c>
      <c r="B1011">
        <v>39400</v>
      </c>
      <c r="C1011">
        <v>1187</v>
      </c>
      <c r="D1011">
        <v>4</v>
      </c>
      <c r="E1011" s="1" t="s">
        <v>43</v>
      </c>
      <c r="F1011">
        <v>6</v>
      </c>
      <c r="G1011" s="1" t="s">
        <v>23</v>
      </c>
      <c r="H1011">
        <v>39542.857142857145</v>
      </c>
      <c r="J1011">
        <v>39400</v>
      </c>
      <c r="L1011">
        <v>38650</v>
      </c>
      <c r="M1011">
        <v>0</v>
      </c>
      <c r="N1011">
        <v>127.37430000000001</v>
      </c>
      <c r="O1011">
        <v>0.332250251</v>
      </c>
      <c r="P1011">
        <v>15020</v>
      </c>
      <c r="Q1011">
        <v>26.18</v>
      </c>
      <c r="R1011">
        <v>12.62</v>
      </c>
      <c r="S1011">
        <v>87.45</v>
      </c>
      <c r="T1011">
        <v>2</v>
      </c>
      <c r="U1011" s="1" t="s">
        <v>35</v>
      </c>
      <c r="V1011">
        <v>-0.63</v>
      </c>
    </row>
    <row r="1012" spans="1:22" x14ac:dyDescent="0.3">
      <c r="A1012" s="2">
        <v>45019</v>
      </c>
      <c r="B1012">
        <v>39150</v>
      </c>
      <c r="C1012">
        <v>1188</v>
      </c>
      <c r="D1012">
        <v>4</v>
      </c>
      <c r="E1012" s="1" t="s">
        <v>43</v>
      </c>
      <c r="F1012">
        <v>0</v>
      </c>
      <c r="G1012" s="1" t="s">
        <v>23</v>
      </c>
      <c r="H1012">
        <v>39471.428571428572</v>
      </c>
      <c r="J1012">
        <v>39400</v>
      </c>
      <c r="K1012">
        <v>39650</v>
      </c>
      <c r="L1012">
        <v>38650</v>
      </c>
      <c r="M1012">
        <v>-250</v>
      </c>
      <c r="N1012">
        <v>127.37430000000001</v>
      </c>
      <c r="O1012">
        <v>0.332250251</v>
      </c>
      <c r="P1012">
        <v>14988</v>
      </c>
      <c r="Q1012">
        <v>26.53</v>
      </c>
      <c r="R1012">
        <v>3.48</v>
      </c>
      <c r="S1012">
        <v>85.49</v>
      </c>
      <c r="T1012">
        <v>3</v>
      </c>
      <c r="U1012" s="1"/>
      <c r="V1012">
        <v>0</v>
      </c>
    </row>
    <row r="1013" spans="1:22" x14ac:dyDescent="0.3">
      <c r="A1013" s="2">
        <v>45020</v>
      </c>
      <c r="B1013">
        <v>39150</v>
      </c>
      <c r="C1013">
        <v>1189</v>
      </c>
      <c r="D1013">
        <v>4</v>
      </c>
      <c r="E1013" s="1" t="s">
        <v>43</v>
      </c>
      <c r="F1013">
        <v>1</v>
      </c>
      <c r="G1013" s="1" t="s">
        <v>23</v>
      </c>
      <c r="H1013">
        <v>39400</v>
      </c>
      <c r="J1013">
        <v>39150</v>
      </c>
      <c r="K1013">
        <v>39650</v>
      </c>
      <c r="L1013">
        <v>38650</v>
      </c>
      <c r="M1013">
        <v>0</v>
      </c>
      <c r="N1013">
        <v>127.37430000000001</v>
      </c>
      <c r="O1013">
        <v>0.332250251</v>
      </c>
      <c r="P1013">
        <v>14915</v>
      </c>
      <c r="Q1013">
        <v>26.11</v>
      </c>
      <c r="R1013">
        <v>29.29</v>
      </c>
      <c r="S1013">
        <v>86.73</v>
      </c>
      <c r="T1013">
        <v>4</v>
      </c>
      <c r="U1013" s="1" t="s">
        <v>25</v>
      </c>
      <c r="V1013">
        <v>0</v>
      </c>
    </row>
    <row r="1014" spans="1:22" x14ac:dyDescent="0.3">
      <c r="A1014" s="2">
        <v>45021</v>
      </c>
      <c r="B1014">
        <v>38650</v>
      </c>
      <c r="C1014">
        <v>1190</v>
      </c>
      <c r="D1014">
        <v>4</v>
      </c>
      <c r="E1014" s="1" t="s">
        <v>43</v>
      </c>
      <c r="F1014">
        <v>2</v>
      </c>
      <c r="G1014" s="1" t="s">
        <v>23</v>
      </c>
      <c r="H1014">
        <v>39257.142857142855</v>
      </c>
      <c r="J1014">
        <v>39150</v>
      </c>
      <c r="K1014">
        <v>39650</v>
      </c>
      <c r="L1014">
        <v>39150</v>
      </c>
      <c r="M1014">
        <v>-500</v>
      </c>
      <c r="N1014">
        <v>127.37430000000001</v>
      </c>
      <c r="O1014">
        <v>0.332250251</v>
      </c>
      <c r="P1014">
        <v>14958</v>
      </c>
      <c r="Q1014">
        <v>25.96</v>
      </c>
      <c r="R1014">
        <v>11.72</v>
      </c>
      <c r="S1014">
        <v>84.06</v>
      </c>
      <c r="T1014">
        <v>5</v>
      </c>
      <c r="U1014" s="1" t="s">
        <v>24</v>
      </c>
      <c r="V1014">
        <v>-1.28</v>
      </c>
    </row>
    <row r="1015" spans="1:22" x14ac:dyDescent="0.3">
      <c r="A1015" s="2">
        <v>45022</v>
      </c>
      <c r="B1015">
        <v>38650</v>
      </c>
      <c r="C1015">
        <v>1191</v>
      </c>
      <c r="D1015">
        <v>4</v>
      </c>
      <c r="E1015" s="1" t="s">
        <v>43</v>
      </c>
      <c r="F1015">
        <v>3</v>
      </c>
      <c r="G1015" s="1" t="s">
        <v>23</v>
      </c>
      <c r="H1015">
        <v>39114.285714285717</v>
      </c>
      <c r="J1015">
        <v>38650</v>
      </c>
      <c r="K1015">
        <v>39650</v>
      </c>
      <c r="L1015">
        <v>39150</v>
      </c>
      <c r="M1015">
        <v>0</v>
      </c>
      <c r="N1015">
        <v>127.37430000000001</v>
      </c>
      <c r="O1015">
        <v>0.332250251</v>
      </c>
      <c r="P1015">
        <v>14956</v>
      </c>
      <c r="Q1015">
        <v>26.63</v>
      </c>
      <c r="R1015">
        <v>3.71</v>
      </c>
      <c r="S1015">
        <v>79.260000000000005</v>
      </c>
      <c r="T1015">
        <v>6</v>
      </c>
      <c r="U1015" s="1" t="s">
        <v>25</v>
      </c>
      <c r="V1015">
        <v>0</v>
      </c>
    </row>
    <row r="1016" spans="1:22" x14ac:dyDescent="0.3">
      <c r="A1016" s="2">
        <v>45026</v>
      </c>
      <c r="B1016">
        <v>38650</v>
      </c>
      <c r="C1016">
        <v>1195</v>
      </c>
      <c r="D1016">
        <v>4</v>
      </c>
      <c r="E1016" s="1" t="s">
        <v>43</v>
      </c>
      <c r="F1016">
        <v>0</v>
      </c>
      <c r="G1016" s="1" t="s">
        <v>44</v>
      </c>
      <c r="K1016">
        <v>39150</v>
      </c>
      <c r="L1016">
        <v>40000</v>
      </c>
      <c r="N1016">
        <v>127.37430000000001</v>
      </c>
      <c r="O1016">
        <v>0.332250251</v>
      </c>
      <c r="P1016">
        <v>14906</v>
      </c>
      <c r="Q1016">
        <v>27.22</v>
      </c>
      <c r="R1016">
        <v>2</v>
      </c>
      <c r="S1016">
        <v>82.99</v>
      </c>
      <c r="T1016">
        <v>10</v>
      </c>
      <c r="U1016" s="1"/>
      <c r="V1016">
        <v>0</v>
      </c>
    </row>
    <row r="1017" spans="1:22" x14ac:dyDescent="0.3">
      <c r="A1017" s="2">
        <v>45027</v>
      </c>
      <c r="B1017">
        <v>38000</v>
      </c>
      <c r="C1017">
        <v>1196</v>
      </c>
      <c r="D1017">
        <v>4</v>
      </c>
      <c r="E1017" s="1" t="s">
        <v>43</v>
      </c>
      <c r="F1017">
        <v>1</v>
      </c>
      <c r="G1017" s="1" t="s">
        <v>23</v>
      </c>
      <c r="J1017">
        <v>38650</v>
      </c>
      <c r="K1017">
        <v>39150</v>
      </c>
      <c r="L1017">
        <v>40000</v>
      </c>
      <c r="M1017">
        <v>-650</v>
      </c>
      <c r="N1017">
        <v>127.37430000000001</v>
      </c>
      <c r="O1017">
        <v>0.332250251</v>
      </c>
      <c r="P1017">
        <v>14955</v>
      </c>
      <c r="Q1017">
        <v>27.17</v>
      </c>
      <c r="R1017">
        <v>2.21</v>
      </c>
      <c r="S1017">
        <v>83.57</v>
      </c>
      <c r="T1017">
        <v>11</v>
      </c>
      <c r="U1017" s="1" t="s">
        <v>72</v>
      </c>
      <c r="V1017">
        <v>-1.68</v>
      </c>
    </row>
    <row r="1018" spans="1:22" x14ac:dyDescent="0.3">
      <c r="A1018" s="2">
        <v>45028</v>
      </c>
      <c r="B1018">
        <v>38000</v>
      </c>
      <c r="C1018">
        <v>1197</v>
      </c>
      <c r="D1018">
        <v>4</v>
      </c>
      <c r="E1018" s="1" t="s">
        <v>43</v>
      </c>
      <c r="F1018">
        <v>2</v>
      </c>
      <c r="G1018" s="1" t="s">
        <v>23</v>
      </c>
      <c r="J1018">
        <v>38000</v>
      </c>
      <c r="K1018">
        <v>38650</v>
      </c>
      <c r="L1018">
        <v>41250</v>
      </c>
      <c r="M1018">
        <v>0</v>
      </c>
      <c r="N1018">
        <v>127.37430000000001</v>
      </c>
      <c r="O1018">
        <v>0.332250251</v>
      </c>
      <c r="P1018">
        <v>14913</v>
      </c>
      <c r="Q1018">
        <v>27.54</v>
      </c>
      <c r="R1018">
        <v>0.98</v>
      </c>
      <c r="S1018">
        <v>81.28</v>
      </c>
      <c r="T1018">
        <v>12</v>
      </c>
      <c r="U1018" s="1" t="s">
        <v>25</v>
      </c>
      <c r="V1018">
        <v>0</v>
      </c>
    </row>
    <row r="1019" spans="1:22" x14ac:dyDescent="0.3">
      <c r="A1019" s="2">
        <v>45029</v>
      </c>
      <c r="B1019">
        <v>37400</v>
      </c>
      <c r="C1019">
        <v>1198</v>
      </c>
      <c r="D1019">
        <v>4</v>
      </c>
      <c r="E1019" s="1" t="s">
        <v>43</v>
      </c>
      <c r="F1019">
        <v>3</v>
      </c>
      <c r="G1019" s="1" t="s">
        <v>23</v>
      </c>
      <c r="J1019">
        <v>38000</v>
      </c>
      <c r="K1019">
        <v>38650</v>
      </c>
      <c r="L1019">
        <v>40500</v>
      </c>
      <c r="M1019">
        <v>-600</v>
      </c>
      <c r="N1019">
        <v>127.37430000000001</v>
      </c>
      <c r="O1019">
        <v>0.332250251</v>
      </c>
      <c r="P1019">
        <v>14823.5</v>
      </c>
      <c r="Q1019">
        <v>27.48</v>
      </c>
      <c r="R1019">
        <v>1.91</v>
      </c>
      <c r="S1019">
        <v>79.72</v>
      </c>
      <c r="T1019">
        <v>13</v>
      </c>
      <c r="U1019" s="1" t="s">
        <v>62</v>
      </c>
      <c r="V1019">
        <v>-1.58</v>
      </c>
    </row>
    <row r="1020" spans="1:22" x14ac:dyDescent="0.3">
      <c r="A1020" s="2">
        <v>45030</v>
      </c>
      <c r="B1020">
        <v>37400</v>
      </c>
      <c r="C1020">
        <v>1199</v>
      </c>
      <c r="D1020">
        <v>4</v>
      </c>
      <c r="E1020" s="1" t="s">
        <v>43</v>
      </c>
      <c r="F1020">
        <v>4</v>
      </c>
      <c r="G1020" s="1" t="s">
        <v>23</v>
      </c>
      <c r="J1020">
        <v>37400</v>
      </c>
      <c r="L1020">
        <v>40250</v>
      </c>
      <c r="M1020">
        <v>0</v>
      </c>
      <c r="N1020">
        <v>127.37430000000001</v>
      </c>
      <c r="O1020">
        <v>0.332250251</v>
      </c>
      <c r="P1020">
        <v>14720</v>
      </c>
      <c r="Q1020">
        <v>27.02</v>
      </c>
      <c r="R1020">
        <v>6.82</v>
      </c>
      <c r="S1020">
        <v>82.89</v>
      </c>
      <c r="T1020">
        <v>14</v>
      </c>
      <c r="U1020" s="1" t="s">
        <v>25</v>
      </c>
      <c r="V1020">
        <v>0</v>
      </c>
    </row>
    <row r="1021" spans="1:22" x14ac:dyDescent="0.3">
      <c r="A1021" s="2">
        <v>45031</v>
      </c>
      <c r="B1021">
        <v>37400</v>
      </c>
      <c r="C1021">
        <v>1200</v>
      </c>
      <c r="D1021">
        <v>4</v>
      </c>
      <c r="E1021" s="1" t="s">
        <v>43</v>
      </c>
      <c r="F1021">
        <v>5</v>
      </c>
      <c r="G1021" s="1" t="s">
        <v>23</v>
      </c>
      <c r="J1021">
        <v>37400</v>
      </c>
      <c r="L1021">
        <v>40250</v>
      </c>
      <c r="M1021">
        <v>0</v>
      </c>
      <c r="N1021">
        <v>127.37430000000001</v>
      </c>
      <c r="O1021">
        <v>0.332250251</v>
      </c>
      <c r="P1021">
        <v>14720</v>
      </c>
      <c r="Q1021">
        <v>27.32</v>
      </c>
      <c r="R1021">
        <v>3.98</v>
      </c>
      <c r="S1021">
        <v>81.59</v>
      </c>
      <c r="T1021">
        <v>15</v>
      </c>
      <c r="U1021" s="1" t="s">
        <v>25</v>
      </c>
      <c r="V1021">
        <v>0</v>
      </c>
    </row>
    <row r="1022" spans="1:22" x14ac:dyDescent="0.3">
      <c r="A1022" s="2">
        <v>45033</v>
      </c>
      <c r="B1022">
        <v>40250</v>
      </c>
      <c r="C1022">
        <v>1202</v>
      </c>
      <c r="D1022">
        <v>4</v>
      </c>
      <c r="E1022" s="1" t="s">
        <v>43</v>
      </c>
      <c r="F1022">
        <v>0</v>
      </c>
      <c r="G1022" s="1" t="s">
        <v>23</v>
      </c>
      <c r="K1022">
        <v>38650</v>
      </c>
      <c r="L1022">
        <v>40250</v>
      </c>
      <c r="N1022">
        <v>127.37430000000001</v>
      </c>
      <c r="O1022">
        <v>0.332250251</v>
      </c>
      <c r="P1022">
        <v>14693</v>
      </c>
      <c r="Q1022">
        <v>27.82</v>
      </c>
      <c r="R1022">
        <v>0.62</v>
      </c>
      <c r="S1022">
        <v>78.34</v>
      </c>
      <c r="T1022">
        <v>17</v>
      </c>
      <c r="U1022" s="1" t="s">
        <v>98</v>
      </c>
      <c r="V1022">
        <v>7.62</v>
      </c>
    </row>
    <row r="1023" spans="1:22" x14ac:dyDescent="0.3">
      <c r="A1023" s="2">
        <v>45034</v>
      </c>
      <c r="B1023">
        <v>40250</v>
      </c>
      <c r="C1023">
        <v>1203</v>
      </c>
      <c r="D1023">
        <v>4</v>
      </c>
      <c r="E1023" s="1" t="s">
        <v>43</v>
      </c>
      <c r="F1023">
        <v>1</v>
      </c>
      <c r="G1023" s="1" t="s">
        <v>23</v>
      </c>
      <c r="J1023">
        <v>40250</v>
      </c>
      <c r="K1023">
        <v>38000</v>
      </c>
      <c r="M1023">
        <v>0</v>
      </c>
      <c r="N1023">
        <v>127.37430000000001</v>
      </c>
      <c r="O1023">
        <v>0.332250251</v>
      </c>
      <c r="P1023">
        <v>14860</v>
      </c>
      <c r="Q1023">
        <v>27.29</v>
      </c>
      <c r="R1023">
        <v>4.67</v>
      </c>
      <c r="S1023">
        <v>81.67</v>
      </c>
      <c r="T1023">
        <v>18</v>
      </c>
      <c r="U1023" s="1" t="s">
        <v>25</v>
      </c>
      <c r="V1023">
        <v>0</v>
      </c>
    </row>
    <row r="1024" spans="1:22" x14ac:dyDescent="0.3">
      <c r="A1024" s="2">
        <v>45035</v>
      </c>
      <c r="B1024">
        <v>40250</v>
      </c>
      <c r="C1024">
        <v>1204</v>
      </c>
      <c r="D1024">
        <v>4</v>
      </c>
      <c r="E1024" s="1" t="s">
        <v>43</v>
      </c>
      <c r="F1024">
        <v>2</v>
      </c>
      <c r="G1024" s="1" t="s">
        <v>23</v>
      </c>
      <c r="J1024">
        <v>40250</v>
      </c>
      <c r="K1024">
        <v>38000</v>
      </c>
      <c r="L1024">
        <v>38750</v>
      </c>
      <c r="M1024">
        <v>0</v>
      </c>
      <c r="N1024">
        <v>127.37430000000001</v>
      </c>
      <c r="O1024">
        <v>0.332250251</v>
      </c>
      <c r="P1024">
        <v>14890</v>
      </c>
      <c r="Q1024">
        <v>28</v>
      </c>
      <c r="R1024">
        <v>1.1000000000000001</v>
      </c>
      <c r="S1024">
        <v>74.83</v>
      </c>
      <c r="T1024">
        <v>19</v>
      </c>
      <c r="U1024" s="1" t="s">
        <v>25</v>
      </c>
      <c r="V1024">
        <v>0</v>
      </c>
    </row>
    <row r="1025" spans="1:22" x14ac:dyDescent="0.3">
      <c r="A1025" s="2">
        <v>45036</v>
      </c>
      <c r="B1025">
        <v>40250</v>
      </c>
      <c r="C1025">
        <v>1205</v>
      </c>
      <c r="D1025">
        <v>4</v>
      </c>
      <c r="E1025" s="1" t="s">
        <v>43</v>
      </c>
      <c r="F1025">
        <v>3</v>
      </c>
      <c r="G1025" s="1" t="s">
        <v>23</v>
      </c>
      <c r="J1025">
        <v>40250</v>
      </c>
      <c r="K1025">
        <v>37400</v>
      </c>
      <c r="L1025">
        <v>39500</v>
      </c>
      <c r="M1025">
        <v>0</v>
      </c>
      <c r="N1025">
        <v>127.37430000000001</v>
      </c>
      <c r="O1025">
        <v>0.332250251</v>
      </c>
      <c r="P1025">
        <v>15006</v>
      </c>
      <c r="Q1025">
        <v>28.11</v>
      </c>
      <c r="R1025">
        <v>2.06</v>
      </c>
      <c r="S1025">
        <v>78.16</v>
      </c>
      <c r="T1025">
        <v>20</v>
      </c>
      <c r="U1025" s="1" t="s">
        <v>25</v>
      </c>
      <c r="V1025">
        <v>0</v>
      </c>
    </row>
    <row r="1026" spans="1:22" x14ac:dyDescent="0.3">
      <c r="A1026" s="2">
        <v>45037</v>
      </c>
      <c r="B1026">
        <v>40250</v>
      </c>
      <c r="C1026">
        <v>1206</v>
      </c>
      <c r="D1026">
        <v>4</v>
      </c>
      <c r="E1026" s="1" t="s">
        <v>43</v>
      </c>
      <c r="F1026">
        <v>4</v>
      </c>
      <c r="G1026" s="1" t="s">
        <v>23</v>
      </c>
      <c r="J1026">
        <v>40250</v>
      </c>
      <c r="K1026">
        <v>37400</v>
      </c>
      <c r="L1026">
        <v>39500</v>
      </c>
      <c r="M1026">
        <v>0</v>
      </c>
      <c r="N1026">
        <v>127.37430000000001</v>
      </c>
      <c r="O1026">
        <v>0.332250251</v>
      </c>
      <c r="P1026">
        <v>14946</v>
      </c>
      <c r="Q1026">
        <v>28.07</v>
      </c>
      <c r="R1026">
        <v>1.71</v>
      </c>
      <c r="S1026">
        <v>77.33</v>
      </c>
      <c r="T1026">
        <v>21</v>
      </c>
      <c r="U1026" s="1" t="s">
        <v>25</v>
      </c>
      <c r="V1026">
        <v>0</v>
      </c>
    </row>
    <row r="1027" spans="1:22" x14ac:dyDescent="0.3">
      <c r="A1027" s="2">
        <v>45040</v>
      </c>
      <c r="B1027">
        <v>40250</v>
      </c>
      <c r="C1027">
        <v>1209</v>
      </c>
      <c r="D1027">
        <v>4</v>
      </c>
      <c r="E1027" s="1" t="s">
        <v>43</v>
      </c>
      <c r="F1027">
        <v>0</v>
      </c>
      <c r="G1027" s="1" t="s">
        <v>23</v>
      </c>
      <c r="K1027">
        <v>40250</v>
      </c>
      <c r="N1027">
        <v>127.37430000000001</v>
      </c>
      <c r="O1027">
        <v>0.332250251</v>
      </c>
      <c r="P1027">
        <v>14838</v>
      </c>
      <c r="Q1027">
        <v>27.81</v>
      </c>
      <c r="R1027">
        <v>1.34</v>
      </c>
      <c r="S1027">
        <v>80.75</v>
      </c>
      <c r="T1027">
        <v>24</v>
      </c>
      <c r="U1027" s="1"/>
      <c r="V1027">
        <v>0</v>
      </c>
    </row>
    <row r="1028" spans="1:22" x14ac:dyDescent="0.3">
      <c r="A1028" s="2">
        <v>45041</v>
      </c>
      <c r="B1028">
        <v>40250</v>
      </c>
      <c r="C1028">
        <v>1210</v>
      </c>
      <c r="D1028">
        <v>4</v>
      </c>
      <c r="E1028" s="1" t="s">
        <v>43</v>
      </c>
      <c r="F1028">
        <v>1</v>
      </c>
      <c r="G1028" s="1" t="s">
        <v>23</v>
      </c>
      <c r="J1028">
        <v>40250</v>
      </c>
      <c r="K1028">
        <v>40250</v>
      </c>
      <c r="M1028">
        <v>0</v>
      </c>
      <c r="N1028">
        <v>127.37430000000001</v>
      </c>
      <c r="O1028">
        <v>0.332250251</v>
      </c>
      <c r="P1028">
        <v>14945</v>
      </c>
      <c r="Q1028">
        <v>28.1</v>
      </c>
      <c r="R1028">
        <v>0.18</v>
      </c>
      <c r="S1028">
        <v>78.06</v>
      </c>
      <c r="T1028">
        <v>25</v>
      </c>
      <c r="U1028" s="1" t="s">
        <v>25</v>
      </c>
      <c r="V1028">
        <v>0</v>
      </c>
    </row>
    <row r="1029" spans="1:22" x14ac:dyDescent="0.3">
      <c r="A1029" s="2">
        <v>45042</v>
      </c>
      <c r="B1029">
        <v>44400</v>
      </c>
      <c r="C1029">
        <v>1211</v>
      </c>
      <c r="D1029">
        <v>4</v>
      </c>
      <c r="E1029" s="1" t="s">
        <v>43</v>
      </c>
      <c r="F1029">
        <v>2</v>
      </c>
      <c r="G1029" s="1" t="s">
        <v>23</v>
      </c>
      <c r="J1029">
        <v>40250</v>
      </c>
      <c r="K1029">
        <v>40250</v>
      </c>
      <c r="L1029">
        <v>39650</v>
      </c>
      <c r="M1029">
        <v>4150</v>
      </c>
      <c r="N1029">
        <v>127.37430000000001</v>
      </c>
      <c r="O1029">
        <v>0.332250251</v>
      </c>
      <c r="P1029">
        <v>14935</v>
      </c>
      <c r="Q1029">
        <v>27.69</v>
      </c>
      <c r="R1029">
        <v>0.74</v>
      </c>
      <c r="S1029">
        <v>82.46</v>
      </c>
      <c r="T1029">
        <v>26</v>
      </c>
      <c r="U1029" s="1" t="s">
        <v>102</v>
      </c>
      <c r="V1029">
        <v>10.31</v>
      </c>
    </row>
    <row r="1030" spans="1:22" x14ac:dyDescent="0.3">
      <c r="A1030" s="2">
        <v>45043</v>
      </c>
      <c r="B1030">
        <v>44400</v>
      </c>
      <c r="C1030">
        <v>1212</v>
      </c>
      <c r="D1030">
        <v>4</v>
      </c>
      <c r="E1030" s="1" t="s">
        <v>43</v>
      </c>
      <c r="F1030">
        <v>3</v>
      </c>
      <c r="G1030" s="1" t="s">
        <v>23</v>
      </c>
      <c r="J1030">
        <v>44400</v>
      </c>
      <c r="K1030">
        <v>40250</v>
      </c>
      <c r="L1030">
        <v>39650</v>
      </c>
      <c r="M1030">
        <v>0</v>
      </c>
      <c r="N1030">
        <v>127.37430000000001</v>
      </c>
      <c r="O1030">
        <v>0.332250251</v>
      </c>
      <c r="P1030">
        <v>14841.5</v>
      </c>
      <c r="Q1030">
        <v>27.84</v>
      </c>
      <c r="R1030">
        <v>1.31</v>
      </c>
      <c r="S1030">
        <v>82.32</v>
      </c>
      <c r="T1030">
        <v>27</v>
      </c>
      <c r="U1030" s="1" t="s">
        <v>25</v>
      </c>
      <c r="V1030">
        <v>0</v>
      </c>
    </row>
    <row r="1031" spans="1:22" x14ac:dyDescent="0.3">
      <c r="A1031" s="2">
        <v>45044</v>
      </c>
      <c r="B1031">
        <v>46400</v>
      </c>
      <c r="C1031">
        <v>1213</v>
      </c>
      <c r="D1031">
        <v>4</v>
      </c>
      <c r="E1031" s="1" t="s">
        <v>43</v>
      </c>
      <c r="F1031">
        <v>4</v>
      </c>
      <c r="G1031" s="1" t="s">
        <v>23</v>
      </c>
      <c r="J1031">
        <v>44400</v>
      </c>
      <c r="K1031">
        <v>40250</v>
      </c>
      <c r="L1031">
        <v>39650</v>
      </c>
      <c r="M1031">
        <v>2000</v>
      </c>
      <c r="N1031">
        <v>127.37430000000001</v>
      </c>
      <c r="O1031">
        <v>0.332250251</v>
      </c>
      <c r="P1031">
        <v>14684</v>
      </c>
      <c r="Q1031">
        <v>27.64</v>
      </c>
      <c r="R1031">
        <v>7.82</v>
      </c>
      <c r="S1031">
        <v>83.42</v>
      </c>
      <c r="T1031">
        <v>28</v>
      </c>
      <c r="U1031" s="1" t="s">
        <v>47</v>
      </c>
      <c r="V1031">
        <v>4.5</v>
      </c>
    </row>
    <row r="1032" spans="1:22" x14ac:dyDescent="0.3">
      <c r="A1032" s="2">
        <v>45045</v>
      </c>
      <c r="B1032">
        <v>46400</v>
      </c>
      <c r="C1032">
        <v>1214</v>
      </c>
      <c r="D1032">
        <v>4</v>
      </c>
      <c r="E1032" s="1" t="s">
        <v>43</v>
      </c>
      <c r="F1032">
        <v>5</v>
      </c>
      <c r="G1032" s="1" t="s">
        <v>23</v>
      </c>
      <c r="J1032">
        <v>46400</v>
      </c>
      <c r="L1032">
        <v>39650</v>
      </c>
      <c r="M1032">
        <v>0</v>
      </c>
      <c r="N1032">
        <v>127.37430000000001</v>
      </c>
      <c r="O1032">
        <v>0.332250251</v>
      </c>
      <c r="P1032">
        <v>14684</v>
      </c>
      <c r="Q1032">
        <v>27.8</v>
      </c>
      <c r="R1032">
        <v>9.84</v>
      </c>
      <c r="S1032">
        <v>81.64</v>
      </c>
      <c r="T1032">
        <v>29</v>
      </c>
      <c r="U1032" s="1" t="s">
        <v>47</v>
      </c>
      <c r="V1032">
        <v>4.5</v>
      </c>
    </row>
    <row r="1033" spans="1:22" x14ac:dyDescent="0.3">
      <c r="A1033" s="2">
        <v>45046</v>
      </c>
      <c r="B1033">
        <v>46400</v>
      </c>
      <c r="C1033">
        <v>1215</v>
      </c>
      <c r="D1033">
        <v>4</v>
      </c>
      <c r="E1033" s="1" t="s">
        <v>43</v>
      </c>
      <c r="F1033">
        <v>6</v>
      </c>
      <c r="G1033" s="1" t="s">
        <v>23</v>
      </c>
      <c r="H1033">
        <v>44071.428571428572</v>
      </c>
      <c r="J1033">
        <v>46400</v>
      </c>
      <c r="L1033">
        <v>39400</v>
      </c>
      <c r="M1033">
        <v>0</v>
      </c>
      <c r="N1033">
        <v>127.37430000000001</v>
      </c>
      <c r="O1033">
        <v>0.332250251</v>
      </c>
      <c r="P1033">
        <v>14684</v>
      </c>
      <c r="Q1033">
        <v>27.35</v>
      </c>
      <c r="R1033">
        <v>12.05</v>
      </c>
      <c r="S1033">
        <v>80.31</v>
      </c>
      <c r="T1033">
        <v>30</v>
      </c>
      <c r="U1033" s="1" t="s">
        <v>47</v>
      </c>
      <c r="V1033">
        <v>4.5</v>
      </c>
    </row>
    <row r="1034" spans="1:22" x14ac:dyDescent="0.3">
      <c r="A1034" s="2">
        <v>45047</v>
      </c>
      <c r="B1034">
        <v>46400</v>
      </c>
      <c r="C1034">
        <v>1216</v>
      </c>
      <c r="D1034">
        <v>5</v>
      </c>
      <c r="E1034" s="1" t="s">
        <v>43</v>
      </c>
      <c r="F1034">
        <v>0</v>
      </c>
      <c r="G1034" s="1" t="s">
        <v>44</v>
      </c>
      <c r="H1034">
        <v>44950</v>
      </c>
      <c r="J1034">
        <v>46400</v>
      </c>
      <c r="K1034">
        <v>40250</v>
      </c>
      <c r="L1034">
        <v>39400</v>
      </c>
      <c r="M1034">
        <v>0</v>
      </c>
      <c r="N1034">
        <v>127.4853</v>
      </c>
      <c r="O1034">
        <v>8.7144737999999999E-2</v>
      </c>
      <c r="P1034">
        <v>14663</v>
      </c>
      <c r="Q1034">
        <v>26.98</v>
      </c>
      <c r="R1034">
        <v>5.81</v>
      </c>
      <c r="S1034">
        <v>82.23</v>
      </c>
      <c r="T1034">
        <v>1</v>
      </c>
      <c r="U1034" s="1" t="s">
        <v>25</v>
      </c>
      <c r="V1034">
        <v>0</v>
      </c>
    </row>
    <row r="1035" spans="1:22" x14ac:dyDescent="0.3">
      <c r="A1035" s="2">
        <v>45048</v>
      </c>
      <c r="B1035">
        <v>43400</v>
      </c>
      <c r="C1035">
        <v>1217</v>
      </c>
      <c r="D1035">
        <v>5</v>
      </c>
      <c r="E1035" s="1" t="s">
        <v>43</v>
      </c>
      <c r="F1035">
        <v>1</v>
      </c>
      <c r="G1035" s="1" t="s">
        <v>23</v>
      </c>
      <c r="H1035">
        <v>45400</v>
      </c>
      <c r="J1035">
        <v>46400</v>
      </c>
      <c r="K1035">
        <v>40250</v>
      </c>
      <c r="L1035">
        <v>39400</v>
      </c>
      <c r="M1035">
        <v>-3000</v>
      </c>
      <c r="N1035">
        <v>127.4853</v>
      </c>
      <c r="O1035">
        <v>8.7144737999999999E-2</v>
      </c>
      <c r="P1035">
        <v>14671.5</v>
      </c>
      <c r="Q1035">
        <v>28.06</v>
      </c>
      <c r="R1035">
        <v>3.11</v>
      </c>
      <c r="S1035">
        <v>78.86</v>
      </c>
      <c r="T1035">
        <v>2</v>
      </c>
      <c r="U1035" s="1" t="s">
        <v>50</v>
      </c>
      <c r="V1035">
        <v>-6.47</v>
      </c>
    </row>
    <row r="1036" spans="1:22" x14ac:dyDescent="0.3">
      <c r="A1036" s="2">
        <v>45049</v>
      </c>
      <c r="B1036">
        <v>46400</v>
      </c>
      <c r="C1036">
        <v>1218</v>
      </c>
      <c r="D1036">
        <v>5</v>
      </c>
      <c r="E1036" s="1" t="s">
        <v>43</v>
      </c>
      <c r="F1036">
        <v>2</v>
      </c>
      <c r="G1036" s="1" t="s">
        <v>23</v>
      </c>
      <c r="H1036">
        <v>45685.714285714283</v>
      </c>
      <c r="J1036">
        <v>43400</v>
      </c>
      <c r="K1036">
        <v>44400</v>
      </c>
      <c r="L1036">
        <v>39150</v>
      </c>
      <c r="M1036">
        <v>3000</v>
      </c>
      <c r="N1036">
        <v>127.4853</v>
      </c>
      <c r="O1036">
        <v>8.7144737999999999E-2</v>
      </c>
      <c r="P1036">
        <v>14752.5</v>
      </c>
      <c r="Q1036">
        <v>27.87</v>
      </c>
      <c r="R1036">
        <v>7.87</v>
      </c>
      <c r="S1036">
        <v>83.07</v>
      </c>
      <c r="T1036">
        <v>3</v>
      </c>
      <c r="U1036" s="1" t="s">
        <v>27</v>
      </c>
      <c r="V1036">
        <v>6.91</v>
      </c>
    </row>
    <row r="1037" spans="1:22" x14ac:dyDescent="0.3">
      <c r="A1037" s="2">
        <v>45050</v>
      </c>
      <c r="B1037">
        <v>43650</v>
      </c>
      <c r="C1037">
        <v>1219</v>
      </c>
      <c r="D1037">
        <v>5</v>
      </c>
      <c r="E1037" s="1" t="s">
        <v>43</v>
      </c>
      <c r="F1037">
        <v>3</v>
      </c>
      <c r="G1037" s="1" t="s">
        <v>23</v>
      </c>
      <c r="H1037">
        <v>45578.571428571428</v>
      </c>
      <c r="J1037">
        <v>46400</v>
      </c>
      <c r="K1037">
        <v>44400</v>
      </c>
      <c r="L1037">
        <v>39150</v>
      </c>
      <c r="M1037">
        <v>-2750</v>
      </c>
      <c r="N1037">
        <v>127.4853</v>
      </c>
      <c r="O1037">
        <v>8.7144737999999999E-2</v>
      </c>
      <c r="P1037">
        <v>14680.5</v>
      </c>
      <c r="Q1037">
        <v>27.66</v>
      </c>
      <c r="R1037">
        <v>4.18</v>
      </c>
      <c r="S1037">
        <v>82.16</v>
      </c>
      <c r="T1037">
        <v>4</v>
      </c>
      <c r="U1037" s="1" t="s">
        <v>103</v>
      </c>
      <c r="V1037">
        <v>-5.93</v>
      </c>
    </row>
    <row r="1038" spans="1:22" x14ac:dyDescent="0.3">
      <c r="A1038" s="2">
        <v>45051</v>
      </c>
      <c r="B1038">
        <v>43000</v>
      </c>
      <c r="C1038">
        <v>1220</v>
      </c>
      <c r="D1038">
        <v>5</v>
      </c>
      <c r="E1038" s="1" t="s">
        <v>43</v>
      </c>
      <c r="F1038">
        <v>4</v>
      </c>
      <c r="G1038" s="1" t="s">
        <v>23</v>
      </c>
      <c r="H1038">
        <v>45092.857142857145</v>
      </c>
      <c r="J1038">
        <v>43650</v>
      </c>
      <c r="K1038">
        <v>46400</v>
      </c>
      <c r="L1038">
        <v>38650</v>
      </c>
      <c r="M1038">
        <v>-650</v>
      </c>
      <c r="N1038">
        <v>127.4853</v>
      </c>
      <c r="O1038">
        <v>8.7144737999999999E-2</v>
      </c>
      <c r="P1038">
        <v>14700</v>
      </c>
      <c r="Q1038">
        <v>27.9</v>
      </c>
      <c r="R1038">
        <v>9.23</v>
      </c>
      <c r="S1038">
        <v>80.17</v>
      </c>
      <c r="T1038">
        <v>5</v>
      </c>
      <c r="U1038" s="1" t="s">
        <v>72</v>
      </c>
      <c r="V1038">
        <v>-1.49</v>
      </c>
    </row>
    <row r="1039" spans="1:22" x14ac:dyDescent="0.3">
      <c r="A1039" s="2">
        <v>45052</v>
      </c>
      <c r="B1039">
        <v>43000</v>
      </c>
      <c r="C1039">
        <v>1221</v>
      </c>
      <c r="D1039">
        <v>5</v>
      </c>
      <c r="E1039" s="1" t="s">
        <v>43</v>
      </c>
      <c r="F1039">
        <v>5</v>
      </c>
      <c r="G1039" s="1" t="s">
        <v>23</v>
      </c>
      <c r="H1039">
        <v>44607.142857142855</v>
      </c>
      <c r="J1039">
        <v>43000</v>
      </c>
      <c r="K1039">
        <v>46400</v>
      </c>
      <c r="L1039">
        <v>38650</v>
      </c>
      <c r="M1039">
        <v>0</v>
      </c>
      <c r="N1039">
        <v>127.4853</v>
      </c>
      <c r="O1039">
        <v>8.7144737999999999E-2</v>
      </c>
      <c r="P1039">
        <v>14700</v>
      </c>
      <c r="Q1039">
        <v>28</v>
      </c>
      <c r="R1039">
        <v>12.88</v>
      </c>
      <c r="S1039">
        <v>80.900000000000006</v>
      </c>
      <c r="T1039">
        <v>6</v>
      </c>
      <c r="U1039" s="1" t="s">
        <v>72</v>
      </c>
      <c r="V1039">
        <v>-1.49</v>
      </c>
    </row>
    <row r="1040" spans="1:22" x14ac:dyDescent="0.3">
      <c r="A1040" s="2">
        <v>45053</v>
      </c>
      <c r="B1040">
        <v>43000</v>
      </c>
      <c r="C1040">
        <v>1222</v>
      </c>
      <c r="D1040">
        <v>5</v>
      </c>
      <c r="E1040" s="1" t="s">
        <v>43</v>
      </c>
      <c r="F1040">
        <v>6</v>
      </c>
      <c r="G1040" s="1" t="s">
        <v>23</v>
      </c>
      <c r="H1040">
        <v>44121.428571428572</v>
      </c>
      <c r="J1040">
        <v>43000</v>
      </c>
      <c r="K1040">
        <v>46400</v>
      </c>
      <c r="M1040">
        <v>0</v>
      </c>
      <c r="N1040">
        <v>127.4853</v>
      </c>
      <c r="O1040">
        <v>8.7144737999999999E-2</v>
      </c>
      <c r="P1040">
        <v>14700</v>
      </c>
      <c r="Q1040">
        <v>28.01</v>
      </c>
      <c r="R1040">
        <v>4.66</v>
      </c>
      <c r="S1040">
        <v>79.31</v>
      </c>
      <c r="T1040">
        <v>7</v>
      </c>
      <c r="U1040" s="1" t="s">
        <v>72</v>
      </c>
      <c r="V1040">
        <v>-1.49</v>
      </c>
    </row>
    <row r="1041" spans="1:22" x14ac:dyDescent="0.3">
      <c r="A1041" s="2">
        <v>45054</v>
      </c>
      <c r="B1041">
        <v>46400</v>
      </c>
      <c r="C1041">
        <v>1223</v>
      </c>
      <c r="D1041">
        <v>5</v>
      </c>
      <c r="E1041" s="1" t="s">
        <v>43</v>
      </c>
      <c r="F1041">
        <v>0</v>
      </c>
      <c r="G1041" s="1" t="s">
        <v>23</v>
      </c>
      <c r="H1041">
        <v>44121.428571428572</v>
      </c>
      <c r="J1041">
        <v>43000</v>
      </c>
      <c r="K1041">
        <v>46400</v>
      </c>
      <c r="M1041">
        <v>3400</v>
      </c>
      <c r="N1041">
        <v>127.4853</v>
      </c>
      <c r="O1041">
        <v>8.7144737999999999E-2</v>
      </c>
      <c r="P1041">
        <v>14668</v>
      </c>
      <c r="Q1041">
        <v>27.88</v>
      </c>
      <c r="R1041">
        <v>5.66</v>
      </c>
      <c r="S1041">
        <v>80.66</v>
      </c>
      <c r="T1041">
        <v>8</v>
      </c>
      <c r="U1041" s="1"/>
      <c r="V1041">
        <v>0</v>
      </c>
    </row>
    <row r="1042" spans="1:22" x14ac:dyDescent="0.3">
      <c r="A1042" s="2">
        <v>45055</v>
      </c>
      <c r="B1042">
        <v>47150</v>
      </c>
      <c r="C1042">
        <v>1224</v>
      </c>
      <c r="D1042">
        <v>5</v>
      </c>
      <c r="E1042" s="1" t="s">
        <v>43</v>
      </c>
      <c r="F1042">
        <v>1</v>
      </c>
      <c r="G1042" s="1" t="s">
        <v>23</v>
      </c>
      <c r="H1042">
        <v>44657.142857142855</v>
      </c>
      <c r="J1042">
        <v>46400</v>
      </c>
      <c r="K1042">
        <v>43400</v>
      </c>
      <c r="M1042">
        <v>750</v>
      </c>
      <c r="N1042">
        <v>127.4853</v>
      </c>
      <c r="O1042">
        <v>8.7144737999999999E-2</v>
      </c>
      <c r="P1042">
        <v>14750</v>
      </c>
      <c r="Q1042">
        <v>27.47</v>
      </c>
      <c r="R1042">
        <v>2.2999999999999998</v>
      </c>
      <c r="S1042">
        <v>84.13</v>
      </c>
      <c r="T1042">
        <v>9</v>
      </c>
      <c r="U1042" s="1" t="s">
        <v>52</v>
      </c>
      <c r="V1042">
        <v>1.62</v>
      </c>
    </row>
    <row r="1043" spans="1:22" x14ac:dyDescent="0.3">
      <c r="A1043" s="2">
        <v>45056</v>
      </c>
      <c r="B1043">
        <v>47750</v>
      </c>
      <c r="C1043">
        <v>1225</v>
      </c>
      <c r="D1043">
        <v>5</v>
      </c>
      <c r="E1043" s="1" t="s">
        <v>43</v>
      </c>
      <c r="F1043">
        <v>2</v>
      </c>
      <c r="G1043" s="1" t="s">
        <v>23</v>
      </c>
      <c r="H1043">
        <v>44850</v>
      </c>
      <c r="J1043">
        <v>47150</v>
      </c>
      <c r="K1043">
        <v>46400</v>
      </c>
      <c r="L1043">
        <v>38650</v>
      </c>
      <c r="M1043">
        <v>600</v>
      </c>
      <c r="N1043">
        <v>127.4853</v>
      </c>
      <c r="O1043">
        <v>8.7144737999999999E-2</v>
      </c>
      <c r="P1043">
        <v>14767</v>
      </c>
      <c r="Q1043">
        <v>27.7</v>
      </c>
      <c r="R1043">
        <v>2.0099999999999998</v>
      </c>
      <c r="S1043">
        <v>82.01</v>
      </c>
      <c r="T1043">
        <v>10</v>
      </c>
      <c r="U1043" s="1" t="s">
        <v>64</v>
      </c>
      <c r="V1043">
        <v>1.27</v>
      </c>
    </row>
    <row r="1044" spans="1:22" x14ac:dyDescent="0.3">
      <c r="A1044" s="2">
        <v>45057</v>
      </c>
      <c r="B1044">
        <v>45900</v>
      </c>
      <c r="C1044">
        <v>1226</v>
      </c>
      <c r="D1044">
        <v>5</v>
      </c>
      <c r="E1044" s="1" t="s">
        <v>43</v>
      </c>
      <c r="F1044">
        <v>3</v>
      </c>
      <c r="G1044" s="1" t="s">
        <v>23</v>
      </c>
      <c r="H1044">
        <v>45171.428571428572</v>
      </c>
      <c r="J1044">
        <v>47750</v>
      </c>
      <c r="K1044">
        <v>43650</v>
      </c>
      <c r="L1044">
        <v>38000</v>
      </c>
      <c r="M1044">
        <v>-1850</v>
      </c>
      <c r="N1044">
        <v>127.4853</v>
      </c>
      <c r="O1044">
        <v>8.7144737999999999E-2</v>
      </c>
      <c r="P1044">
        <v>14691</v>
      </c>
      <c r="Q1044">
        <v>28.47</v>
      </c>
      <c r="R1044">
        <v>2.56</v>
      </c>
      <c r="S1044">
        <v>78.64</v>
      </c>
      <c r="T1044">
        <v>11</v>
      </c>
      <c r="U1044" s="1" t="s">
        <v>104</v>
      </c>
      <c r="V1044">
        <v>-3.87</v>
      </c>
    </row>
    <row r="1045" spans="1:22" x14ac:dyDescent="0.3">
      <c r="A1045" s="2">
        <v>45058</v>
      </c>
      <c r="B1045">
        <v>45900</v>
      </c>
      <c r="C1045">
        <v>1227</v>
      </c>
      <c r="D1045">
        <v>5</v>
      </c>
      <c r="E1045" s="1" t="s">
        <v>43</v>
      </c>
      <c r="F1045">
        <v>4</v>
      </c>
      <c r="G1045" s="1" t="s">
        <v>23</v>
      </c>
      <c r="H1045">
        <v>45585.714285714283</v>
      </c>
      <c r="J1045">
        <v>45900</v>
      </c>
      <c r="K1045">
        <v>43000</v>
      </c>
      <c r="L1045">
        <v>38000</v>
      </c>
      <c r="M1045">
        <v>0</v>
      </c>
      <c r="N1045">
        <v>127.4853</v>
      </c>
      <c r="O1045">
        <v>8.7144737999999999E-2</v>
      </c>
      <c r="P1045">
        <v>14770.5</v>
      </c>
      <c r="Q1045">
        <v>28.39</v>
      </c>
      <c r="R1045">
        <v>1.83</v>
      </c>
      <c r="S1045">
        <v>80.97</v>
      </c>
      <c r="T1045">
        <v>12</v>
      </c>
      <c r="U1045" s="1" t="s">
        <v>25</v>
      </c>
      <c r="V1045">
        <v>0</v>
      </c>
    </row>
    <row r="1046" spans="1:22" x14ac:dyDescent="0.3">
      <c r="A1046" s="2">
        <v>45059</v>
      </c>
      <c r="B1046">
        <v>45900</v>
      </c>
      <c r="C1046">
        <v>1228</v>
      </c>
      <c r="D1046">
        <v>5</v>
      </c>
      <c r="E1046" s="1" t="s">
        <v>43</v>
      </c>
      <c r="F1046">
        <v>5</v>
      </c>
      <c r="G1046" s="1" t="s">
        <v>23</v>
      </c>
      <c r="H1046">
        <v>46000</v>
      </c>
      <c r="J1046">
        <v>45900</v>
      </c>
      <c r="K1046">
        <v>43000</v>
      </c>
      <c r="L1046">
        <v>37400</v>
      </c>
      <c r="M1046">
        <v>0</v>
      </c>
      <c r="N1046">
        <v>127.4853</v>
      </c>
      <c r="O1046">
        <v>8.7144737999999999E-2</v>
      </c>
      <c r="P1046">
        <v>14770.5</v>
      </c>
      <c r="Q1046">
        <v>28.12</v>
      </c>
      <c r="R1046">
        <v>1.71</v>
      </c>
      <c r="S1046">
        <v>80.45</v>
      </c>
      <c r="T1046">
        <v>13</v>
      </c>
      <c r="U1046" s="1" t="s">
        <v>25</v>
      </c>
      <c r="V1046">
        <v>0</v>
      </c>
    </row>
    <row r="1047" spans="1:22" x14ac:dyDescent="0.3">
      <c r="A1047" s="2">
        <v>45060</v>
      </c>
      <c r="B1047">
        <v>45900</v>
      </c>
      <c r="C1047">
        <v>1229</v>
      </c>
      <c r="D1047">
        <v>5</v>
      </c>
      <c r="E1047" s="1" t="s">
        <v>43</v>
      </c>
      <c r="F1047">
        <v>6</v>
      </c>
      <c r="G1047" s="1" t="s">
        <v>23</v>
      </c>
      <c r="H1047">
        <v>46414.285714285717</v>
      </c>
      <c r="J1047">
        <v>45900</v>
      </c>
      <c r="K1047">
        <v>43000</v>
      </c>
      <c r="L1047">
        <v>37400</v>
      </c>
      <c r="M1047">
        <v>0</v>
      </c>
      <c r="N1047">
        <v>127.4853</v>
      </c>
      <c r="O1047">
        <v>8.7144737999999999E-2</v>
      </c>
      <c r="P1047">
        <v>14770.5</v>
      </c>
      <c r="Q1047">
        <v>28.12</v>
      </c>
      <c r="R1047">
        <v>3.75</v>
      </c>
      <c r="S1047">
        <v>81.38</v>
      </c>
      <c r="T1047">
        <v>14</v>
      </c>
      <c r="U1047" s="1" t="s">
        <v>25</v>
      </c>
      <c r="V1047">
        <v>0</v>
      </c>
    </row>
    <row r="1048" spans="1:22" x14ac:dyDescent="0.3">
      <c r="A1048" s="2">
        <v>45061</v>
      </c>
      <c r="B1048">
        <v>47150</v>
      </c>
      <c r="C1048">
        <v>1230</v>
      </c>
      <c r="D1048">
        <v>5</v>
      </c>
      <c r="E1048" s="1" t="s">
        <v>43</v>
      </c>
      <c r="F1048">
        <v>0</v>
      </c>
      <c r="G1048" s="1" t="s">
        <v>23</v>
      </c>
      <c r="H1048">
        <v>46521.428571428572</v>
      </c>
      <c r="J1048">
        <v>45900</v>
      </c>
      <c r="K1048">
        <v>46400</v>
      </c>
      <c r="L1048">
        <v>37400</v>
      </c>
      <c r="M1048">
        <v>1250</v>
      </c>
      <c r="N1048">
        <v>127.4853</v>
      </c>
      <c r="O1048">
        <v>8.7144737999999999E-2</v>
      </c>
      <c r="P1048">
        <v>14743</v>
      </c>
      <c r="Q1048">
        <v>28.21</v>
      </c>
      <c r="R1048">
        <v>4.92</v>
      </c>
      <c r="S1048">
        <v>81.489999999999995</v>
      </c>
      <c r="T1048">
        <v>15</v>
      </c>
      <c r="U1048" s="1" t="s">
        <v>36</v>
      </c>
      <c r="V1048">
        <v>2.72</v>
      </c>
    </row>
    <row r="1049" spans="1:22" x14ac:dyDescent="0.3">
      <c r="A1049" s="2">
        <v>45062</v>
      </c>
      <c r="B1049">
        <v>47150</v>
      </c>
      <c r="C1049">
        <v>1231</v>
      </c>
      <c r="D1049">
        <v>5</v>
      </c>
      <c r="E1049" s="1" t="s">
        <v>43</v>
      </c>
      <c r="F1049">
        <v>1</v>
      </c>
      <c r="G1049" s="1" t="s">
        <v>23</v>
      </c>
      <c r="H1049">
        <v>46521.428571428572</v>
      </c>
      <c r="J1049">
        <v>47150</v>
      </c>
      <c r="K1049">
        <v>47150</v>
      </c>
      <c r="M1049">
        <v>0</v>
      </c>
      <c r="N1049">
        <v>127.4853</v>
      </c>
      <c r="O1049">
        <v>8.7144737999999999E-2</v>
      </c>
      <c r="P1049">
        <v>14795</v>
      </c>
      <c r="Q1049">
        <v>27.28</v>
      </c>
      <c r="R1049">
        <v>21.4</v>
      </c>
      <c r="S1049">
        <v>84.82</v>
      </c>
      <c r="T1049">
        <v>16</v>
      </c>
      <c r="U1049" s="1" t="s">
        <v>25</v>
      </c>
      <c r="V1049">
        <v>0</v>
      </c>
    </row>
    <row r="1050" spans="1:22" x14ac:dyDescent="0.3">
      <c r="A1050" s="2">
        <v>45063</v>
      </c>
      <c r="B1050">
        <v>47150</v>
      </c>
      <c r="C1050">
        <v>1232</v>
      </c>
      <c r="D1050">
        <v>5</v>
      </c>
      <c r="E1050" s="1" t="s">
        <v>43</v>
      </c>
      <c r="F1050">
        <v>2</v>
      </c>
      <c r="G1050" s="1" t="s">
        <v>23</v>
      </c>
      <c r="H1050">
        <v>46435.714285714283</v>
      </c>
      <c r="J1050">
        <v>47150</v>
      </c>
      <c r="K1050">
        <v>47750</v>
      </c>
      <c r="L1050">
        <v>40250</v>
      </c>
      <c r="M1050">
        <v>0</v>
      </c>
      <c r="N1050">
        <v>127.4853</v>
      </c>
      <c r="O1050">
        <v>8.7144737999999999E-2</v>
      </c>
      <c r="P1050">
        <v>14885</v>
      </c>
      <c r="Q1050">
        <v>27.31</v>
      </c>
      <c r="R1050">
        <v>7.72</v>
      </c>
      <c r="S1050">
        <v>82.59</v>
      </c>
      <c r="T1050">
        <v>17</v>
      </c>
      <c r="U1050" s="1" t="s">
        <v>25</v>
      </c>
      <c r="V1050">
        <v>0</v>
      </c>
    </row>
    <row r="1051" spans="1:22" x14ac:dyDescent="0.3">
      <c r="A1051" s="2">
        <v>45064</v>
      </c>
      <c r="B1051">
        <v>47150</v>
      </c>
      <c r="C1051">
        <v>1233</v>
      </c>
      <c r="D1051">
        <v>5</v>
      </c>
      <c r="E1051" s="1" t="s">
        <v>43</v>
      </c>
      <c r="F1051">
        <v>3</v>
      </c>
      <c r="G1051" s="1" t="s">
        <v>23</v>
      </c>
      <c r="H1051">
        <v>46614.285714285717</v>
      </c>
      <c r="J1051">
        <v>47150</v>
      </c>
      <c r="K1051">
        <v>45900</v>
      </c>
      <c r="L1051">
        <v>40250</v>
      </c>
      <c r="M1051">
        <v>0</v>
      </c>
      <c r="N1051">
        <v>127.4853</v>
      </c>
      <c r="O1051">
        <v>8.7144737999999999E-2</v>
      </c>
      <c r="P1051">
        <v>14876.5</v>
      </c>
      <c r="Q1051">
        <v>26.85</v>
      </c>
      <c r="R1051">
        <v>9.16</v>
      </c>
      <c r="S1051">
        <v>81.540000000000006</v>
      </c>
      <c r="T1051">
        <v>18</v>
      </c>
      <c r="U1051" s="1" t="s">
        <v>25</v>
      </c>
      <c r="V1051">
        <v>0</v>
      </c>
    </row>
    <row r="1052" spans="1:22" x14ac:dyDescent="0.3">
      <c r="A1052" s="2">
        <v>45065</v>
      </c>
      <c r="B1052">
        <v>46650</v>
      </c>
      <c r="C1052">
        <v>1234</v>
      </c>
      <c r="D1052">
        <v>5</v>
      </c>
      <c r="E1052" s="1" t="s">
        <v>43</v>
      </c>
      <c r="F1052">
        <v>4</v>
      </c>
      <c r="G1052" s="1" t="s">
        <v>23</v>
      </c>
      <c r="H1052">
        <v>46721.428571428572</v>
      </c>
      <c r="J1052">
        <v>47150</v>
      </c>
      <c r="K1052">
        <v>45900</v>
      </c>
      <c r="L1052">
        <v>40250</v>
      </c>
      <c r="M1052">
        <v>-500</v>
      </c>
      <c r="N1052">
        <v>127.4853</v>
      </c>
      <c r="O1052">
        <v>8.7144737999999999E-2</v>
      </c>
      <c r="P1052">
        <v>14916</v>
      </c>
      <c r="Q1052">
        <v>27.07</v>
      </c>
      <c r="R1052">
        <v>4.83</v>
      </c>
      <c r="S1052">
        <v>80.81</v>
      </c>
      <c r="T1052">
        <v>19</v>
      </c>
      <c r="U1052" s="1" t="s">
        <v>24</v>
      </c>
      <c r="V1052">
        <v>-1.06</v>
      </c>
    </row>
    <row r="1053" spans="1:22" x14ac:dyDescent="0.3">
      <c r="A1053" s="2">
        <v>45068</v>
      </c>
      <c r="B1053">
        <v>46150</v>
      </c>
      <c r="C1053">
        <v>1237</v>
      </c>
      <c r="D1053">
        <v>5</v>
      </c>
      <c r="E1053" s="1" t="s">
        <v>43</v>
      </c>
      <c r="F1053">
        <v>0</v>
      </c>
      <c r="G1053" s="1" t="s">
        <v>23</v>
      </c>
      <c r="K1053">
        <v>47150</v>
      </c>
      <c r="N1053">
        <v>127.4853</v>
      </c>
      <c r="O1053">
        <v>8.7144737999999999E-2</v>
      </c>
      <c r="P1053">
        <v>14918</v>
      </c>
      <c r="Q1053">
        <v>27.83</v>
      </c>
      <c r="R1053">
        <v>4.6900000000000004</v>
      </c>
      <c r="S1053">
        <v>80.78</v>
      </c>
      <c r="T1053">
        <v>22</v>
      </c>
      <c r="U1053" s="1" t="s">
        <v>24</v>
      </c>
      <c r="V1053">
        <v>-1.07</v>
      </c>
    </row>
    <row r="1054" spans="1:22" x14ac:dyDescent="0.3">
      <c r="A1054" s="2">
        <v>45069</v>
      </c>
      <c r="B1054">
        <v>46250</v>
      </c>
      <c r="C1054">
        <v>1238</v>
      </c>
      <c r="D1054">
        <v>5</v>
      </c>
      <c r="E1054" s="1" t="s">
        <v>43</v>
      </c>
      <c r="F1054">
        <v>1</v>
      </c>
      <c r="G1054" s="1" t="s">
        <v>23</v>
      </c>
      <c r="J1054">
        <v>46150</v>
      </c>
      <c r="K1054">
        <v>47150</v>
      </c>
      <c r="M1054">
        <v>100</v>
      </c>
      <c r="N1054">
        <v>127.4853</v>
      </c>
      <c r="O1054">
        <v>8.7144737999999999E-2</v>
      </c>
      <c r="P1054">
        <v>14886</v>
      </c>
      <c r="Q1054">
        <v>27.68</v>
      </c>
      <c r="R1054">
        <v>2.78</v>
      </c>
      <c r="S1054">
        <v>80.540000000000006</v>
      </c>
      <c r="T1054">
        <v>23</v>
      </c>
      <c r="U1054" s="1" t="s">
        <v>65</v>
      </c>
      <c r="V1054">
        <v>0.22</v>
      </c>
    </row>
    <row r="1055" spans="1:22" x14ac:dyDescent="0.3">
      <c r="A1055" s="2">
        <v>45070</v>
      </c>
      <c r="B1055">
        <v>46400</v>
      </c>
      <c r="C1055">
        <v>1239</v>
      </c>
      <c r="D1055">
        <v>5</v>
      </c>
      <c r="E1055" s="1" t="s">
        <v>43</v>
      </c>
      <c r="F1055">
        <v>2</v>
      </c>
      <c r="G1055" s="1" t="s">
        <v>23</v>
      </c>
      <c r="J1055">
        <v>46250</v>
      </c>
      <c r="K1055">
        <v>47150</v>
      </c>
      <c r="L1055">
        <v>40250</v>
      </c>
      <c r="M1055">
        <v>150</v>
      </c>
      <c r="N1055">
        <v>127.4853</v>
      </c>
      <c r="O1055">
        <v>8.7144737999999999E-2</v>
      </c>
      <c r="P1055">
        <v>14895</v>
      </c>
      <c r="Q1055">
        <v>27.81</v>
      </c>
      <c r="R1055">
        <v>1.85</v>
      </c>
      <c r="S1055">
        <v>80.099999999999994</v>
      </c>
      <c r="T1055">
        <v>24</v>
      </c>
      <c r="U1055" s="1" t="s">
        <v>66</v>
      </c>
      <c r="V1055">
        <v>0.32</v>
      </c>
    </row>
    <row r="1056" spans="1:22" x14ac:dyDescent="0.3">
      <c r="A1056" s="2">
        <v>45071</v>
      </c>
      <c r="B1056">
        <v>44750</v>
      </c>
      <c r="C1056">
        <v>1240</v>
      </c>
      <c r="D1056">
        <v>5</v>
      </c>
      <c r="E1056" s="1" t="s">
        <v>43</v>
      </c>
      <c r="F1056">
        <v>3</v>
      </c>
      <c r="G1056" s="1" t="s">
        <v>23</v>
      </c>
      <c r="J1056">
        <v>46400</v>
      </c>
      <c r="K1056">
        <v>47150</v>
      </c>
      <c r="L1056">
        <v>40250</v>
      </c>
      <c r="M1056">
        <v>-1650</v>
      </c>
      <c r="N1056">
        <v>127.4853</v>
      </c>
      <c r="O1056">
        <v>8.7144737999999999E-2</v>
      </c>
      <c r="P1056">
        <v>14945.900390000001</v>
      </c>
      <c r="Q1056">
        <v>27.41</v>
      </c>
      <c r="R1056">
        <v>13.89</v>
      </c>
      <c r="S1056">
        <v>82.27</v>
      </c>
      <c r="T1056">
        <v>25</v>
      </c>
      <c r="U1056" s="1" t="s">
        <v>95</v>
      </c>
      <c r="V1056">
        <v>-3.56</v>
      </c>
    </row>
    <row r="1057" spans="1:22" x14ac:dyDescent="0.3">
      <c r="A1057" s="2">
        <v>45072</v>
      </c>
      <c r="B1057">
        <v>44250</v>
      </c>
      <c r="C1057">
        <v>1241</v>
      </c>
      <c r="D1057">
        <v>5</v>
      </c>
      <c r="E1057" s="1" t="s">
        <v>43</v>
      </c>
      <c r="F1057">
        <v>4</v>
      </c>
      <c r="G1057" s="1" t="s">
        <v>23</v>
      </c>
      <c r="J1057">
        <v>44750</v>
      </c>
      <c r="K1057">
        <v>46650</v>
      </c>
      <c r="L1057">
        <v>44400</v>
      </c>
      <c r="M1057">
        <v>-500</v>
      </c>
      <c r="N1057">
        <v>127.4853</v>
      </c>
      <c r="O1057">
        <v>8.7144737999999999E-2</v>
      </c>
      <c r="P1057">
        <v>14970</v>
      </c>
      <c r="Q1057">
        <v>26.67</v>
      </c>
      <c r="R1057">
        <v>14.84</v>
      </c>
      <c r="S1057">
        <v>82.93</v>
      </c>
      <c r="T1057">
        <v>26</v>
      </c>
      <c r="U1057" s="1" t="s">
        <v>24</v>
      </c>
      <c r="V1057">
        <v>-1.1200000000000001</v>
      </c>
    </row>
    <row r="1058" spans="1:22" x14ac:dyDescent="0.3">
      <c r="A1058" s="2">
        <v>45073</v>
      </c>
      <c r="B1058">
        <v>44250</v>
      </c>
      <c r="C1058">
        <v>1242</v>
      </c>
      <c r="D1058">
        <v>5</v>
      </c>
      <c r="E1058" s="1" t="s">
        <v>43</v>
      </c>
      <c r="F1058">
        <v>5</v>
      </c>
      <c r="G1058" s="1" t="s">
        <v>23</v>
      </c>
      <c r="J1058">
        <v>44250</v>
      </c>
      <c r="L1058">
        <v>44400</v>
      </c>
      <c r="M1058">
        <v>0</v>
      </c>
      <c r="N1058">
        <v>127.4853</v>
      </c>
      <c r="O1058">
        <v>8.7144737999999999E-2</v>
      </c>
      <c r="P1058">
        <v>14970</v>
      </c>
      <c r="Q1058">
        <v>27.43</v>
      </c>
      <c r="R1058">
        <v>3.71</v>
      </c>
      <c r="S1058">
        <v>80.599999999999994</v>
      </c>
      <c r="T1058">
        <v>27</v>
      </c>
      <c r="U1058" s="1" t="s">
        <v>24</v>
      </c>
      <c r="V1058">
        <v>-1.1200000000000001</v>
      </c>
    </row>
    <row r="1059" spans="1:22" x14ac:dyDescent="0.3">
      <c r="A1059" s="2">
        <v>45074</v>
      </c>
      <c r="B1059">
        <v>44250</v>
      </c>
      <c r="C1059">
        <v>1243</v>
      </c>
      <c r="D1059">
        <v>5</v>
      </c>
      <c r="E1059" s="1" t="s">
        <v>43</v>
      </c>
      <c r="F1059">
        <v>6</v>
      </c>
      <c r="G1059" s="1" t="s">
        <v>23</v>
      </c>
      <c r="H1059">
        <v>45185.714285714283</v>
      </c>
      <c r="J1059">
        <v>44250</v>
      </c>
      <c r="L1059">
        <v>46400</v>
      </c>
      <c r="M1059">
        <v>0</v>
      </c>
      <c r="N1059">
        <v>127.4853</v>
      </c>
      <c r="O1059">
        <v>8.7144737999999999E-2</v>
      </c>
      <c r="P1059">
        <v>14970</v>
      </c>
      <c r="Q1059">
        <v>27.53</v>
      </c>
      <c r="R1059">
        <v>1.99</v>
      </c>
      <c r="S1059">
        <v>83.61</v>
      </c>
      <c r="T1059">
        <v>28</v>
      </c>
      <c r="U1059" s="1" t="s">
        <v>24</v>
      </c>
      <c r="V1059">
        <v>-1.1200000000000001</v>
      </c>
    </row>
    <row r="1060" spans="1:22" x14ac:dyDescent="0.3">
      <c r="A1060" s="2">
        <v>45075</v>
      </c>
      <c r="B1060">
        <v>43400</v>
      </c>
      <c r="C1060">
        <v>1244</v>
      </c>
      <c r="D1060">
        <v>5</v>
      </c>
      <c r="E1060" s="1" t="s">
        <v>43</v>
      </c>
      <c r="F1060">
        <v>0</v>
      </c>
      <c r="G1060" s="1" t="s">
        <v>23</v>
      </c>
      <c r="H1060">
        <v>44792.857142857145</v>
      </c>
      <c r="J1060">
        <v>44250</v>
      </c>
      <c r="K1060">
        <v>46150</v>
      </c>
      <c r="L1060">
        <v>46400</v>
      </c>
      <c r="M1060">
        <v>-850</v>
      </c>
      <c r="N1060">
        <v>127.4853</v>
      </c>
      <c r="O1060">
        <v>8.7144737999999999E-2</v>
      </c>
      <c r="P1060">
        <v>14948</v>
      </c>
      <c r="Q1060">
        <v>27.5</v>
      </c>
      <c r="R1060">
        <v>0.47</v>
      </c>
      <c r="S1060">
        <v>83.33</v>
      </c>
      <c r="T1060">
        <v>29</v>
      </c>
      <c r="U1060" s="1" t="s">
        <v>60</v>
      </c>
      <c r="V1060">
        <v>-1.92</v>
      </c>
    </row>
    <row r="1061" spans="1:22" x14ac:dyDescent="0.3">
      <c r="A1061" s="2">
        <v>45076</v>
      </c>
      <c r="B1061">
        <v>43650</v>
      </c>
      <c r="C1061">
        <v>1245</v>
      </c>
      <c r="D1061">
        <v>5</v>
      </c>
      <c r="E1061" s="1" t="s">
        <v>43</v>
      </c>
      <c r="F1061">
        <v>1</v>
      </c>
      <c r="G1061" s="1" t="s">
        <v>23</v>
      </c>
      <c r="H1061">
        <v>44421.428571428572</v>
      </c>
      <c r="J1061">
        <v>43400</v>
      </c>
      <c r="K1061">
        <v>46250</v>
      </c>
      <c r="L1061">
        <v>46400</v>
      </c>
      <c r="M1061">
        <v>250</v>
      </c>
      <c r="N1061">
        <v>127.4853</v>
      </c>
      <c r="O1061">
        <v>8.7144737999999999E-2</v>
      </c>
      <c r="P1061">
        <v>14960</v>
      </c>
      <c r="Q1061">
        <v>27.57</v>
      </c>
      <c r="R1061">
        <v>1.08</v>
      </c>
      <c r="S1061">
        <v>84.8</v>
      </c>
      <c r="T1061">
        <v>30</v>
      </c>
      <c r="U1061" s="1" t="s">
        <v>34</v>
      </c>
      <c r="V1061">
        <v>0.57999999999999996</v>
      </c>
    </row>
    <row r="1062" spans="1:22" x14ac:dyDescent="0.3">
      <c r="A1062" s="2">
        <v>45077</v>
      </c>
      <c r="B1062">
        <v>42750</v>
      </c>
      <c r="C1062">
        <v>1246</v>
      </c>
      <c r="D1062">
        <v>5</v>
      </c>
      <c r="E1062" s="1" t="s">
        <v>43</v>
      </c>
      <c r="F1062">
        <v>2</v>
      </c>
      <c r="G1062" s="1" t="s">
        <v>23</v>
      </c>
      <c r="H1062">
        <v>43900</v>
      </c>
      <c r="J1062">
        <v>43650</v>
      </c>
      <c r="K1062">
        <v>46400</v>
      </c>
      <c r="L1062">
        <v>46400</v>
      </c>
      <c r="M1062">
        <v>-900</v>
      </c>
      <c r="N1062">
        <v>127.4853</v>
      </c>
      <c r="O1062">
        <v>8.7144737999999999E-2</v>
      </c>
      <c r="P1062">
        <v>14979</v>
      </c>
      <c r="Q1062">
        <v>28.02</v>
      </c>
      <c r="R1062">
        <v>0.91</v>
      </c>
      <c r="S1062">
        <v>82.03</v>
      </c>
      <c r="T1062">
        <v>31</v>
      </c>
      <c r="U1062" s="1" t="s">
        <v>67</v>
      </c>
      <c r="V1062">
        <v>-2.06</v>
      </c>
    </row>
    <row r="1063" spans="1:22" x14ac:dyDescent="0.3">
      <c r="A1063" s="2">
        <v>45078</v>
      </c>
      <c r="B1063">
        <v>42750</v>
      </c>
      <c r="C1063">
        <v>1247</v>
      </c>
      <c r="D1063">
        <v>6</v>
      </c>
      <c r="E1063" s="1" t="s">
        <v>43</v>
      </c>
      <c r="F1063">
        <v>3</v>
      </c>
      <c r="G1063" s="1" t="s">
        <v>44</v>
      </c>
      <c r="H1063">
        <v>43614.285714285717</v>
      </c>
      <c r="J1063">
        <v>42750</v>
      </c>
      <c r="K1063">
        <v>44750</v>
      </c>
      <c r="L1063">
        <v>43400</v>
      </c>
      <c r="M1063">
        <v>0</v>
      </c>
      <c r="N1063">
        <v>127.66289999999999</v>
      </c>
      <c r="O1063">
        <v>0.13931017900000001</v>
      </c>
      <c r="P1063">
        <v>14984</v>
      </c>
      <c r="Q1063">
        <v>27.92</v>
      </c>
      <c r="R1063">
        <v>0.47</v>
      </c>
      <c r="S1063">
        <v>83.36</v>
      </c>
      <c r="T1063">
        <v>1</v>
      </c>
      <c r="U1063" s="1" t="s">
        <v>25</v>
      </c>
      <c r="V1063">
        <v>0</v>
      </c>
    </row>
    <row r="1064" spans="1:22" x14ac:dyDescent="0.3">
      <c r="A1064" s="2">
        <v>45079</v>
      </c>
      <c r="B1064">
        <v>42750</v>
      </c>
      <c r="C1064">
        <v>1248</v>
      </c>
      <c r="D1064">
        <v>6</v>
      </c>
      <c r="E1064" s="1" t="s">
        <v>43</v>
      </c>
      <c r="F1064">
        <v>4</v>
      </c>
      <c r="G1064" s="1" t="s">
        <v>23</v>
      </c>
      <c r="H1064">
        <v>43400</v>
      </c>
      <c r="J1064">
        <v>42750</v>
      </c>
      <c r="K1064">
        <v>44250</v>
      </c>
      <c r="L1064">
        <v>46400</v>
      </c>
      <c r="M1064">
        <v>0</v>
      </c>
      <c r="N1064">
        <v>127.66289999999999</v>
      </c>
      <c r="O1064">
        <v>0.13931017900000001</v>
      </c>
      <c r="P1064">
        <v>14907</v>
      </c>
      <c r="Q1064">
        <v>27.89</v>
      </c>
      <c r="R1064">
        <v>0.28999999999999998</v>
      </c>
      <c r="S1064">
        <v>81.44</v>
      </c>
      <c r="T1064">
        <v>2</v>
      </c>
      <c r="U1064" s="1" t="s">
        <v>25</v>
      </c>
      <c r="V1064">
        <v>0</v>
      </c>
    </row>
    <row r="1065" spans="1:22" x14ac:dyDescent="0.3">
      <c r="A1065" s="2">
        <v>45080</v>
      </c>
      <c r="B1065">
        <v>42750</v>
      </c>
      <c r="C1065">
        <v>1249</v>
      </c>
      <c r="D1065">
        <v>6</v>
      </c>
      <c r="E1065" s="1" t="s">
        <v>43</v>
      </c>
      <c r="F1065">
        <v>5</v>
      </c>
      <c r="G1065" s="1" t="s">
        <v>23</v>
      </c>
      <c r="H1065">
        <v>43185.714285714283</v>
      </c>
      <c r="J1065">
        <v>42750</v>
      </c>
      <c r="K1065">
        <v>44250</v>
      </c>
      <c r="L1065">
        <v>43650</v>
      </c>
      <c r="M1065">
        <v>0</v>
      </c>
      <c r="N1065">
        <v>127.66289999999999</v>
      </c>
      <c r="O1065">
        <v>0.13931017900000001</v>
      </c>
      <c r="P1065">
        <v>14907</v>
      </c>
      <c r="Q1065">
        <v>28.16</v>
      </c>
      <c r="R1065">
        <v>0.45</v>
      </c>
      <c r="S1065">
        <v>80.510000000000005</v>
      </c>
      <c r="T1065">
        <v>3</v>
      </c>
      <c r="U1065" s="1" t="s">
        <v>25</v>
      </c>
      <c r="V1065">
        <v>0</v>
      </c>
    </row>
    <row r="1066" spans="1:22" x14ac:dyDescent="0.3">
      <c r="A1066" s="2">
        <v>45081</v>
      </c>
      <c r="B1066">
        <v>42750</v>
      </c>
      <c r="C1066">
        <v>1250</v>
      </c>
      <c r="D1066">
        <v>6</v>
      </c>
      <c r="E1066" s="1" t="s">
        <v>43</v>
      </c>
      <c r="F1066">
        <v>6</v>
      </c>
      <c r="G1066" s="1" t="s">
        <v>23</v>
      </c>
      <c r="H1066">
        <v>42971.428571428572</v>
      </c>
      <c r="J1066">
        <v>42750</v>
      </c>
      <c r="K1066">
        <v>44250</v>
      </c>
      <c r="L1066">
        <v>43000</v>
      </c>
      <c r="M1066">
        <v>0</v>
      </c>
      <c r="N1066">
        <v>127.66289999999999</v>
      </c>
      <c r="O1066">
        <v>0.13931017900000001</v>
      </c>
      <c r="P1066">
        <v>14907</v>
      </c>
      <c r="Q1066">
        <v>28.04</v>
      </c>
      <c r="R1066">
        <v>0.64</v>
      </c>
      <c r="S1066">
        <v>83.03</v>
      </c>
      <c r="T1066">
        <v>4</v>
      </c>
      <c r="U1066" s="1" t="s">
        <v>25</v>
      </c>
      <c r="V1066">
        <v>0</v>
      </c>
    </row>
    <row r="1067" spans="1:22" x14ac:dyDescent="0.3">
      <c r="A1067" s="2">
        <v>45082</v>
      </c>
      <c r="B1067">
        <v>42900</v>
      </c>
      <c r="C1067">
        <v>1251</v>
      </c>
      <c r="D1067">
        <v>6</v>
      </c>
      <c r="E1067" s="1" t="s">
        <v>43</v>
      </c>
      <c r="F1067">
        <v>0</v>
      </c>
      <c r="G1067" s="1" t="s">
        <v>23</v>
      </c>
      <c r="H1067">
        <v>42900</v>
      </c>
      <c r="J1067">
        <v>42750</v>
      </c>
      <c r="K1067">
        <v>43400</v>
      </c>
      <c r="L1067">
        <v>43000</v>
      </c>
      <c r="M1067">
        <v>150</v>
      </c>
      <c r="N1067">
        <v>127.66289999999999</v>
      </c>
      <c r="O1067">
        <v>0.13931017900000001</v>
      </c>
      <c r="P1067">
        <v>14983</v>
      </c>
      <c r="Q1067">
        <v>27.96</v>
      </c>
      <c r="R1067">
        <v>6.67</v>
      </c>
      <c r="S1067">
        <v>81.17</v>
      </c>
      <c r="T1067">
        <v>5</v>
      </c>
      <c r="U1067" s="1" t="s">
        <v>66</v>
      </c>
      <c r="V1067">
        <v>0.35</v>
      </c>
    </row>
    <row r="1068" spans="1:22" x14ac:dyDescent="0.3">
      <c r="A1068" s="2">
        <v>45083</v>
      </c>
      <c r="B1068">
        <v>42900</v>
      </c>
      <c r="C1068">
        <v>1252</v>
      </c>
      <c r="D1068">
        <v>6</v>
      </c>
      <c r="E1068" s="1" t="s">
        <v>43</v>
      </c>
      <c r="F1068">
        <v>1</v>
      </c>
      <c r="G1068" s="1" t="s">
        <v>44</v>
      </c>
      <c r="H1068">
        <v>42792.857142857145</v>
      </c>
      <c r="J1068">
        <v>42900</v>
      </c>
      <c r="K1068">
        <v>43650</v>
      </c>
      <c r="L1068">
        <v>43000</v>
      </c>
      <c r="M1068">
        <v>0</v>
      </c>
      <c r="N1068">
        <v>127.66289999999999</v>
      </c>
      <c r="O1068">
        <v>0.13931017900000001</v>
      </c>
      <c r="P1068">
        <v>14849.5</v>
      </c>
      <c r="Q1068">
        <v>27.66</v>
      </c>
      <c r="R1068">
        <v>8.8800000000000008</v>
      </c>
      <c r="S1068">
        <v>81.790000000000006</v>
      </c>
      <c r="T1068">
        <v>6</v>
      </c>
      <c r="U1068" s="1" t="s">
        <v>25</v>
      </c>
      <c r="V1068">
        <v>0</v>
      </c>
    </row>
    <row r="1069" spans="1:22" x14ac:dyDescent="0.3">
      <c r="A1069" s="2">
        <v>45084</v>
      </c>
      <c r="B1069">
        <v>42900</v>
      </c>
      <c r="C1069">
        <v>1253</v>
      </c>
      <c r="D1069">
        <v>6</v>
      </c>
      <c r="E1069" s="1" t="s">
        <v>43</v>
      </c>
      <c r="F1069">
        <v>2</v>
      </c>
      <c r="G1069" s="1" t="s">
        <v>23</v>
      </c>
      <c r="H1069">
        <v>42814.285714285717</v>
      </c>
      <c r="J1069">
        <v>42900</v>
      </c>
      <c r="K1069">
        <v>42750</v>
      </c>
      <c r="L1069">
        <v>46400</v>
      </c>
      <c r="M1069">
        <v>0</v>
      </c>
      <c r="N1069">
        <v>127.66289999999999</v>
      </c>
      <c r="O1069">
        <v>0.13931017900000001</v>
      </c>
      <c r="P1069">
        <v>14872</v>
      </c>
      <c r="Q1069">
        <v>27.7</v>
      </c>
      <c r="R1069">
        <v>3.37</v>
      </c>
      <c r="S1069">
        <v>80.5</v>
      </c>
      <c r="T1069">
        <v>7</v>
      </c>
      <c r="U1069" s="1" t="s">
        <v>25</v>
      </c>
      <c r="V1069">
        <v>0</v>
      </c>
    </row>
    <row r="1070" spans="1:22" x14ac:dyDescent="0.3">
      <c r="A1070" s="2">
        <v>45085</v>
      </c>
      <c r="B1070">
        <v>42900</v>
      </c>
      <c r="C1070">
        <v>1254</v>
      </c>
      <c r="D1070">
        <v>6</v>
      </c>
      <c r="E1070" s="1" t="s">
        <v>43</v>
      </c>
      <c r="F1070">
        <v>3</v>
      </c>
      <c r="G1070" s="1" t="s">
        <v>23</v>
      </c>
      <c r="H1070">
        <v>42835.714285714283</v>
      </c>
      <c r="J1070">
        <v>42900</v>
      </c>
      <c r="K1070">
        <v>42750</v>
      </c>
      <c r="L1070">
        <v>47150</v>
      </c>
      <c r="M1070">
        <v>0</v>
      </c>
      <c r="N1070">
        <v>127.66289999999999</v>
      </c>
      <c r="O1070">
        <v>0.13931017900000001</v>
      </c>
      <c r="P1070">
        <v>14889</v>
      </c>
      <c r="Q1070">
        <v>27.99</v>
      </c>
      <c r="R1070">
        <v>0.13</v>
      </c>
      <c r="S1070">
        <v>75.27</v>
      </c>
      <c r="T1070">
        <v>8</v>
      </c>
      <c r="U1070" s="1" t="s">
        <v>25</v>
      </c>
      <c r="V1070">
        <v>0</v>
      </c>
    </row>
    <row r="1071" spans="1:22" x14ac:dyDescent="0.3">
      <c r="A1071" s="2">
        <v>45086</v>
      </c>
      <c r="B1071">
        <v>43650</v>
      </c>
      <c r="C1071">
        <v>1255</v>
      </c>
      <c r="D1071">
        <v>6</v>
      </c>
      <c r="E1071" s="1" t="s">
        <v>43</v>
      </c>
      <c r="F1071">
        <v>4</v>
      </c>
      <c r="G1071" s="1" t="s">
        <v>23</v>
      </c>
      <c r="H1071">
        <v>42964.285714285717</v>
      </c>
      <c r="J1071">
        <v>42900</v>
      </c>
      <c r="K1071">
        <v>42750</v>
      </c>
      <c r="L1071">
        <v>47750</v>
      </c>
      <c r="M1071">
        <v>750</v>
      </c>
      <c r="N1071">
        <v>127.66289999999999</v>
      </c>
      <c r="O1071">
        <v>0.13931017900000001</v>
      </c>
      <c r="P1071">
        <v>14836</v>
      </c>
      <c r="Q1071">
        <v>28.17</v>
      </c>
      <c r="R1071">
        <v>0.13</v>
      </c>
      <c r="S1071">
        <v>75.180000000000007</v>
      </c>
      <c r="T1071">
        <v>9</v>
      </c>
      <c r="U1071" s="1" t="s">
        <v>52</v>
      </c>
      <c r="V1071">
        <v>1.75</v>
      </c>
    </row>
    <row r="1072" spans="1:22" x14ac:dyDescent="0.3">
      <c r="A1072" s="2">
        <v>45089</v>
      </c>
      <c r="B1072">
        <v>43400</v>
      </c>
      <c r="C1072">
        <v>1258</v>
      </c>
      <c r="D1072">
        <v>6</v>
      </c>
      <c r="E1072" s="1" t="s">
        <v>43</v>
      </c>
      <c r="F1072">
        <v>0</v>
      </c>
      <c r="G1072" s="1" t="s">
        <v>23</v>
      </c>
      <c r="K1072">
        <v>42900</v>
      </c>
      <c r="L1072">
        <v>45900</v>
      </c>
      <c r="N1072">
        <v>127.66289999999999</v>
      </c>
      <c r="O1072">
        <v>0.13931017900000001</v>
      </c>
      <c r="P1072">
        <v>14833</v>
      </c>
      <c r="Q1072">
        <v>27.6</v>
      </c>
      <c r="R1072">
        <v>3.86</v>
      </c>
      <c r="S1072">
        <v>81.93</v>
      </c>
      <c r="T1072">
        <v>12</v>
      </c>
      <c r="U1072" s="1"/>
      <c r="V1072">
        <v>0</v>
      </c>
    </row>
    <row r="1073" spans="1:22" x14ac:dyDescent="0.3">
      <c r="A1073" s="2">
        <v>45090</v>
      </c>
      <c r="B1073">
        <v>43400</v>
      </c>
      <c r="C1073">
        <v>1259</v>
      </c>
      <c r="D1073">
        <v>6</v>
      </c>
      <c r="E1073" s="1" t="s">
        <v>43</v>
      </c>
      <c r="F1073">
        <v>1</v>
      </c>
      <c r="G1073" s="1" t="s">
        <v>23</v>
      </c>
      <c r="J1073">
        <v>43400</v>
      </c>
      <c r="K1073">
        <v>42900</v>
      </c>
      <c r="L1073">
        <v>45900</v>
      </c>
      <c r="M1073">
        <v>0</v>
      </c>
      <c r="N1073">
        <v>127.66289999999999</v>
      </c>
      <c r="O1073">
        <v>0.13931017900000001</v>
      </c>
      <c r="P1073">
        <v>14871.5</v>
      </c>
      <c r="Q1073">
        <v>26.78</v>
      </c>
      <c r="R1073">
        <v>7.92</v>
      </c>
      <c r="S1073">
        <v>80.37</v>
      </c>
      <c r="T1073">
        <v>13</v>
      </c>
      <c r="U1073" s="1" t="s">
        <v>25</v>
      </c>
      <c r="V1073">
        <v>0</v>
      </c>
    </row>
    <row r="1074" spans="1:22" x14ac:dyDescent="0.3">
      <c r="A1074" s="2">
        <v>45091</v>
      </c>
      <c r="B1074">
        <v>43900</v>
      </c>
      <c r="C1074">
        <v>1260</v>
      </c>
      <c r="D1074">
        <v>6</v>
      </c>
      <c r="E1074" s="1" t="s">
        <v>43</v>
      </c>
      <c r="F1074">
        <v>2</v>
      </c>
      <c r="G1074" s="1" t="s">
        <v>23</v>
      </c>
      <c r="J1074">
        <v>43400</v>
      </c>
      <c r="K1074">
        <v>42900</v>
      </c>
      <c r="L1074">
        <v>47150</v>
      </c>
      <c r="M1074">
        <v>500</v>
      </c>
      <c r="N1074">
        <v>127.66289999999999</v>
      </c>
      <c r="O1074">
        <v>0.13931017900000001</v>
      </c>
      <c r="P1074">
        <v>14869</v>
      </c>
      <c r="Q1074">
        <v>26.88</v>
      </c>
      <c r="R1074">
        <v>14.83</v>
      </c>
      <c r="S1074">
        <v>80.77</v>
      </c>
      <c r="T1074">
        <v>14</v>
      </c>
      <c r="U1074" s="1" t="s">
        <v>26</v>
      </c>
      <c r="V1074">
        <v>1.1499999999999999</v>
      </c>
    </row>
    <row r="1075" spans="1:22" x14ac:dyDescent="0.3">
      <c r="A1075" s="2">
        <v>45092</v>
      </c>
      <c r="B1075">
        <v>43650</v>
      </c>
      <c r="C1075">
        <v>1261</v>
      </c>
      <c r="D1075">
        <v>6</v>
      </c>
      <c r="E1075" s="1" t="s">
        <v>43</v>
      </c>
      <c r="F1075">
        <v>3</v>
      </c>
      <c r="G1075" s="1" t="s">
        <v>23</v>
      </c>
      <c r="J1075">
        <v>43900</v>
      </c>
      <c r="K1075">
        <v>42900</v>
      </c>
      <c r="L1075">
        <v>47150</v>
      </c>
      <c r="M1075">
        <v>-250</v>
      </c>
      <c r="N1075">
        <v>127.66289999999999</v>
      </c>
      <c r="O1075">
        <v>0.13931017900000001</v>
      </c>
      <c r="P1075">
        <v>14909</v>
      </c>
      <c r="Q1075">
        <v>27.23</v>
      </c>
      <c r="R1075">
        <v>9.92</v>
      </c>
      <c r="S1075">
        <v>78.47</v>
      </c>
      <c r="T1075">
        <v>15</v>
      </c>
      <c r="U1075" s="1" t="s">
        <v>35</v>
      </c>
      <c r="V1075">
        <v>-0.56999999999999995</v>
      </c>
    </row>
    <row r="1076" spans="1:22" x14ac:dyDescent="0.3">
      <c r="A1076" s="2">
        <v>45093</v>
      </c>
      <c r="B1076">
        <v>43650</v>
      </c>
      <c r="C1076">
        <v>1262</v>
      </c>
      <c r="D1076">
        <v>6</v>
      </c>
      <c r="E1076" s="1" t="s">
        <v>43</v>
      </c>
      <c r="F1076">
        <v>4</v>
      </c>
      <c r="G1076" s="1" t="s">
        <v>23</v>
      </c>
      <c r="J1076">
        <v>43650</v>
      </c>
      <c r="K1076">
        <v>43650</v>
      </c>
      <c r="L1076">
        <v>47150</v>
      </c>
      <c r="M1076">
        <v>0</v>
      </c>
      <c r="N1076">
        <v>127.66289999999999</v>
      </c>
      <c r="O1076">
        <v>0.13931017900000001</v>
      </c>
      <c r="P1076">
        <v>14897</v>
      </c>
      <c r="Q1076">
        <v>26.7</v>
      </c>
      <c r="R1076">
        <v>11.62</v>
      </c>
      <c r="S1076">
        <v>75.42</v>
      </c>
      <c r="T1076">
        <v>16</v>
      </c>
      <c r="U1076" s="1" t="s">
        <v>25</v>
      </c>
      <c r="V1076">
        <v>0</v>
      </c>
    </row>
    <row r="1077" spans="1:22" x14ac:dyDescent="0.3">
      <c r="A1077" s="2">
        <v>45094</v>
      </c>
      <c r="B1077">
        <v>43650</v>
      </c>
      <c r="C1077">
        <v>1263</v>
      </c>
      <c r="D1077">
        <v>6</v>
      </c>
      <c r="E1077" s="1" t="s">
        <v>43</v>
      </c>
      <c r="F1077">
        <v>5</v>
      </c>
      <c r="G1077" s="1" t="s">
        <v>23</v>
      </c>
      <c r="J1077">
        <v>43650</v>
      </c>
      <c r="L1077">
        <v>47150</v>
      </c>
      <c r="M1077">
        <v>0</v>
      </c>
      <c r="N1077">
        <v>127.66289999999999</v>
      </c>
      <c r="O1077">
        <v>0.13931017900000001</v>
      </c>
      <c r="P1077">
        <v>14897</v>
      </c>
      <c r="Q1077">
        <v>26.62</v>
      </c>
      <c r="R1077">
        <v>6.91</v>
      </c>
      <c r="S1077">
        <v>80.73</v>
      </c>
      <c r="T1077">
        <v>17</v>
      </c>
      <c r="U1077" s="1" t="s">
        <v>25</v>
      </c>
      <c r="V1077">
        <v>0</v>
      </c>
    </row>
    <row r="1078" spans="1:22" x14ac:dyDescent="0.3">
      <c r="A1078" s="2">
        <v>45096</v>
      </c>
      <c r="B1078">
        <v>43650</v>
      </c>
      <c r="C1078">
        <v>1265</v>
      </c>
      <c r="D1078">
        <v>6</v>
      </c>
      <c r="E1078" s="1" t="s">
        <v>43</v>
      </c>
      <c r="F1078">
        <v>0</v>
      </c>
      <c r="G1078" s="1" t="s">
        <v>23</v>
      </c>
      <c r="K1078">
        <v>43400</v>
      </c>
      <c r="N1078">
        <v>127.66289999999999</v>
      </c>
      <c r="O1078">
        <v>0.13931017900000001</v>
      </c>
      <c r="P1078">
        <v>14928</v>
      </c>
      <c r="Q1078">
        <v>26.84</v>
      </c>
      <c r="R1078">
        <v>15.09</v>
      </c>
      <c r="S1078">
        <v>79.63</v>
      </c>
      <c r="T1078">
        <v>19</v>
      </c>
      <c r="U1078" s="1" t="s">
        <v>25</v>
      </c>
      <c r="V1078">
        <v>0</v>
      </c>
    </row>
    <row r="1079" spans="1:22" x14ac:dyDescent="0.3">
      <c r="A1079" s="2">
        <v>45097</v>
      </c>
      <c r="B1079">
        <v>43650</v>
      </c>
      <c r="C1079">
        <v>1266</v>
      </c>
      <c r="D1079">
        <v>6</v>
      </c>
      <c r="E1079" s="1" t="s">
        <v>43</v>
      </c>
      <c r="F1079">
        <v>1</v>
      </c>
      <c r="G1079" s="1" t="s">
        <v>23</v>
      </c>
      <c r="J1079">
        <v>43650</v>
      </c>
      <c r="K1079">
        <v>43400</v>
      </c>
      <c r="M1079">
        <v>0</v>
      </c>
      <c r="N1079">
        <v>127.66289999999999</v>
      </c>
      <c r="O1079">
        <v>0.13931017900000001</v>
      </c>
      <c r="P1079">
        <v>15008</v>
      </c>
      <c r="Q1079">
        <v>26.54</v>
      </c>
      <c r="R1079">
        <v>16.14</v>
      </c>
      <c r="S1079">
        <v>80.260000000000005</v>
      </c>
      <c r="T1079">
        <v>20</v>
      </c>
      <c r="U1079" s="1" t="s">
        <v>25</v>
      </c>
      <c r="V1079">
        <v>0</v>
      </c>
    </row>
    <row r="1080" spans="1:22" x14ac:dyDescent="0.3">
      <c r="A1080" s="2">
        <v>45098</v>
      </c>
      <c r="B1080">
        <v>43650</v>
      </c>
      <c r="C1080">
        <v>1267</v>
      </c>
      <c r="D1080">
        <v>6</v>
      </c>
      <c r="E1080" s="1" t="s">
        <v>43</v>
      </c>
      <c r="F1080">
        <v>2</v>
      </c>
      <c r="G1080" s="1" t="s">
        <v>23</v>
      </c>
      <c r="J1080">
        <v>43650</v>
      </c>
      <c r="K1080">
        <v>43900</v>
      </c>
      <c r="L1080">
        <v>46150</v>
      </c>
      <c r="M1080">
        <v>0</v>
      </c>
      <c r="N1080">
        <v>127.66289999999999</v>
      </c>
      <c r="O1080">
        <v>0.13931017900000001</v>
      </c>
      <c r="P1080">
        <v>15016</v>
      </c>
      <c r="Q1080">
        <v>26.85</v>
      </c>
      <c r="R1080">
        <v>7.54</v>
      </c>
      <c r="S1080">
        <v>75.34</v>
      </c>
      <c r="T1080">
        <v>21</v>
      </c>
      <c r="U1080" s="1" t="s">
        <v>25</v>
      </c>
      <c r="V1080">
        <v>0</v>
      </c>
    </row>
    <row r="1081" spans="1:22" x14ac:dyDescent="0.3">
      <c r="A1081" s="2">
        <v>45099</v>
      </c>
      <c r="B1081">
        <v>43650</v>
      </c>
      <c r="C1081">
        <v>1268</v>
      </c>
      <c r="D1081">
        <v>6</v>
      </c>
      <c r="E1081" s="1" t="s">
        <v>43</v>
      </c>
      <c r="F1081">
        <v>3</v>
      </c>
      <c r="G1081" s="1" t="s">
        <v>23</v>
      </c>
      <c r="J1081">
        <v>43650</v>
      </c>
      <c r="K1081">
        <v>43650</v>
      </c>
      <c r="L1081">
        <v>46250</v>
      </c>
      <c r="M1081">
        <v>0</v>
      </c>
      <c r="N1081">
        <v>127.66289999999999</v>
      </c>
      <c r="O1081">
        <v>0.13931017900000001</v>
      </c>
      <c r="P1081">
        <v>14943</v>
      </c>
      <c r="Q1081">
        <v>27.19</v>
      </c>
      <c r="R1081">
        <v>1.97</v>
      </c>
      <c r="S1081">
        <v>76.2</v>
      </c>
      <c r="T1081">
        <v>22</v>
      </c>
      <c r="U1081" s="1" t="s">
        <v>25</v>
      </c>
      <c r="V1081">
        <v>0</v>
      </c>
    </row>
    <row r="1082" spans="1:22" x14ac:dyDescent="0.3">
      <c r="A1082" s="2">
        <v>45100</v>
      </c>
      <c r="B1082">
        <v>44150</v>
      </c>
      <c r="C1082">
        <v>1269</v>
      </c>
      <c r="D1082">
        <v>6</v>
      </c>
      <c r="E1082" s="1" t="s">
        <v>43</v>
      </c>
      <c r="F1082">
        <v>4</v>
      </c>
      <c r="G1082" s="1" t="s">
        <v>23</v>
      </c>
      <c r="J1082">
        <v>43650</v>
      </c>
      <c r="K1082">
        <v>43650</v>
      </c>
      <c r="L1082">
        <v>46400</v>
      </c>
      <c r="M1082">
        <v>500</v>
      </c>
      <c r="N1082">
        <v>127.66289999999999</v>
      </c>
      <c r="O1082">
        <v>0.13931017900000001</v>
      </c>
      <c r="P1082">
        <v>14935</v>
      </c>
      <c r="Q1082">
        <v>27.13</v>
      </c>
      <c r="R1082">
        <v>12.57</v>
      </c>
      <c r="S1082">
        <v>80.5</v>
      </c>
      <c r="T1082">
        <v>23</v>
      </c>
      <c r="U1082" s="1" t="s">
        <v>26</v>
      </c>
      <c r="V1082">
        <v>1.1499999999999999</v>
      </c>
    </row>
    <row r="1083" spans="1:22" x14ac:dyDescent="0.3">
      <c r="A1083" s="2">
        <v>45103</v>
      </c>
      <c r="B1083">
        <v>44900</v>
      </c>
      <c r="C1083">
        <v>1272</v>
      </c>
      <c r="D1083">
        <v>6</v>
      </c>
      <c r="E1083" s="1" t="s">
        <v>43</v>
      </c>
      <c r="F1083">
        <v>0</v>
      </c>
      <c r="G1083" s="1" t="s">
        <v>23</v>
      </c>
      <c r="K1083">
        <v>43650</v>
      </c>
      <c r="L1083">
        <v>44250</v>
      </c>
      <c r="N1083">
        <v>127.66289999999999</v>
      </c>
      <c r="O1083">
        <v>0.13931017900000001</v>
      </c>
      <c r="P1083">
        <v>14987</v>
      </c>
      <c r="Q1083">
        <v>27.32</v>
      </c>
      <c r="R1083">
        <v>7.73</v>
      </c>
      <c r="S1083">
        <v>81.319999999999993</v>
      </c>
      <c r="T1083">
        <v>26</v>
      </c>
      <c r="U1083" s="1" t="s">
        <v>52</v>
      </c>
      <c r="V1083">
        <v>1.7</v>
      </c>
    </row>
    <row r="1084" spans="1:22" x14ac:dyDescent="0.3">
      <c r="A1084" s="2">
        <v>45104</v>
      </c>
      <c r="B1084">
        <v>44900</v>
      </c>
      <c r="C1084">
        <v>1273</v>
      </c>
      <c r="D1084">
        <v>6</v>
      </c>
      <c r="E1084" s="1" t="s">
        <v>43</v>
      </c>
      <c r="F1084">
        <v>1</v>
      </c>
      <c r="G1084" s="1" t="s">
        <v>23</v>
      </c>
      <c r="J1084">
        <v>44900</v>
      </c>
      <c r="K1084">
        <v>43650</v>
      </c>
      <c r="L1084">
        <v>44250</v>
      </c>
      <c r="M1084">
        <v>0</v>
      </c>
      <c r="N1084">
        <v>127.66289999999999</v>
      </c>
      <c r="O1084">
        <v>0.13931017900000001</v>
      </c>
      <c r="P1084">
        <v>15039</v>
      </c>
      <c r="Q1084">
        <v>27.4</v>
      </c>
      <c r="R1084">
        <v>0.45</v>
      </c>
      <c r="S1084">
        <v>82</v>
      </c>
      <c r="T1084">
        <v>27</v>
      </c>
      <c r="U1084" s="1" t="s">
        <v>25</v>
      </c>
      <c r="V1084">
        <v>0</v>
      </c>
    </row>
    <row r="1085" spans="1:22" x14ac:dyDescent="0.3">
      <c r="A1085" s="2">
        <v>45105</v>
      </c>
      <c r="B1085">
        <v>44900</v>
      </c>
      <c r="C1085">
        <v>1274</v>
      </c>
      <c r="D1085">
        <v>6</v>
      </c>
      <c r="E1085" s="1" t="s">
        <v>43</v>
      </c>
      <c r="F1085">
        <v>2</v>
      </c>
      <c r="G1085" s="1" t="s">
        <v>23</v>
      </c>
      <c r="J1085">
        <v>44900</v>
      </c>
      <c r="K1085">
        <v>43650</v>
      </c>
      <c r="L1085">
        <v>43400</v>
      </c>
      <c r="M1085">
        <v>0</v>
      </c>
      <c r="N1085">
        <v>127.66289999999999</v>
      </c>
      <c r="O1085">
        <v>0.13931017900000001</v>
      </c>
      <c r="P1085">
        <v>14982.5</v>
      </c>
      <c r="Q1085">
        <v>26.83</v>
      </c>
      <c r="R1085">
        <v>3.52</v>
      </c>
      <c r="S1085">
        <v>84.97</v>
      </c>
      <c r="T1085">
        <v>28</v>
      </c>
      <c r="U1085" s="1" t="s">
        <v>25</v>
      </c>
      <c r="V1085">
        <v>0</v>
      </c>
    </row>
    <row r="1086" spans="1:22" x14ac:dyDescent="0.3">
      <c r="A1086" s="2">
        <v>45106</v>
      </c>
      <c r="B1086">
        <v>44900</v>
      </c>
      <c r="C1086">
        <v>1275</v>
      </c>
      <c r="D1086">
        <v>6</v>
      </c>
      <c r="E1086" s="1" t="s">
        <v>43</v>
      </c>
      <c r="F1086">
        <v>3</v>
      </c>
      <c r="G1086" s="1" t="s">
        <v>44</v>
      </c>
      <c r="J1086">
        <v>44900</v>
      </c>
      <c r="K1086">
        <v>43650</v>
      </c>
      <c r="L1086">
        <v>43650</v>
      </c>
      <c r="M1086">
        <v>0</v>
      </c>
      <c r="N1086">
        <v>127.66289999999999</v>
      </c>
      <c r="O1086">
        <v>0.13931017900000001</v>
      </c>
      <c r="P1086">
        <v>14981</v>
      </c>
      <c r="Q1086">
        <v>26.98</v>
      </c>
      <c r="R1086">
        <v>2.89</v>
      </c>
      <c r="S1086">
        <v>81.78</v>
      </c>
      <c r="T1086">
        <v>29</v>
      </c>
      <c r="U1086" s="1" t="s">
        <v>25</v>
      </c>
      <c r="V1086">
        <v>0</v>
      </c>
    </row>
    <row r="1087" spans="1:22" x14ac:dyDescent="0.3">
      <c r="A1087" s="2">
        <v>45107</v>
      </c>
      <c r="B1087">
        <v>44900</v>
      </c>
      <c r="C1087">
        <v>1276</v>
      </c>
      <c r="D1087">
        <v>6</v>
      </c>
      <c r="E1087" s="1" t="s">
        <v>43</v>
      </c>
      <c r="F1087">
        <v>4</v>
      </c>
      <c r="G1087" s="1" t="s">
        <v>23</v>
      </c>
      <c r="J1087">
        <v>44900</v>
      </c>
      <c r="K1087">
        <v>44150</v>
      </c>
      <c r="L1087">
        <v>42750</v>
      </c>
      <c r="M1087">
        <v>0</v>
      </c>
      <c r="N1087">
        <v>127.66289999999999</v>
      </c>
      <c r="O1087">
        <v>0.13931017900000001</v>
      </c>
      <c r="P1087">
        <v>15064</v>
      </c>
      <c r="Q1087">
        <v>27.28</v>
      </c>
      <c r="R1087">
        <v>0.63</v>
      </c>
      <c r="S1087">
        <v>81.99</v>
      </c>
      <c r="T1087">
        <v>30</v>
      </c>
      <c r="U1087" s="1" t="s">
        <v>25</v>
      </c>
      <c r="V1087">
        <v>0</v>
      </c>
    </row>
    <row r="1088" spans="1:22" x14ac:dyDescent="0.3">
      <c r="A1088" s="2">
        <v>45108</v>
      </c>
      <c r="B1088">
        <v>44900</v>
      </c>
      <c r="C1088">
        <v>1277</v>
      </c>
      <c r="D1088">
        <v>7</v>
      </c>
      <c r="E1088" s="1" t="s">
        <v>43</v>
      </c>
      <c r="F1088">
        <v>5</v>
      </c>
      <c r="G1088" s="1" t="s">
        <v>23</v>
      </c>
      <c r="J1088">
        <v>44900</v>
      </c>
      <c r="L1088">
        <v>42750</v>
      </c>
      <c r="M1088">
        <v>0</v>
      </c>
      <c r="N1088">
        <v>127.9294</v>
      </c>
      <c r="O1088">
        <v>0.20875289499999999</v>
      </c>
      <c r="P1088">
        <v>15064</v>
      </c>
      <c r="Q1088">
        <v>27.32</v>
      </c>
      <c r="R1088">
        <v>1.42</v>
      </c>
      <c r="S1088">
        <v>82.2</v>
      </c>
      <c r="T1088">
        <v>1</v>
      </c>
      <c r="U1088" s="1" t="s">
        <v>25</v>
      </c>
      <c r="V1088">
        <v>0</v>
      </c>
    </row>
    <row r="1089" spans="1:22" x14ac:dyDescent="0.3">
      <c r="A1089" s="2">
        <v>45109</v>
      </c>
      <c r="B1089">
        <v>44900</v>
      </c>
      <c r="C1089">
        <v>1278</v>
      </c>
      <c r="D1089">
        <v>7</v>
      </c>
      <c r="E1089" s="1" t="s">
        <v>43</v>
      </c>
      <c r="F1089">
        <v>6</v>
      </c>
      <c r="G1089" s="1" t="s">
        <v>23</v>
      </c>
      <c r="H1089">
        <v>44900</v>
      </c>
      <c r="J1089">
        <v>44900</v>
      </c>
      <c r="L1089">
        <v>42750</v>
      </c>
      <c r="M1089">
        <v>0</v>
      </c>
      <c r="N1089">
        <v>127.9294</v>
      </c>
      <c r="O1089">
        <v>0.20875289499999999</v>
      </c>
      <c r="P1089">
        <v>15064</v>
      </c>
      <c r="Q1089">
        <v>27.05</v>
      </c>
      <c r="R1089">
        <v>3.2</v>
      </c>
      <c r="S1089">
        <v>83.39</v>
      </c>
      <c r="T1089">
        <v>2</v>
      </c>
      <c r="U1089" s="1" t="s">
        <v>25</v>
      </c>
      <c r="V1089">
        <v>0</v>
      </c>
    </row>
    <row r="1090" spans="1:22" x14ac:dyDescent="0.3">
      <c r="A1090" s="2">
        <v>45110</v>
      </c>
      <c r="B1090">
        <v>47400</v>
      </c>
      <c r="C1090">
        <v>1279</v>
      </c>
      <c r="D1090">
        <v>7</v>
      </c>
      <c r="E1090" s="1" t="s">
        <v>43</v>
      </c>
      <c r="F1090">
        <v>0</v>
      </c>
      <c r="G1090" s="1" t="s">
        <v>23</v>
      </c>
      <c r="H1090">
        <v>45257.142857142855</v>
      </c>
      <c r="J1090">
        <v>44900</v>
      </c>
      <c r="K1090">
        <v>44900</v>
      </c>
      <c r="L1090">
        <v>42750</v>
      </c>
      <c r="M1090">
        <v>2500</v>
      </c>
      <c r="N1090">
        <v>127.9294</v>
      </c>
      <c r="O1090">
        <v>0.20875289499999999</v>
      </c>
      <c r="P1090">
        <v>14986</v>
      </c>
      <c r="Q1090">
        <v>27.22</v>
      </c>
      <c r="R1090">
        <v>6.22</v>
      </c>
      <c r="S1090">
        <v>83.52</v>
      </c>
      <c r="T1090">
        <v>3</v>
      </c>
      <c r="U1090" s="1" t="s">
        <v>56</v>
      </c>
      <c r="V1090">
        <v>5.57</v>
      </c>
    </row>
    <row r="1091" spans="1:22" x14ac:dyDescent="0.3">
      <c r="A1091" s="2">
        <v>45111</v>
      </c>
      <c r="B1091">
        <v>47400</v>
      </c>
      <c r="C1091">
        <v>1280</v>
      </c>
      <c r="D1091">
        <v>7</v>
      </c>
      <c r="E1091" s="1" t="s">
        <v>43</v>
      </c>
      <c r="F1091">
        <v>1</v>
      </c>
      <c r="G1091" s="1" t="s">
        <v>23</v>
      </c>
      <c r="H1091">
        <v>45614.285714285717</v>
      </c>
      <c r="J1091">
        <v>47400</v>
      </c>
      <c r="K1091">
        <v>44900</v>
      </c>
      <c r="L1091">
        <v>42750</v>
      </c>
      <c r="M1091">
        <v>0</v>
      </c>
      <c r="N1091">
        <v>127.9294</v>
      </c>
      <c r="O1091">
        <v>0.20875289499999999</v>
      </c>
      <c r="P1091">
        <v>15056</v>
      </c>
      <c r="Q1091">
        <v>27.73</v>
      </c>
      <c r="R1091">
        <v>3.37</v>
      </c>
      <c r="S1091">
        <v>75.849999999999994</v>
      </c>
      <c r="T1091">
        <v>4</v>
      </c>
      <c r="U1091" s="1" t="s">
        <v>25</v>
      </c>
      <c r="V1091">
        <v>0</v>
      </c>
    </row>
    <row r="1092" spans="1:22" x14ac:dyDescent="0.3">
      <c r="A1092" s="2">
        <v>45112</v>
      </c>
      <c r="B1092">
        <v>47650</v>
      </c>
      <c r="C1092">
        <v>1281</v>
      </c>
      <c r="D1092">
        <v>7</v>
      </c>
      <c r="E1092" s="1" t="s">
        <v>43</v>
      </c>
      <c r="F1092">
        <v>2</v>
      </c>
      <c r="G1092" s="1" t="s">
        <v>23</v>
      </c>
      <c r="H1092">
        <v>46007.142857142855</v>
      </c>
      <c r="J1092">
        <v>47400</v>
      </c>
      <c r="K1092">
        <v>44900</v>
      </c>
      <c r="L1092">
        <v>42900</v>
      </c>
      <c r="M1092">
        <v>250</v>
      </c>
      <c r="N1092">
        <v>127.9294</v>
      </c>
      <c r="O1092">
        <v>0.20875289499999999</v>
      </c>
      <c r="P1092">
        <v>15010</v>
      </c>
      <c r="Q1092">
        <v>27.04</v>
      </c>
      <c r="R1092">
        <v>14.08</v>
      </c>
      <c r="S1092">
        <v>82.24</v>
      </c>
      <c r="T1092">
        <v>5</v>
      </c>
      <c r="U1092" s="1" t="s">
        <v>34</v>
      </c>
      <c r="V1092">
        <v>0.53</v>
      </c>
    </row>
    <row r="1093" spans="1:22" x14ac:dyDescent="0.3">
      <c r="A1093" s="2">
        <v>45113</v>
      </c>
      <c r="B1093">
        <v>47650</v>
      </c>
      <c r="C1093">
        <v>1282</v>
      </c>
      <c r="D1093">
        <v>7</v>
      </c>
      <c r="E1093" s="1" t="s">
        <v>43</v>
      </c>
      <c r="F1093">
        <v>3</v>
      </c>
      <c r="G1093" s="1" t="s">
        <v>23</v>
      </c>
      <c r="H1093">
        <v>46400</v>
      </c>
      <c r="J1093">
        <v>47650</v>
      </c>
      <c r="K1093">
        <v>44900</v>
      </c>
      <c r="L1093">
        <v>42900</v>
      </c>
      <c r="M1093">
        <v>0</v>
      </c>
      <c r="N1093">
        <v>127.9294</v>
      </c>
      <c r="O1093">
        <v>0.20875289499999999</v>
      </c>
      <c r="P1093">
        <v>15077</v>
      </c>
      <c r="Q1093">
        <v>26.97</v>
      </c>
      <c r="R1093">
        <v>5.35</v>
      </c>
      <c r="S1093">
        <v>84.77</v>
      </c>
      <c r="T1093">
        <v>6</v>
      </c>
      <c r="U1093" s="1" t="s">
        <v>25</v>
      </c>
      <c r="V1093">
        <v>0</v>
      </c>
    </row>
    <row r="1094" spans="1:22" x14ac:dyDescent="0.3">
      <c r="A1094" s="2">
        <v>45114</v>
      </c>
      <c r="B1094">
        <v>49500</v>
      </c>
      <c r="C1094">
        <v>1283</v>
      </c>
      <c r="D1094">
        <v>7</v>
      </c>
      <c r="E1094" s="1" t="s">
        <v>43</v>
      </c>
      <c r="F1094">
        <v>4</v>
      </c>
      <c r="G1094" s="1" t="s">
        <v>23</v>
      </c>
      <c r="H1094">
        <v>47057.142857142855</v>
      </c>
      <c r="J1094">
        <v>47650</v>
      </c>
      <c r="K1094">
        <v>44900</v>
      </c>
      <c r="L1094">
        <v>42900</v>
      </c>
      <c r="M1094">
        <v>1850</v>
      </c>
      <c r="N1094">
        <v>127.9294</v>
      </c>
      <c r="O1094">
        <v>0.20875289499999999</v>
      </c>
      <c r="P1094">
        <v>15189.299800000001</v>
      </c>
      <c r="Q1094">
        <v>26.88</v>
      </c>
      <c r="R1094">
        <v>4.2300000000000004</v>
      </c>
      <c r="S1094">
        <v>83.47</v>
      </c>
      <c r="T1094">
        <v>7</v>
      </c>
      <c r="U1094" s="1" t="s">
        <v>100</v>
      </c>
      <c r="V1094">
        <v>3.88</v>
      </c>
    </row>
    <row r="1095" spans="1:22" x14ac:dyDescent="0.3">
      <c r="A1095" s="2">
        <v>45115</v>
      </c>
      <c r="B1095">
        <v>49500</v>
      </c>
      <c r="C1095">
        <v>1284</v>
      </c>
      <c r="D1095">
        <v>7</v>
      </c>
      <c r="E1095" s="1" t="s">
        <v>43</v>
      </c>
      <c r="F1095">
        <v>5</v>
      </c>
      <c r="G1095" s="1" t="s">
        <v>23</v>
      </c>
      <c r="H1095">
        <v>47714.285714285717</v>
      </c>
      <c r="J1095">
        <v>49500</v>
      </c>
      <c r="K1095">
        <v>44900</v>
      </c>
      <c r="L1095">
        <v>42900</v>
      </c>
      <c r="M1095">
        <v>0</v>
      </c>
      <c r="N1095">
        <v>127.9294</v>
      </c>
      <c r="O1095">
        <v>0.20875289499999999</v>
      </c>
      <c r="P1095">
        <v>15189.299800000001</v>
      </c>
      <c r="Q1095">
        <v>27.17</v>
      </c>
      <c r="R1095">
        <v>5.0199999999999996</v>
      </c>
      <c r="S1095">
        <v>79.58</v>
      </c>
      <c r="T1095">
        <v>8</v>
      </c>
      <c r="U1095" s="1" t="s">
        <v>100</v>
      </c>
      <c r="V1095">
        <v>3.88</v>
      </c>
    </row>
    <row r="1096" spans="1:22" x14ac:dyDescent="0.3">
      <c r="A1096" s="2">
        <v>45116</v>
      </c>
      <c r="B1096">
        <v>49500</v>
      </c>
      <c r="C1096">
        <v>1285</v>
      </c>
      <c r="D1096">
        <v>7</v>
      </c>
      <c r="E1096" s="1" t="s">
        <v>43</v>
      </c>
      <c r="F1096">
        <v>6</v>
      </c>
      <c r="G1096" s="1" t="s">
        <v>23</v>
      </c>
      <c r="H1096">
        <v>48371.428571428572</v>
      </c>
      <c r="J1096">
        <v>49500</v>
      </c>
      <c r="K1096">
        <v>44900</v>
      </c>
      <c r="L1096">
        <v>43650</v>
      </c>
      <c r="M1096">
        <v>0</v>
      </c>
      <c r="N1096">
        <v>127.9294</v>
      </c>
      <c r="O1096">
        <v>0.20875289499999999</v>
      </c>
      <c r="P1096">
        <v>15189.299800000001</v>
      </c>
      <c r="Q1096">
        <v>26.51</v>
      </c>
      <c r="R1096">
        <v>4.43</v>
      </c>
      <c r="S1096">
        <v>82.41</v>
      </c>
      <c r="T1096">
        <v>9</v>
      </c>
      <c r="U1096" s="1" t="s">
        <v>100</v>
      </c>
      <c r="V1096">
        <v>3.88</v>
      </c>
    </row>
    <row r="1097" spans="1:22" x14ac:dyDescent="0.3">
      <c r="A1097" s="2">
        <v>45117</v>
      </c>
      <c r="B1097">
        <v>49500</v>
      </c>
      <c r="C1097">
        <v>1286</v>
      </c>
      <c r="D1097">
        <v>7</v>
      </c>
      <c r="E1097" s="1" t="s">
        <v>43</v>
      </c>
      <c r="F1097">
        <v>0</v>
      </c>
      <c r="G1097" s="1" t="s">
        <v>23</v>
      </c>
      <c r="H1097">
        <v>48671.428571428572</v>
      </c>
      <c r="J1097">
        <v>49500</v>
      </c>
      <c r="K1097">
        <v>47400</v>
      </c>
      <c r="M1097">
        <v>0</v>
      </c>
      <c r="N1097">
        <v>127.9294</v>
      </c>
      <c r="O1097">
        <v>0.20875289499999999</v>
      </c>
      <c r="P1097">
        <v>15128</v>
      </c>
      <c r="Q1097">
        <v>26.53</v>
      </c>
      <c r="R1097">
        <v>25.41</v>
      </c>
      <c r="S1097">
        <v>86.09</v>
      </c>
      <c r="T1097">
        <v>10</v>
      </c>
      <c r="U1097" s="1" t="s">
        <v>25</v>
      </c>
      <c r="V1097">
        <v>0</v>
      </c>
    </row>
    <row r="1098" spans="1:22" x14ac:dyDescent="0.3">
      <c r="A1098" s="2">
        <v>45118</v>
      </c>
      <c r="B1098">
        <v>49250</v>
      </c>
      <c r="C1098">
        <v>1287</v>
      </c>
      <c r="D1098">
        <v>7</v>
      </c>
      <c r="E1098" s="1" t="s">
        <v>43</v>
      </c>
      <c r="F1098">
        <v>1</v>
      </c>
      <c r="G1098" s="1" t="s">
        <v>23</v>
      </c>
      <c r="H1098">
        <v>48935.714285714283</v>
      </c>
      <c r="J1098">
        <v>49500</v>
      </c>
      <c r="K1098">
        <v>47400</v>
      </c>
      <c r="M1098">
        <v>-250</v>
      </c>
      <c r="N1098">
        <v>127.9294</v>
      </c>
      <c r="O1098">
        <v>0.20875289499999999</v>
      </c>
      <c r="P1098">
        <v>15216</v>
      </c>
      <c r="Q1098">
        <v>27.05</v>
      </c>
      <c r="R1098">
        <v>13.23</v>
      </c>
      <c r="S1098">
        <v>85.23</v>
      </c>
      <c r="T1098">
        <v>11</v>
      </c>
      <c r="U1098" s="1" t="s">
        <v>35</v>
      </c>
      <c r="V1098">
        <v>-0.51</v>
      </c>
    </row>
    <row r="1099" spans="1:22" x14ac:dyDescent="0.3">
      <c r="A1099" s="2">
        <v>45119</v>
      </c>
      <c r="B1099">
        <v>48500</v>
      </c>
      <c r="C1099">
        <v>1288</v>
      </c>
      <c r="D1099">
        <v>7</v>
      </c>
      <c r="E1099" s="1" t="s">
        <v>43</v>
      </c>
      <c r="F1099">
        <v>2</v>
      </c>
      <c r="G1099" s="1" t="s">
        <v>23</v>
      </c>
      <c r="H1099">
        <v>49057.142857142855</v>
      </c>
      <c r="J1099">
        <v>49250</v>
      </c>
      <c r="K1099">
        <v>47650</v>
      </c>
      <c r="L1099">
        <v>43400</v>
      </c>
      <c r="M1099">
        <v>-750</v>
      </c>
      <c r="N1099">
        <v>127.9294</v>
      </c>
      <c r="O1099">
        <v>0.20875289499999999</v>
      </c>
      <c r="P1099">
        <v>15156.799800000001</v>
      </c>
      <c r="Q1099">
        <v>27.33</v>
      </c>
      <c r="R1099">
        <v>2.5</v>
      </c>
      <c r="S1099">
        <v>83.63</v>
      </c>
      <c r="T1099">
        <v>12</v>
      </c>
      <c r="U1099" s="1" t="s">
        <v>42</v>
      </c>
      <c r="V1099">
        <v>-1.52</v>
      </c>
    </row>
    <row r="1100" spans="1:22" x14ac:dyDescent="0.3">
      <c r="A1100" s="2">
        <v>45120</v>
      </c>
      <c r="B1100">
        <v>47900</v>
      </c>
      <c r="C1100">
        <v>1289</v>
      </c>
      <c r="D1100">
        <v>7</v>
      </c>
      <c r="E1100" s="1" t="s">
        <v>43</v>
      </c>
      <c r="F1100">
        <v>3</v>
      </c>
      <c r="G1100" s="1" t="s">
        <v>23</v>
      </c>
      <c r="H1100">
        <v>49092.857142857145</v>
      </c>
      <c r="J1100">
        <v>48500</v>
      </c>
      <c r="K1100">
        <v>47650</v>
      </c>
      <c r="L1100">
        <v>43400</v>
      </c>
      <c r="M1100">
        <v>-600</v>
      </c>
      <c r="N1100">
        <v>127.9294</v>
      </c>
      <c r="O1100">
        <v>0.20875289499999999</v>
      </c>
      <c r="P1100">
        <v>14928</v>
      </c>
      <c r="Q1100">
        <v>26.87</v>
      </c>
      <c r="R1100">
        <v>5.71</v>
      </c>
      <c r="S1100">
        <v>82.21</v>
      </c>
      <c r="T1100">
        <v>13</v>
      </c>
      <c r="U1100" s="1" t="s">
        <v>62</v>
      </c>
      <c r="V1100">
        <v>-1.24</v>
      </c>
    </row>
    <row r="1101" spans="1:22" x14ac:dyDescent="0.3">
      <c r="A1101" s="2">
        <v>45121</v>
      </c>
      <c r="B1101">
        <v>47650</v>
      </c>
      <c r="C1101">
        <v>1290</v>
      </c>
      <c r="D1101">
        <v>7</v>
      </c>
      <c r="E1101" s="1" t="s">
        <v>43</v>
      </c>
      <c r="F1101">
        <v>4</v>
      </c>
      <c r="G1101" s="1" t="s">
        <v>23</v>
      </c>
      <c r="H1101">
        <v>48828.571428571428</v>
      </c>
      <c r="J1101">
        <v>47900</v>
      </c>
      <c r="K1101">
        <v>49500</v>
      </c>
      <c r="L1101">
        <v>43900</v>
      </c>
      <c r="M1101">
        <v>-250</v>
      </c>
      <c r="N1101">
        <v>127.9294</v>
      </c>
      <c r="O1101">
        <v>0.20875289499999999</v>
      </c>
      <c r="P1101">
        <v>14954</v>
      </c>
      <c r="Q1101">
        <v>26.91</v>
      </c>
      <c r="R1101">
        <v>5.2</v>
      </c>
      <c r="S1101">
        <v>82.54</v>
      </c>
      <c r="T1101">
        <v>14</v>
      </c>
      <c r="U1101" s="1" t="s">
        <v>35</v>
      </c>
      <c r="V1101">
        <v>-0.52</v>
      </c>
    </row>
    <row r="1102" spans="1:22" x14ac:dyDescent="0.3">
      <c r="A1102" s="2">
        <v>45124</v>
      </c>
      <c r="B1102">
        <v>46000</v>
      </c>
      <c r="C1102">
        <v>1293</v>
      </c>
      <c r="D1102">
        <v>7</v>
      </c>
      <c r="E1102" s="1" t="s">
        <v>43</v>
      </c>
      <c r="F1102">
        <v>0</v>
      </c>
      <c r="G1102" s="1" t="s">
        <v>23</v>
      </c>
      <c r="K1102">
        <v>49500</v>
      </c>
      <c r="L1102">
        <v>43650</v>
      </c>
      <c r="N1102">
        <v>127.9294</v>
      </c>
      <c r="O1102">
        <v>0.20875289499999999</v>
      </c>
      <c r="P1102">
        <v>14951</v>
      </c>
      <c r="Q1102">
        <v>26.44</v>
      </c>
      <c r="R1102">
        <v>4.42</v>
      </c>
      <c r="S1102">
        <v>78.2</v>
      </c>
      <c r="T1102">
        <v>17</v>
      </c>
      <c r="U1102" s="1" t="s">
        <v>95</v>
      </c>
      <c r="V1102">
        <v>-3.46</v>
      </c>
    </row>
    <row r="1103" spans="1:22" x14ac:dyDescent="0.3">
      <c r="A1103" s="2">
        <v>45125</v>
      </c>
      <c r="B1103">
        <v>45500</v>
      </c>
      <c r="C1103">
        <v>1294</v>
      </c>
      <c r="D1103">
        <v>7</v>
      </c>
      <c r="E1103" s="1" t="s">
        <v>43</v>
      </c>
      <c r="F1103">
        <v>1</v>
      </c>
      <c r="G1103" s="1" t="s">
        <v>23</v>
      </c>
      <c r="J1103">
        <v>46000</v>
      </c>
      <c r="K1103">
        <v>49250</v>
      </c>
      <c r="M1103">
        <v>-500</v>
      </c>
      <c r="N1103">
        <v>127.9294</v>
      </c>
      <c r="O1103">
        <v>0.20875289499999999</v>
      </c>
      <c r="P1103">
        <v>14982.5</v>
      </c>
      <c r="Q1103">
        <v>26.9</v>
      </c>
      <c r="R1103">
        <v>6.72</v>
      </c>
      <c r="S1103">
        <v>78.650000000000006</v>
      </c>
      <c r="T1103">
        <v>18</v>
      </c>
      <c r="U1103" s="1" t="s">
        <v>24</v>
      </c>
      <c r="V1103">
        <v>-1.0900000000000001</v>
      </c>
    </row>
    <row r="1104" spans="1:22" x14ac:dyDescent="0.3">
      <c r="A1104" s="2">
        <v>45126</v>
      </c>
      <c r="B1104">
        <v>45500</v>
      </c>
      <c r="C1104">
        <v>1295</v>
      </c>
      <c r="D1104">
        <v>7</v>
      </c>
      <c r="E1104" s="1" t="s">
        <v>43</v>
      </c>
      <c r="F1104">
        <v>2</v>
      </c>
      <c r="G1104" s="1" t="s">
        <v>44</v>
      </c>
      <c r="J1104">
        <v>45500</v>
      </c>
      <c r="K1104">
        <v>48500</v>
      </c>
      <c r="L1104">
        <v>43650</v>
      </c>
      <c r="M1104">
        <v>0</v>
      </c>
      <c r="N1104">
        <v>127.9294</v>
      </c>
      <c r="O1104">
        <v>0.20875289499999999</v>
      </c>
      <c r="P1104">
        <v>14986</v>
      </c>
      <c r="Q1104">
        <v>27.19</v>
      </c>
      <c r="R1104">
        <v>2.69</v>
      </c>
      <c r="S1104">
        <v>82.09</v>
      </c>
      <c r="T1104">
        <v>19</v>
      </c>
      <c r="U1104" s="1" t="s">
        <v>25</v>
      </c>
      <c r="V1104">
        <v>0</v>
      </c>
    </row>
    <row r="1105" spans="1:22" x14ac:dyDescent="0.3">
      <c r="A1105" s="2">
        <v>45127</v>
      </c>
      <c r="B1105">
        <v>43250</v>
      </c>
      <c r="C1105">
        <v>1296</v>
      </c>
      <c r="D1105">
        <v>7</v>
      </c>
      <c r="E1105" s="1" t="s">
        <v>43</v>
      </c>
      <c r="F1105">
        <v>3</v>
      </c>
      <c r="G1105" s="1" t="s">
        <v>23</v>
      </c>
      <c r="J1105">
        <v>45500</v>
      </c>
      <c r="K1105">
        <v>47900</v>
      </c>
      <c r="L1105">
        <v>43650</v>
      </c>
      <c r="M1105">
        <v>-2250</v>
      </c>
      <c r="N1105">
        <v>127.9294</v>
      </c>
      <c r="O1105">
        <v>0.20875289499999999</v>
      </c>
      <c r="P1105">
        <v>14992</v>
      </c>
      <c r="Q1105">
        <v>27.49</v>
      </c>
      <c r="R1105">
        <v>1.71</v>
      </c>
      <c r="S1105">
        <v>81.88</v>
      </c>
      <c r="T1105">
        <v>20</v>
      </c>
      <c r="U1105" s="1" t="s">
        <v>38</v>
      </c>
      <c r="V1105">
        <v>-4.95</v>
      </c>
    </row>
    <row r="1106" spans="1:22" x14ac:dyDescent="0.3">
      <c r="A1106" s="2">
        <v>45128</v>
      </c>
      <c r="B1106">
        <v>43250</v>
      </c>
      <c r="C1106">
        <v>1297</v>
      </c>
      <c r="D1106">
        <v>7</v>
      </c>
      <c r="E1106" s="1" t="s">
        <v>43</v>
      </c>
      <c r="F1106">
        <v>4</v>
      </c>
      <c r="G1106" s="1" t="s">
        <v>23</v>
      </c>
      <c r="J1106">
        <v>43250</v>
      </c>
      <c r="K1106">
        <v>47650</v>
      </c>
      <c r="L1106">
        <v>43650</v>
      </c>
      <c r="M1106">
        <v>0</v>
      </c>
      <c r="N1106">
        <v>127.9294</v>
      </c>
      <c r="O1106">
        <v>0.20875289499999999</v>
      </c>
      <c r="P1106">
        <v>15051.5</v>
      </c>
      <c r="Q1106">
        <v>27.27</v>
      </c>
      <c r="R1106">
        <v>1.51</v>
      </c>
      <c r="S1106">
        <v>83.88</v>
      </c>
      <c r="T1106">
        <v>21</v>
      </c>
      <c r="U1106" s="1" t="s">
        <v>25</v>
      </c>
      <c r="V1106">
        <v>0</v>
      </c>
    </row>
    <row r="1107" spans="1:22" x14ac:dyDescent="0.3">
      <c r="A1107" s="2">
        <v>45129</v>
      </c>
      <c r="B1107">
        <v>43250</v>
      </c>
      <c r="C1107">
        <v>1298</v>
      </c>
      <c r="D1107">
        <v>7</v>
      </c>
      <c r="E1107" s="1" t="s">
        <v>43</v>
      </c>
      <c r="F1107">
        <v>5</v>
      </c>
      <c r="G1107" s="1" t="s">
        <v>23</v>
      </c>
      <c r="J1107">
        <v>43250</v>
      </c>
      <c r="L1107">
        <v>43650</v>
      </c>
      <c r="M1107">
        <v>0</v>
      </c>
      <c r="N1107">
        <v>127.9294</v>
      </c>
      <c r="O1107">
        <v>0.20875289499999999</v>
      </c>
      <c r="P1107">
        <v>15051.5</v>
      </c>
      <c r="Q1107">
        <v>27.25</v>
      </c>
      <c r="R1107">
        <v>1.43</v>
      </c>
      <c r="S1107">
        <v>82.29</v>
      </c>
      <c r="T1107">
        <v>22</v>
      </c>
      <c r="U1107" s="1" t="s">
        <v>25</v>
      </c>
      <c r="V1107">
        <v>0</v>
      </c>
    </row>
    <row r="1108" spans="1:22" x14ac:dyDescent="0.3">
      <c r="A1108" s="2">
        <v>45130</v>
      </c>
      <c r="B1108">
        <v>43250</v>
      </c>
      <c r="C1108">
        <v>1299</v>
      </c>
      <c r="D1108">
        <v>7</v>
      </c>
      <c r="E1108" s="1" t="s">
        <v>43</v>
      </c>
      <c r="F1108">
        <v>6</v>
      </c>
      <c r="G1108" s="1" t="s">
        <v>23</v>
      </c>
      <c r="H1108">
        <v>44285.714285714283</v>
      </c>
      <c r="J1108">
        <v>43250</v>
      </c>
      <c r="L1108">
        <v>44150</v>
      </c>
      <c r="M1108">
        <v>0</v>
      </c>
      <c r="N1108">
        <v>127.9294</v>
      </c>
      <c r="O1108">
        <v>0.20875289499999999</v>
      </c>
      <c r="P1108">
        <v>15051.5</v>
      </c>
      <c r="Q1108">
        <v>27.13</v>
      </c>
      <c r="R1108">
        <v>1.1499999999999999</v>
      </c>
      <c r="S1108">
        <v>81.19</v>
      </c>
      <c r="T1108">
        <v>23</v>
      </c>
      <c r="U1108" s="1" t="s">
        <v>25</v>
      </c>
      <c r="V1108">
        <v>0</v>
      </c>
    </row>
    <row r="1109" spans="1:22" x14ac:dyDescent="0.3">
      <c r="A1109" s="2">
        <v>45131</v>
      </c>
      <c r="B1109">
        <v>41500</v>
      </c>
      <c r="C1109">
        <v>1300</v>
      </c>
      <c r="D1109">
        <v>7</v>
      </c>
      <c r="E1109" s="1" t="s">
        <v>43</v>
      </c>
      <c r="F1109">
        <v>0</v>
      </c>
      <c r="G1109" s="1" t="s">
        <v>23</v>
      </c>
      <c r="H1109">
        <v>43642.857142857145</v>
      </c>
      <c r="J1109">
        <v>43250</v>
      </c>
      <c r="K1109">
        <v>46000</v>
      </c>
      <c r="M1109">
        <v>-1750</v>
      </c>
      <c r="N1109">
        <v>127.9294</v>
      </c>
      <c r="O1109">
        <v>0.20875289499999999</v>
      </c>
      <c r="P1109">
        <v>15018</v>
      </c>
      <c r="Q1109">
        <v>26.89</v>
      </c>
      <c r="R1109">
        <v>0.41</v>
      </c>
      <c r="S1109">
        <v>82.16</v>
      </c>
      <c r="T1109">
        <v>24</v>
      </c>
      <c r="U1109" s="1" t="s">
        <v>54</v>
      </c>
      <c r="V1109">
        <v>-4.05</v>
      </c>
    </row>
    <row r="1110" spans="1:22" x14ac:dyDescent="0.3">
      <c r="A1110" s="2">
        <v>45132</v>
      </c>
      <c r="B1110">
        <v>40900</v>
      </c>
      <c r="C1110">
        <v>1301</v>
      </c>
      <c r="D1110">
        <v>7</v>
      </c>
      <c r="E1110" s="1" t="s">
        <v>43</v>
      </c>
      <c r="F1110">
        <v>1</v>
      </c>
      <c r="G1110" s="1" t="s">
        <v>23</v>
      </c>
      <c r="H1110">
        <v>42985.714285714283</v>
      </c>
      <c r="J1110">
        <v>41500</v>
      </c>
      <c r="K1110">
        <v>45500</v>
      </c>
      <c r="M1110">
        <v>-600</v>
      </c>
      <c r="N1110">
        <v>127.9294</v>
      </c>
      <c r="O1110">
        <v>0.20875289499999999</v>
      </c>
      <c r="P1110">
        <v>15021.5</v>
      </c>
      <c r="Q1110">
        <v>26.8</v>
      </c>
      <c r="R1110">
        <v>0.28000000000000003</v>
      </c>
      <c r="S1110">
        <v>83.78</v>
      </c>
      <c r="T1110">
        <v>25</v>
      </c>
      <c r="U1110" s="1" t="s">
        <v>62</v>
      </c>
      <c r="V1110">
        <v>-1.45</v>
      </c>
    </row>
    <row r="1111" spans="1:22" x14ac:dyDescent="0.3">
      <c r="A1111" s="2">
        <v>45133</v>
      </c>
      <c r="B1111">
        <v>41400</v>
      </c>
      <c r="C1111">
        <v>1302</v>
      </c>
      <c r="D1111">
        <v>7</v>
      </c>
      <c r="E1111" s="1" t="s">
        <v>43</v>
      </c>
      <c r="F1111">
        <v>2</v>
      </c>
      <c r="G1111" s="1" t="s">
        <v>23</v>
      </c>
      <c r="H1111">
        <v>42400</v>
      </c>
      <c r="J1111">
        <v>40900</v>
      </c>
      <c r="K1111">
        <v>45500</v>
      </c>
      <c r="L1111">
        <v>44900</v>
      </c>
      <c r="M1111">
        <v>500</v>
      </c>
      <c r="N1111">
        <v>127.9294</v>
      </c>
      <c r="O1111">
        <v>0.20875289499999999</v>
      </c>
      <c r="P1111">
        <v>15032</v>
      </c>
      <c r="Q1111">
        <v>27.06</v>
      </c>
      <c r="R1111">
        <v>0.08</v>
      </c>
      <c r="S1111">
        <v>82.51</v>
      </c>
      <c r="T1111">
        <v>26</v>
      </c>
      <c r="U1111" s="1" t="s">
        <v>26</v>
      </c>
      <c r="V1111">
        <v>1.22</v>
      </c>
    </row>
    <row r="1112" spans="1:22" x14ac:dyDescent="0.3">
      <c r="A1112" s="2">
        <v>45134</v>
      </c>
      <c r="B1112">
        <v>41650</v>
      </c>
      <c r="C1112">
        <v>1303</v>
      </c>
      <c r="D1112">
        <v>7</v>
      </c>
      <c r="E1112" s="1" t="s">
        <v>43</v>
      </c>
      <c r="F1112">
        <v>3</v>
      </c>
      <c r="G1112" s="1" t="s">
        <v>23</v>
      </c>
      <c r="H1112">
        <v>42171.428571428572</v>
      </c>
      <c r="J1112">
        <v>41400</v>
      </c>
      <c r="K1112">
        <v>43250</v>
      </c>
      <c r="L1112">
        <v>44900</v>
      </c>
      <c r="M1112">
        <v>250</v>
      </c>
      <c r="N1112">
        <v>127.9294</v>
      </c>
      <c r="O1112">
        <v>0.20875289499999999</v>
      </c>
      <c r="P1112">
        <v>15007</v>
      </c>
      <c r="Q1112">
        <v>26.85</v>
      </c>
      <c r="R1112">
        <v>0.12</v>
      </c>
      <c r="S1112">
        <v>84.34</v>
      </c>
      <c r="T1112">
        <v>27</v>
      </c>
      <c r="U1112" s="1" t="s">
        <v>34</v>
      </c>
      <c r="V1112">
        <v>0.6</v>
      </c>
    </row>
    <row r="1113" spans="1:22" x14ac:dyDescent="0.3">
      <c r="A1113" s="2">
        <v>45135</v>
      </c>
      <c r="B1113">
        <v>41400</v>
      </c>
      <c r="C1113">
        <v>1304</v>
      </c>
      <c r="D1113">
        <v>7</v>
      </c>
      <c r="E1113" s="1" t="s">
        <v>43</v>
      </c>
      <c r="F1113">
        <v>4</v>
      </c>
      <c r="G1113" s="1" t="s">
        <v>23</v>
      </c>
      <c r="H1113">
        <v>41907.142857142855</v>
      </c>
      <c r="J1113">
        <v>41650</v>
      </c>
      <c r="K1113">
        <v>43250</v>
      </c>
      <c r="L1113">
        <v>44900</v>
      </c>
      <c r="M1113">
        <v>-250</v>
      </c>
      <c r="N1113">
        <v>127.9294</v>
      </c>
      <c r="O1113">
        <v>0.20875289499999999</v>
      </c>
      <c r="P1113">
        <v>15095</v>
      </c>
      <c r="Q1113">
        <v>26.87</v>
      </c>
      <c r="R1113">
        <v>0.12</v>
      </c>
      <c r="S1113">
        <v>85.42</v>
      </c>
      <c r="T1113">
        <v>28</v>
      </c>
      <c r="U1113" s="1" t="s">
        <v>35</v>
      </c>
      <c r="V1113">
        <v>-0.6</v>
      </c>
    </row>
    <row r="1114" spans="1:22" x14ac:dyDescent="0.3">
      <c r="A1114" s="2">
        <v>45136</v>
      </c>
      <c r="B1114">
        <v>41400</v>
      </c>
      <c r="C1114">
        <v>1305</v>
      </c>
      <c r="D1114">
        <v>7</v>
      </c>
      <c r="E1114" s="1" t="s">
        <v>43</v>
      </c>
      <c r="F1114">
        <v>5</v>
      </c>
      <c r="G1114" s="1" t="s">
        <v>23</v>
      </c>
      <c r="H1114">
        <v>41642.857142857145</v>
      </c>
      <c r="J1114">
        <v>41400</v>
      </c>
      <c r="K1114">
        <v>43250</v>
      </c>
      <c r="L1114">
        <v>44900</v>
      </c>
      <c r="M1114">
        <v>0</v>
      </c>
      <c r="N1114">
        <v>127.9294</v>
      </c>
      <c r="O1114">
        <v>0.20875289499999999</v>
      </c>
      <c r="P1114">
        <v>15095</v>
      </c>
      <c r="Q1114">
        <v>27.11</v>
      </c>
      <c r="R1114">
        <v>0.06</v>
      </c>
      <c r="S1114">
        <v>83.6</v>
      </c>
      <c r="T1114">
        <v>29</v>
      </c>
      <c r="U1114" s="1" t="s">
        <v>35</v>
      </c>
      <c r="V1114">
        <v>-0.6</v>
      </c>
    </row>
    <row r="1115" spans="1:22" x14ac:dyDescent="0.3">
      <c r="A1115" s="2">
        <v>45137</v>
      </c>
      <c r="B1115">
        <v>41400</v>
      </c>
      <c r="C1115">
        <v>1306</v>
      </c>
      <c r="D1115">
        <v>7</v>
      </c>
      <c r="E1115" s="1" t="s">
        <v>43</v>
      </c>
      <c r="F1115">
        <v>6</v>
      </c>
      <c r="G1115" s="1" t="s">
        <v>23</v>
      </c>
      <c r="H1115">
        <v>41378.571428571428</v>
      </c>
      <c r="J1115">
        <v>41400</v>
      </c>
      <c r="K1115">
        <v>43250</v>
      </c>
      <c r="L1115">
        <v>44900</v>
      </c>
      <c r="M1115">
        <v>0</v>
      </c>
      <c r="N1115">
        <v>127.9294</v>
      </c>
      <c r="O1115">
        <v>0.20875289499999999</v>
      </c>
      <c r="P1115">
        <v>15095</v>
      </c>
      <c r="Q1115">
        <v>26.92</v>
      </c>
      <c r="R1115">
        <v>0.05</v>
      </c>
      <c r="S1115">
        <v>82.38</v>
      </c>
      <c r="T1115">
        <v>30</v>
      </c>
      <c r="U1115" s="1" t="s">
        <v>35</v>
      </c>
      <c r="V1115">
        <v>-0.6</v>
      </c>
    </row>
    <row r="1116" spans="1:22" x14ac:dyDescent="0.3">
      <c r="A1116" s="2">
        <v>45138</v>
      </c>
      <c r="B1116">
        <v>40900</v>
      </c>
      <c r="C1116">
        <v>1307</v>
      </c>
      <c r="D1116">
        <v>7</v>
      </c>
      <c r="E1116" s="1" t="s">
        <v>43</v>
      </c>
      <c r="F1116">
        <v>0</v>
      </c>
      <c r="G1116" s="1" t="s">
        <v>23</v>
      </c>
      <c r="H1116">
        <v>41292.857142857145</v>
      </c>
      <c r="J1116">
        <v>41400</v>
      </c>
      <c r="K1116">
        <v>41500</v>
      </c>
      <c r="L1116">
        <v>44900</v>
      </c>
      <c r="M1116">
        <v>-500</v>
      </c>
      <c r="N1116">
        <v>127.9294</v>
      </c>
      <c r="O1116">
        <v>0.20875289499999999</v>
      </c>
      <c r="P1116">
        <v>15088</v>
      </c>
      <c r="Q1116">
        <v>27.23</v>
      </c>
      <c r="R1116">
        <v>0.15</v>
      </c>
      <c r="S1116">
        <v>83.92</v>
      </c>
      <c r="T1116">
        <v>31</v>
      </c>
      <c r="U1116" s="1" t="s">
        <v>24</v>
      </c>
      <c r="V1116">
        <v>-1.21</v>
      </c>
    </row>
    <row r="1117" spans="1:22" x14ac:dyDescent="0.3">
      <c r="A1117" s="2">
        <v>45139</v>
      </c>
      <c r="B1117">
        <v>40650</v>
      </c>
      <c r="C1117">
        <v>1308</v>
      </c>
      <c r="D1117">
        <v>8</v>
      </c>
      <c r="E1117" s="1" t="s">
        <v>43</v>
      </c>
      <c r="F1117">
        <v>1</v>
      </c>
      <c r="G1117" s="1" t="s">
        <v>23</v>
      </c>
      <c r="H1117">
        <v>41257.142857142855</v>
      </c>
      <c r="J1117">
        <v>40900</v>
      </c>
      <c r="K1117">
        <v>40900</v>
      </c>
      <c r="L1117">
        <v>44900</v>
      </c>
      <c r="M1117">
        <v>-250</v>
      </c>
      <c r="N1117">
        <v>127.9072</v>
      </c>
      <c r="O1117">
        <v>-1.7353321000000001E-2</v>
      </c>
      <c r="P1117">
        <v>15104</v>
      </c>
      <c r="Q1117">
        <v>27.08</v>
      </c>
      <c r="R1117">
        <v>2.33</v>
      </c>
      <c r="S1117">
        <v>86.24</v>
      </c>
      <c r="T1117">
        <v>1</v>
      </c>
      <c r="U1117" s="1" t="s">
        <v>35</v>
      </c>
      <c r="V1117">
        <v>-0.61</v>
      </c>
    </row>
    <row r="1118" spans="1:22" x14ac:dyDescent="0.3">
      <c r="A1118" s="2">
        <v>45140</v>
      </c>
      <c r="B1118">
        <v>41250</v>
      </c>
      <c r="C1118">
        <v>1309</v>
      </c>
      <c r="D1118">
        <v>8</v>
      </c>
      <c r="E1118" s="1" t="s">
        <v>43</v>
      </c>
      <c r="F1118">
        <v>2</v>
      </c>
      <c r="G1118" s="1" t="s">
        <v>23</v>
      </c>
      <c r="H1118">
        <v>41235.714285714283</v>
      </c>
      <c r="J1118">
        <v>40650</v>
      </c>
      <c r="K1118">
        <v>41400</v>
      </c>
      <c r="L1118">
        <v>47400</v>
      </c>
      <c r="M1118">
        <v>600</v>
      </c>
      <c r="N1118">
        <v>127.9072</v>
      </c>
      <c r="O1118">
        <v>-1.7353321000000001E-2</v>
      </c>
      <c r="P1118">
        <v>15131</v>
      </c>
      <c r="Q1118">
        <v>27.1</v>
      </c>
      <c r="R1118">
        <v>1.23</v>
      </c>
      <c r="S1118">
        <v>84.25</v>
      </c>
      <c r="T1118">
        <v>2</v>
      </c>
      <c r="U1118" s="1" t="s">
        <v>64</v>
      </c>
      <c r="V1118">
        <v>1.48</v>
      </c>
    </row>
    <row r="1119" spans="1:22" x14ac:dyDescent="0.3">
      <c r="A1119" s="2">
        <v>45141</v>
      </c>
      <c r="B1119">
        <v>40750</v>
      </c>
      <c r="C1119">
        <v>1310</v>
      </c>
      <c r="D1119">
        <v>8</v>
      </c>
      <c r="E1119" s="1" t="s">
        <v>43</v>
      </c>
      <c r="F1119">
        <v>3</v>
      </c>
      <c r="G1119" s="1" t="s">
        <v>23</v>
      </c>
      <c r="H1119">
        <v>41107.142857142855</v>
      </c>
      <c r="J1119">
        <v>41250</v>
      </c>
      <c r="K1119">
        <v>41650</v>
      </c>
      <c r="L1119">
        <v>47400</v>
      </c>
      <c r="M1119">
        <v>-500</v>
      </c>
      <c r="N1119">
        <v>127.9072</v>
      </c>
      <c r="O1119">
        <v>-1.7353321000000001E-2</v>
      </c>
      <c r="P1119">
        <v>15220</v>
      </c>
      <c r="Q1119">
        <v>27.11</v>
      </c>
      <c r="R1119">
        <v>0.54</v>
      </c>
      <c r="S1119">
        <v>84.2</v>
      </c>
      <c r="T1119">
        <v>3</v>
      </c>
      <c r="U1119" s="1" t="s">
        <v>24</v>
      </c>
      <c r="V1119">
        <v>-1.21</v>
      </c>
    </row>
    <row r="1120" spans="1:22" x14ac:dyDescent="0.3">
      <c r="A1120" s="2">
        <v>45142</v>
      </c>
      <c r="B1120">
        <v>40750</v>
      </c>
      <c r="C1120">
        <v>1311</v>
      </c>
      <c r="D1120">
        <v>8</v>
      </c>
      <c r="E1120" s="1" t="s">
        <v>43</v>
      </c>
      <c r="F1120">
        <v>4</v>
      </c>
      <c r="G1120" s="1" t="s">
        <v>23</v>
      </c>
      <c r="H1120">
        <v>41014.285714285717</v>
      </c>
      <c r="J1120">
        <v>40750</v>
      </c>
      <c r="K1120">
        <v>41400</v>
      </c>
      <c r="L1120">
        <v>47650</v>
      </c>
      <c r="M1120">
        <v>0</v>
      </c>
      <c r="N1120">
        <v>127.9072</v>
      </c>
      <c r="O1120">
        <v>-1.7353321000000001E-2</v>
      </c>
      <c r="P1120">
        <v>15161</v>
      </c>
      <c r="Q1120">
        <v>27.07</v>
      </c>
      <c r="R1120">
        <v>0.39</v>
      </c>
      <c r="S1120">
        <v>84.76</v>
      </c>
      <c r="T1120">
        <v>4</v>
      </c>
      <c r="U1120" s="1" t="s">
        <v>25</v>
      </c>
      <c r="V1120">
        <v>0</v>
      </c>
    </row>
    <row r="1121" spans="1:22" x14ac:dyDescent="0.3">
      <c r="A1121" s="2">
        <v>45145</v>
      </c>
      <c r="B1121">
        <v>40000</v>
      </c>
      <c r="C1121">
        <v>1314</v>
      </c>
      <c r="D1121">
        <v>8</v>
      </c>
      <c r="E1121" s="1" t="s">
        <v>43</v>
      </c>
      <c r="F1121">
        <v>0</v>
      </c>
      <c r="G1121" s="1" t="s">
        <v>23</v>
      </c>
      <c r="K1121">
        <v>40900</v>
      </c>
      <c r="L1121">
        <v>49500</v>
      </c>
      <c r="N1121">
        <v>127.9072</v>
      </c>
      <c r="O1121">
        <v>-1.7353321000000001E-2</v>
      </c>
      <c r="P1121">
        <v>15163</v>
      </c>
      <c r="Q1121">
        <v>26.81</v>
      </c>
      <c r="R1121">
        <v>0.4</v>
      </c>
      <c r="S1121">
        <v>82.14</v>
      </c>
      <c r="T1121">
        <v>7</v>
      </c>
      <c r="U1121" s="1"/>
      <c r="V1121">
        <v>0</v>
      </c>
    </row>
    <row r="1122" spans="1:22" x14ac:dyDescent="0.3">
      <c r="A1122" s="2">
        <v>45146</v>
      </c>
      <c r="B1122">
        <v>36250</v>
      </c>
      <c r="C1122">
        <v>1315</v>
      </c>
      <c r="D1122">
        <v>8</v>
      </c>
      <c r="E1122" s="1" t="s">
        <v>43</v>
      </c>
      <c r="F1122">
        <v>1</v>
      </c>
      <c r="G1122" s="1" t="s">
        <v>23</v>
      </c>
      <c r="J1122">
        <v>40000</v>
      </c>
      <c r="K1122">
        <v>40650</v>
      </c>
      <c r="L1122">
        <v>49500</v>
      </c>
      <c r="M1122">
        <v>-3750</v>
      </c>
      <c r="N1122">
        <v>127.9072</v>
      </c>
      <c r="O1122">
        <v>-1.7353321000000001E-2</v>
      </c>
      <c r="P1122">
        <v>15232</v>
      </c>
      <c r="Q1122">
        <v>26.99</v>
      </c>
      <c r="R1122">
        <v>0.03</v>
      </c>
      <c r="S1122">
        <v>80.45</v>
      </c>
      <c r="T1122">
        <v>8</v>
      </c>
      <c r="U1122" s="1" t="s">
        <v>39</v>
      </c>
      <c r="V1122">
        <v>-9.3800000000000008</v>
      </c>
    </row>
    <row r="1123" spans="1:22" x14ac:dyDescent="0.3">
      <c r="A1123" s="2">
        <v>45147</v>
      </c>
      <c r="B1123">
        <v>36250</v>
      </c>
      <c r="C1123">
        <v>1316</v>
      </c>
      <c r="D1123">
        <v>8</v>
      </c>
      <c r="E1123" s="1" t="s">
        <v>43</v>
      </c>
      <c r="F1123">
        <v>2</v>
      </c>
      <c r="G1123" s="1" t="s">
        <v>23</v>
      </c>
      <c r="J1123">
        <v>36250</v>
      </c>
      <c r="K1123">
        <v>41250</v>
      </c>
      <c r="L1123">
        <v>49500</v>
      </c>
      <c r="M1123">
        <v>0</v>
      </c>
      <c r="N1123">
        <v>127.9072</v>
      </c>
      <c r="O1123">
        <v>-1.7353321000000001E-2</v>
      </c>
      <c r="P1123">
        <v>15207.200199999999</v>
      </c>
      <c r="Q1123">
        <v>27.03</v>
      </c>
      <c r="R1123">
        <v>0.61</v>
      </c>
      <c r="S1123">
        <v>80.78</v>
      </c>
      <c r="T1123">
        <v>9</v>
      </c>
      <c r="U1123" s="1" t="s">
        <v>25</v>
      </c>
      <c r="V1123">
        <v>0</v>
      </c>
    </row>
    <row r="1124" spans="1:22" x14ac:dyDescent="0.3">
      <c r="A1124" s="2">
        <v>45148</v>
      </c>
      <c r="B1124">
        <v>36250</v>
      </c>
      <c r="C1124">
        <v>1317</v>
      </c>
      <c r="D1124">
        <v>8</v>
      </c>
      <c r="E1124" s="1" t="s">
        <v>43</v>
      </c>
      <c r="F1124">
        <v>3</v>
      </c>
      <c r="G1124" s="1" t="s">
        <v>23</v>
      </c>
      <c r="J1124">
        <v>36250</v>
      </c>
      <c r="K1124">
        <v>40750</v>
      </c>
      <c r="L1124">
        <v>49250</v>
      </c>
      <c r="M1124">
        <v>0</v>
      </c>
      <c r="N1124">
        <v>127.9072</v>
      </c>
      <c r="O1124">
        <v>-1.7353321000000001E-2</v>
      </c>
      <c r="P1124">
        <v>15207</v>
      </c>
      <c r="Q1124">
        <v>26.97</v>
      </c>
      <c r="R1124">
        <v>1.06</v>
      </c>
      <c r="S1124">
        <v>82.67</v>
      </c>
      <c r="T1124">
        <v>10</v>
      </c>
      <c r="U1124" s="1" t="s">
        <v>25</v>
      </c>
      <c r="V1124">
        <v>0</v>
      </c>
    </row>
    <row r="1125" spans="1:22" x14ac:dyDescent="0.3">
      <c r="A1125" s="2">
        <v>45149</v>
      </c>
      <c r="B1125">
        <v>35750</v>
      </c>
      <c r="C1125">
        <v>1318</v>
      </c>
      <c r="D1125">
        <v>8</v>
      </c>
      <c r="E1125" s="1" t="s">
        <v>43</v>
      </c>
      <c r="F1125">
        <v>4</v>
      </c>
      <c r="G1125" s="1" t="s">
        <v>23</v>
      </c>
      <c r="J1125">
        <v>36250</v>
      </c>
      <c r="K1125">
        <v>40750</v>
      </c>
      <c r="L1125">
        <v>48500</v>
      </c>
      <c r="M1125">
        <v>-500</v>
      </c>
      <c r="N1125">
        <v>127.9072</v>
      </c>
      <c r="O1125">
        <v>-1.7353321000000001E-2</v>
      </c>
      <c r="P1125">
        <v>15259</v>
      </c>
      <c r="Q1125">
        <v>26.72</v>
      </c>
      <c r="R1125">
        <v>0.96</v>
      </c>
      <c r="S1125">
        <v>83.07</v>
      </c>
      <c r="T1125">
        <v>11</v>
      </c>
      <c r="U1125" s="1" t="s">
        <v>24</v>
      </c>
      <c r="V1125">
        <v>-1.38</v>
      </c>
    </row>
    <row r="1126" spans="1:22" x14ac:dyDescent="0.3">
      <c r="A1126" s="2">
        <v>45150</v>
      </c>
      <c r="B1126">
        <v>35750</v>
      </c>
      <c r="C1126">
        <v>1319</v>
      </c>
      <c r="D1126">
        <v>8</v>
      </c>
      <c r="E1126" s="1" t="s">
        <v>43</v>
      </c>
      <c r="F1126">
        <v>5</v>
      </c>
      <c r="G1126" s="1" t="s">
        <v>23</v>
      </c>
      <c r="J1126">
        <v>35750</v>
      </c>
      <c r="L1126">
        <v>47900</v>
      </c>
      <c r="M1126">
        <v>0</v>
      </c>
      <c r="N1126">
        <v>127.9072</v>
      </c>
      <c r="O1126">
        <v>-1.7353321000000001E-2</v>
      </c>
      <c r="P1126">
        <v>15259</v>
      </c>
      <c r="Q1126">
        <v>26.98</v>
      </c>
      <c r="R1126">
        <v>9.3699999999999992</v>
      </c>
      <c r="S1126">
        <v>81.12</v>
      </c>
      <c r="T1126">
        <v>12</v>
      </c>
      <c r="U1126" s="1" t="s">
        <v>24</v>
      </c>
      <c r="V1126">
        <v>-1.38</v>
      </c>
    </row>
    <row r="1127" spans="1:22" x14ac:dyDescent="0.3">
      <c r="A1127" s="2">
        <v>45151</v>
      </c>
      <c r="B1127">
        <v>35750</v>
      </c>
      <c r="C1127">
        <v>1320</v>
      </c>
      <c r="D1127">
        <v>8</v>
      </c>
      <c r="E1127" s="1" t="s">
        <v>43</v>
      </c>
      <c r="F1127">
        <v>6</v>
      </c>
      <c r="G1127" s="1" t="s">
        <v>23</v>
      </c>
      <c r="H1127">
        <v>36571.428571428572</v>
      </c>
      <c r="J1127">
        <v>35750</v>
      </c>
      <c r="L1127">
        <v>47650</v>
      </c>
      <c r="M1127">
        <v>0</v>
      </c>
      <c r="N1127">
        <v>127.9072</v>
      </c>
      <c r="O1127">
        <v>-1.7353321000000001E-2</v>
      </c>
      <c r="P1127">
        <v>15259</v>
      </c>
      <c r="Q1127">
        <v>26.5</v>
      </c>
      <c r="R1127">
        <v>2.98</v>
      </c>
      <c r="S1127">
        <v>84.34</v>
      </c>
      <c r="T1127">
        <v>13</v>
      </c>
      <c r="U1127" s="1" t="s">
        <v>24</v>
      </c>
      <c r="V1127">
        <v>-1.38</v>
      </c>
    </row>
    <row r="1128" spans="1:22" x14ac:dyDescent="0.3">
      <c r="A1128" s="2">
        <v>45152</v>
      </c>
      <c r="B1128">
        <v>35900</v>
      </c>
      <c r="C1128">
        <v>1321</v>
      </c>
      <c r="D1128">
        <v>8</v>
      </c>
      <c r="E1128" s="1" t="s">
        <v>43</v>
      </c>
      <c r="F1128">
        <v>0</v>
      </c>
      <c r="G1128" s="1" t="s">
        <v>23</v>
      </c>
      <c r="H1128">
        <v>35985.714285714283</v>
      </c>
      <c r="J1128">
        <v>35750</v>
      </c>
      <c r="K1128">
        <v>40000</v>
      </c>
      <c r="M1128">
        <v>150</v>
      </c>
      <c r="N1128">
        <v>127.9072</v>
      </c>
      <c r="O1128">
        <v>-1.7353321000000001E-2</v>
      </c>
      <c r="P1128">
        <v>15317</v>
      </c>
      <c r="Q1128">
        <v>26.63</v>
      </c>
      <c r="R1128">
        <v>0.49</v>
      </c>
      <c r="S1128">
        <v>83.28</v>
      </c>
      <c r="T1128">
        <v>14</v>
      </c>
      <c r="U1128" s="1"/>
      <c r="V1128">
        <v>0</v>
      </c>
    </row>
    <row r="1129" spans="1:22" x14ac:dyDescent="0.3">
      <c r="A1129" s="2">
        <v>45153</v>
      </c>
      <c r="B1129">
        <v>34650</v>
      </c>
      <c r="C1129">
        <v>1322</v>
      </c>
      <c r="D1129">
        <v>8</v>
      </c>
      <c r="E1129" s="1" t="s">
        <v>43</v>
      </c>
      <c r="F1129">
        <v>1</v>
      </c>
      <c r="G1129" s="1" t="s">
        <v>23</v>
      </c>
      <c r="H1129">
        <v>35757.142857142855</v>
      </c>
      <c r="J1129">
        <v>35900</v>
      </c>
      <c r="K1129">
        <v>36250</v>
      </c>
      <c r="M1129">
        <v>-1250</v>
      </c>
      <c r="N1129">
        <v>127.9072</v>
      </c>
      <c r="O1129">
        <v>-1.7353321000000001E-2</v>
      </c>
      <c r="P1129">
        <v>15347</v>
      </c>
      <c r="Q1129">
        <v>26.82</v>
      </c>
      <c r="R1129">
        <v>0.6</v>
      </c>
      <c r="S1129">
        <v>84.02</v>
      </c>
      <c r="T1129">
        <v>15</v>
      </c>
      <c r="U1129" s="1" t="s">
        <v>40</v>
      </c>
      <c r="V1129">
        <v>-3.48</v>
      </c>
    </row>
    <row r="1130" spans="1:22" x14ac:dyDescent="0.3">
      <c r="A1130" s="2">
        <v>45154</v>
      </c>
      <c r="B1130">
        <v>34650</v>
      </c>
      <c r="C1130">
        <v>1323</v>
      </c>
      <c r="D1130">
        <v>8</v>
      </c>
      <c r="E1130" s="1" t="s">
        <v>43</v>
      </c>
      <c r="F1130">
        <v>2</v>
      </c>
      <c r="G1130" s="1" t="s">
        <v>23</v>
      </c>
      <c r="H1130">
        <v>35528.571428571428</v>
      </c>
      <c r="J1130">
        <v>34650</v>
      </c>
      <c r="K1130">
        <v>36250</v>
      </c>
      <c r="L1130">
        <v>46000</v>
      </c>
      <c r="M1130">
        <v>0</v>
      </c>
      <c r="N1130">
        <v>127.9072</v>
      </c>
      <c r="O1130">
        <v>-1.7353321000000001E-2</v>
      </c>
      <c r="P1130">
        <v>15311.5</v>
      </c>
      <c r="Q1130">
        <v>26.89</v>
      </c>
      <c r="R1130">
        <v>2.72</v>
      </c>
      <c r="S1130">
        <v>82.5</v>
      </c>
      <c r="T1130">
        <v>16</v>
      </c>
      <c r="U1130" s="1" t="s">
        <v>25</v>
      </c>
      <c r="V1130">
        <v>0</v>
      </c>
    </row>
    <row r="1131" spans="1:22" x14ac:dyDescent="0.3">
      <c r="A1131" s="2">
        <v>45155</v>
      </c>
      <c r="B1131">
        <v>34650</v>
      </c>
      <c r="C1131">
        <v>1324</v>
      </c>
      <c r="D1131">
        <v>8</v>
      </c>
      <c r="E1131" s="1" t="s">
        <v>43</v>
      </c>
      <c r="F1131">
        <v>3</v>
      </c>
      <c r="G1131" s="1" t="s">
        <v>44</v>
      </c>
      <c r="H1131">
        <v>35300</v>
      </c>
      <c r="J1131">
        <v>34650</v>
      </c>
      <c r="K1131">
        <v>36250</v>
      </c>
      <c r="L1131">
        <v>45500</v>
      </c>
      <c r="M1131">
        <v>0</v>
      </c>
      <c r="N1131">
        <v>127.9072</v>
      </c>
      <c r="O1131">
        <v>-1.7353321000000001E-2</v>
      </c>
      <c r="P1131">
        <v>15362</v>
      </c>
      <c r="Q1131">
        <v>26.53</v>
      </c>
      <c r="R1131">
        <v>6.39</v>
      </c>
      <c r="S1131">
        <v>81.92</v>
      </c>
      <c r="T1131">
        <v>17</v>
      </c>
      <c r="U1131" s="1" t="s">
        <v>25</v>
      </c>
      <c r="V1131">
        <v>0</v>
      </c>
    </row>
    <row r="1132" spans="1:22" x14ac:dyDescent="0.3">
      <c r="A1132" s="2">
        <v>45156</v>
      </c>
      <c r="B1132">
        <v>35150</v>
      </c>
      <c r="C1132">
        <v>1325</v>
      </c>
      <c r="D1132">
        <v>8</v>
      </c>
      <c r="E1132" s="1" t="s">
        <v>43</v>
      </c>
      <c r="F1132">
        <v>4</v>
      </c>
      <c r="G1132" s="1" t="s">
        <v>23</v>
      </c>
      <c r="H1132">
        <v>35214.285714285717</v>
      </c>
      <c r="J1132">
        <v>34650</v>
      </c>
      <c r="K1132">
        <v>35750</v>
      </c>
      <c r="L1132">
        <v>45500</v>
      </c>
      <c r="M1132">
        <v>500</v>
      </c>
      <c r="N1132">
        <v>127.9072</v>
      </c>
      <c r="O1132">
        <v>-1.7353321000000001E-2</v>
      </c>
      <c r="P1132">
        <v>15362.5</v>
      </c>
      <c r="Q1132">
        <v>26.53</v>
      </c>
      <c r="R1132">
        <v>5.35</v>
      </c>
      <c r="S1132">
        <v>83.66</v>
      </c>
      <c r="T1132">
        <v>18</v>
      </c>
      <c r="U1132" s="1" t="s">
        <v>26</v>
      </c>
      <c r="V1132">
        <v>1.44</v>
      </c>
    </row>
    <row r="1133" spans="1:22" x14ac:dyDescent="0.3">
      <c r="A1133" s="2">
        <v>45159</v>
      </c>
      <c r="B1133">
        <v>35150</v>
      </c>
      <c r="C1133">
        <v>1328</v>
      </c>
      <c r="D1133">
        <v>8</v>
      </c>
      <c r="E1133" s="1" t="s">
        <v>43</v>
      </c>
      <c r="F1133">
        <v>0</v>
      </c>
      <c r="G1133" s="1" t="s">
        <v>23</v>
      </c>
      <c r="K1133">
        <v>35900</v>
      </c>
      <c r="L1133">
        <v>43250</v>
      </c>
      <c r="N1133">
        <v>127.9072</v>
      </c>
      <c r="O1133">
        <v>-1.7353321000000001E-2</v>
      </c>
      <c r="P1133">
        <v>15278</v>
      </c>
      <c r="Q1133">
        <v>26.56</v>
      </c>
      <c r="R1133">
        <v>0.41</v>
      </c>
      <c r="S1133">
        <v>82.45</v>
      </c>
      <c r="T1133">
        <v>21</v>
      </c>
      <c r="U1133" s="1" t="s">
        <v>25</v>
      </c>
      <c r="V1133">
        <v>0</v>
      </c>
    </row>
    <row r="1134" spans="1:22" x14ac:dyDescent="0.3">
      <c r="A1134" s="2">
        <v>45160</v>
      </c>
      <c r="B1134">
        <v>34650</v>
      </c>
      <c r="C1134">
        <v>1329</v>
      </c>
      <c r="D1134">
        <v>8</v>
      </c>
      <c r="E1134" s="1" t="s">
        <v>43</v>
      </c>
      <c r="F1134">
        <v>1</v>
      </c>
      <c r="G1134" s="1" t="s">
        <v>23</v>
      </c>
      <c r="J1134">
        <v>35150</v>
      </c>
      <c r="K1134">
        <v>34650</v>
      </c>
      <c r="L1134">
        <v>43250</v>
      </c>
      <c r="M1134">
        <v>-500</v>
      </c>
      <c r="N1134">
        <v>127.9072</v>
      </c>
      <c r="O1134">
        <v>-1.7353321000000001E-2</v>
      </c>
      <c r="P1134">
        <v>15318.900390000001</v>
      </c>
      <c r="Q1134">
        <v>26.38</v>
      </c>
      <c r="R1134">
        <v>3.1</v>
      </c>
      <c r="S1134">
        <v>83.27</v>
      </c>
      <c r="T1134">
        <v>22</v>
      </c>
      <c r="U1134" s="1" t="s">
        <v>24</v>
      </c>
      <c r="V1134">
        <v>-1.42</v>
      </c>
    </row>
    <row r="1135" spans="1:22" x14ac:dyDescent="0.3">
      <c r="A1135" s="2">
        <v>45161</v>
      </c>
      <c r="B1135">
        <v>34000</v>
      </c>
      <c r="C1135">
        <v>1330</v>
      </c>
      <c r="D1135">
        <v>8</v>
      </c>
      <c r="E1135" s="1" t="s">
        <v>43</v>
      </c>
      <c r="F1135">
        <v>2</v>
      </c>
      <c r="G1135" s="1" t="s">
        <v>23</v>
      </c>
      <c r="J1135">
        <v>34650</v>
      </c>
      <c r="K1135">
        <v>34650</v>
      </c>
      <c r="L1135">
        <v>41500</v>
      </c>
      <c r="M1135">
        <v>-650</v>
      </c>
      <c r="N1135">
        <v>127.9072</v>
      </c>
      <c r="O1135">
        <v>-1.7353321000000001E-2</v>
      </c>
      <c r="P1135">
        <v>15317</v>
      </c>
      <c r="Q1135">
        <v>26.19</v>
      </c>
      <c r="R1135">
        <v>1.66</v>
      </c>
      <c r="S1135">
        <v>85.2</v>
      </c>
      <c r="T1135">
        <v>23</v>
      </c>
      <c r="U1135" s="1" t="s">
        <v>72</v>
      </c>
      <c r="V1135">
        <v>-1.88</v>
      </c>
    </row>
    <row r="1136" spans="1:22" x14ac:dyDescent="0.3">
      <c r="A1136" s="2">
        <v>45162</v>
      </c>
      <c r="B1136">
        <v>33150</v>
      </c>
      <c r="C1136">
        <v>1331</v>
      </c>
      <c r="D1136">
        <v>8</v>
      </c>
      <c r="E1136" s="1" t="s">
        <v>43</v>
      </c>
      <c r="F1136">
        <v>3</v>
      </c>
      <c r="G1136" s="1" t="s">
        <v>23</v>
      </c>
      <c r="J1136">
        <v>34000</v>
      </c>
      <c r="K1136">
        <v>34650</v>
      </c>
      <c r="L1136">
        <v>40900</v>
      </c>
      <c r="M1136">
        <v>-850</v>
      </c>
      <c r="N1136">
        <v>127.9072</v>
      </c>
      <c r="O1136">
        <v>-1.7353321000000001E-2</v>
      </c>
      <c r="P1136">
        <v>15294.099609999999</v>
      </c>
      <c r="Q1136">
        <v>26.15</v>
      </c>
      <c r="R1136">
        <v>1.46</v>
      </c>
      <c r="S1136">
        <v>86.95</v>
      </c>
      <c r="T1136">
        <v>24</v>
      </c>
      <c r="U1136" s="1" t="s">
        <v>60</v>
      </c>
      <c r="V1136">
        <v>-2.5</v>
      </c>
    </row>
    <row r="1137" spans="1:22" x14ac:dyDescent="0.3">
      <c r="A1137" s="2">
        <v>45163</v>
      </c>
      <c r="B1137">
        <v>33500</v>
      </c>
      <c r="C1137">
        <v>1332</v>
      </c>
      <c r="D1137">
        <v>8</v>
      </c>
      <c r="E1137" s="1" t="s">
        <v>43</v>
      </c>
      <c r="F1137">
        <v>4</v>
      </c>
      <c r="G1137" s="1" t="s">
        <v>23</v>
      </c>
      <c r="J1137">
        <v>33150</v>
      </c>
      <c r="K1137">
        <v>35150</v>
      </c>
      <c r="L1137">
        <v>41400</v>
      </c>
      <c r="M1137">
        <v>350</v>
      </c>
      <c r="N1137">
        <v>127.9072</v>
      </c>
      <c r="O1137">
        <v>-1.7353321000000001E-2</v>
      </c>
      <c r="P1137">
        <v>15239</v>
      </c>
      <c r="Q1137">
        <v>26.59</v>
      </c>
      <c r="R1137">
        <v>1.01</v>
      </c>
      <c r="S1137">
        <v>86.12</v>
      </c>
      <c r="T1137">
        <v>25</v>
      </c>
      <c r="U1137" s="1" t="s">
        <v>68</v>
      </c>
      <c r="V1137">
        <v>1.06</v>
      </c>
    </row>
    <row r="1138" spans="1:22" x14ac:dyDescent="0.3">
      <c r="A1138" s="2">
        <v>45164</v>
      </c>
      <c r="B1138">
        <v>33500</v>
      </c>
      <c r="C1138">
        <v>1333</v>
      </c>
      <c r="D1138">
        <v>8</v>
      </c>
      <c r="E1138" s="1" t="s">
        <v>43</v>
      </c>
      <c r="F1138">
        <v>5</v>
      </c>
      <c r="G1138" s="1" t="s">
        <v>23</v>
      </c>
      <c r="J1138">
        <v>33500</v>
      </c>
      <c r="L1138">
        <v>41650</v>
      </c>
      <c r="M1138">
        <v>0</v>
      </c>
      <c r="N1138">
        <v>127.9072</v>
      </c>
      <c r="O1138">
        <v>-1.7353321000000001E-2</v>
      </c>
      <c r="P1138">
        <v>15239</v>
      </c>
      <c r="Q1138">
        <v>26.93</v>
      </c>
      <c r="R1138">
        <v>3.7</v>
      </c>
      <c r="S1138">
        <v>82.92</v>
      </c>
      <c r="T1138">
        <v>26</v>
      </c>
      <c r="U1138" s="1" t="s">
        <v>68</v>
      </c>
      <c r="V1138">
        <v>1.06</v>
      </c>
    </row>
    <row r="1139" spans="1:22" x14ac:dyDescent="0.3">
      <c r="A1139" s="2">
        <v>45165</v>
      </c>
      <c r="B1139">
        <v>33500</v>
      </c>
      <c r="C1139">
        <v>1334</v>
      </c>
      <c r="D1139">
        <v>8</v>
      </c>
      <c r="E1139" s="1" t="s">
        <v>43</v>
      </c>
      <c r="F1139">
        <v>6</v>
      </c>
      <c r="G1139" s="1" t="s">
        <v>23</v>
      </c>
      <c r="H1139">
        <v>33921.428571428572</v>
      </c>
      <c r="J1139">
        <v>33500</v>
      </c>
      <c r="L1139">
        <v>41400</v>
      </c>
      <c r="M1139">
        <v>0</v>
      </c>
      <c r="N1139">
        <v>127.9072</v>
      </c>
      <c r="O1139">
        <v>-1.7353321000000001E-2</v>
      </c>
      <c r="P1139">
        <v>15239</v>
      </c>
      <c r="Q1139">
        <v>26.56</v>
      </c>
      <c r="R1139">
        <v>8.09</v>
      </c>
      <c r="S1139">
        <v>82.46</v>
      </c>
      <c r="T1139">
        <v>27</v>
      </c>
      <c r="U1139" s="1" t="s">
        <v>68</v>
      </c>
      <c r="V1139">
        <v>1.06</v>
      </c>
    </row>
    <row r="1140" spans="1:22" x14ac:dyDescent="0.3">
      <c r="A1140" s="2">
        <v>45166</v>
      </c>
      <c r="B1140">
        <v>32500</v>
      </c>
      <c r="C1140">
        <v>1335</v>
      </c>
      <c r="D1140">
        <v>8</v>
      </c>
      <c r="E1140" s="1" t="s">
        <v>43</v>
      </c>
      <c r="F1140">
        <v>0</v>
      </c>
      <c r="G1140" s="1" t="s">
        <v>23</v>
      </c>
      <c r="H1140">
        <v>33542.857142857145</v>
      </c>
      <c r="J1140">
        <v>33500</v>
      </c>
      <c r="K1140">
        <v>35150</v>
      </c>
      <c r="L1140">
        <v>41400</v>
      </c>
      <c r="M1140">
        <v>-1000</v>
      </c>
      <c r="N1140">
        <v>127.9072</v>
      </c>
      <c r="O1140">
        <v>-1.7353321000000001E-2</v>
      </c>
      <c r="P1140">
        <v>15288</v>
      </c>
      <c r="Q1140">
        <v>26.82</v>
      </c>
      <c r="R1140">
        <v>0.22</v>
      </c>
      <c r="S1140">
        <v>82.4</v>
      </c>
      <c r="T1140">
        <v>28</v>
      </c>
      <c r="U1140" s="1"/>
      <c r="V1140">
        <v>0</v>
      </c>
    </row>
    <row r="1141" spans="1:22" x14ac:dyDescent="0.3">
      <c r="A1141" s="2">
        <v>45167</v>
      </c>
      <c r="B1141">
        <v>31250</v>
      </c>
      <c r="C1141">
        <v>1336</v>
      </c>
      <c r="D1141">
        <v>8</v>
      </c>
      <c r="E1141" s="1" t="s">
        <v>43</v>
      </c>
      <c r="F1141">
        <v>1</v>
      </c>
      <c r="G1141" s="1" t="s">
        <v>23</v>
      </c>
      <c r="H1141">
        <v>33057.142857142855</v>
      </c>
      <c r="J1141">
        <v>32500</v>
      </c>
      <c r="K1141">
        <v>34650</v>
      </c>
      <c r="L1141">
        <v>41400</v>
      </c>
      <c r="M1141">
        <v>-1250</v>
      </c>
      <c r="N1141">
        <v>127.9072</v>
      </c>
      <c r="O1141">
        <v>-1.7353321000000001E-2</v>
      </c>
      <c r="P1141">
        <v>15255.5</v>
      </c>
      <c r="Q1141">
        <v>26.75</v>
      </c>
      <c r="R1141">
        <v>0.63</v>
      </c>
      <c r="S1141">
        <v>84.26</v>
      </c>
      <c r="T1141">
        <v>29</v>
      </c>
      <c r="U1141" s="1" t="s">
        <v>40</v>
      </c>
      <c r="V1141">
        <v>-3.85</v>
      </c>
    </row>
    <row r="1142" spans="1:22" x14ac:dyDescent="0.3">
      <c r="A1142" s="2">
        <v>45168</v>
      </c>
      <c r="B1142">
        <v>31250</v>
      </c>
      <c r="C1142">
        <v>1337</v>
      </c>
      <c r="D1142">
        <v>8</v>
      </c>
      <c r="E1142" s="1" t="s">
        <v>43</v>
      </c>
      <c r="F1142">
        <v>2</v>
      </c>
      <c r="G1142" s="1" t="s">
        <v>23</v>
      </c>
      <c r="H1142">
        <v>32664.285714285714</v>
      </c>
      <c r="J1142">
        <v>31250</v>
      </c>
      <c r="K1142">
        <v>34000</v>
      </c>
      <c r="L1142">
        <v>40900</v>
      </c>
      <c r="M1142">
        <v>0</v>
      </c>
      <c r="N1142">
        <v>127.9072</v>
      </c>
      <c r="O1142">
        <v>-1.7353321000000001E-2</v>
      </c>
      <c r="P1142">
        <v>15196.5</v>
      </c>
      <c r="Q1142">
        <v>26.89</v>
      </c>
      <c r="R1142">
        <v>0.46</v>
      </c>
      <c r="S1142">
        <v>83.24</v>
      </c>
      <c r="T1142">
        <v>30</v>
      </c>
      <c r="U1142" s="1" t="s">
        <v>25</v>
      </c>
      <c r="V1142">
        <v>0</v>
      </c>
    </row>
    <row r="1143" spans="1:22" x14ac:dyDescent="0.3">
      <c r="A1143" s="2">
        <v>45169</v>
      </c>
      <c r="B1143">
        <v>31000</v>
      </c>
      <c r="C1143">
        <v>1338</v>
      </c>
      <c r="D1143">
        <v>8</v>
      </c>
      <c r="E1143" s="1" t="s">
        <v>43</v>
      </c>
      <c r="F1143">
        <v>3</v>
      </c>
      <c r="G1143" s="1" t="s">
        <v>23</v>
      </c>
      <c r="H1143">
        <v>32357.142857142859</v>
      </c>
      <c r="J1143">
        <v>31250</v>
      </c>
      <c r="K1143">
        <v>33150</v>
      </c>
      <c r="L1143">
        <v>40650</v>
      </c>
      <c r="M1143">
        <v>-250</v>
      </c>
      <c r="N1143">
        <v>127.9072</v>
      </c>
      <c r="O1143">
        <v>-1.7353321000000001E-2</v>
      </c>
      <c r="P1143">
        <v>15216</v>
      </c>
      <c r="Q1143">
        <v>26.92</v>
      </c>
      <c r="R1143">
        <v>0.15</v>
      </c>
      <c r="S1143">
        <v>80.88</v>
      </c>
      <c r="T1143">
        <v>31</v>
      </c>
      <c r="U1143" s="1" t="s">
        <v>35</v>
      </c>
      <c r="V1143">
        <v>-0.8</v>
      </c>
    </row>
    <row r="1144" spans="1:22" x14ac:dyDescent="0.3">
      <c r="A1144" s="2">
        <v>45170</v>
      </c>
      <c r="B1144">
        <v>30500</v>
      </c>
      <c r="C1144">
        <v>1339</v>
      </c>
      <c r="D1144">
        <v>9</v>
      </c>
      <c r="E1144" s="1" t="s">
        <v>43</v>
      </c>
      <c r="F1144">
        <v>4</v>
      </c>
      <c r="G1144" s="1" t="s">
        <v>23</v>
      </c>
      <c r="H1144">
        <v>31928.571428571428</v>
      </c>
      <c r="J1144">
        <v>31000</v>
      </c>
      <c r="K1144">
        <v>33500</v>
      </c>
      <c r="L1144">
        <v>41250</v>
      </c>
      <c r="M1144">
        <v>-500</v>
      </c>
      <c r="N1144">
        <v>128.1514</v>
      </c>
      <c r="O1144">
        <v>0.19091966699999999</v>
      </c>
      <c r="P1144">
        <v>15231</v>
      </c>
      <c r="Q1144">
        <v>27.06</v>
      </c>
      <c r="R1144">
        <v>0.31</v>
      </c>
      <c r="S1144">
        <v>82.77</v>
      </c>
      <c r="T1144">
        <v>1</v>
      </c>
      <c r="U1144" s="1" t="s">
        <v>24</v>
      </c>
      <c r="V1144">
        <v>-1.61</v>
      </c>
    </row>
    <row r="1145" spans="1:22" x14ac:dyDescent="0.3">
      <c r="A1145" s="2">
        <v>45171</v>
      </c>
      <c r="B1145">
        <v>30500</v>
      </c>
      <c r="C1145">
        <v>1340</v>
      </c>
      <c r="D1145">
        <v>9</v>
      </c>
      <c r="E1145" s="1" t="s">
        <v>43</v>
      </c>
      <c r="F1145">
        <v>5</v>
      </c>
      <c r="G1145" s="1" t="s">
        <v>23</v>
      </c>
      <c r="H1145">
        <v>31500</v>
      </c>
      <c r="J1145">
        <v>30500</v>
      </c>
      <c r="K1145">
        <v>33500</v>
      </c>
      <c r="L1145">
        <v>40750</v>
      </c>
      <c r="M1145">
        <v>0</v>
      </c>
      <c r="N1145">
        <v>128.1514</v>
      </c>
      <c r="O1145">
        <v>0.19091966699999999</v>
      </c>
      <c r="P1145">
        <v>15231</v>
      </c>
      <c r="Q1145">
        <v>26.92</v>
      </c>
      <c r="R1145">
        <v>0.04</v>
      </c>
      <c r="S1145">
        <v>80.47</v>
      </c>
      <c r="T1145">
        <v>2</v>
      </c>
      <c r="U1145" s="1" t="s">
        <v>24</v>
      </c>
      <c r="V1145">
        <v>-1.61</v>
      </c>
    </row>
    <row r="1146" spans="1:22" x14ac:dyDescent="0.3">
      <c r="A1146" s="2">
        <v>45172</v>
      </c>
      <c r="B1146">
        <v>30500</v>
      </c>
      <c r="C1146">
        <v>1341</v>
      </c>
      <c r="D1146">
        <v>9</v>
      </c>
      <c r="E1146" s="1" t="s">
        <v>43</v>
      </c>
      <c r="F1146">
        <v>6</v>
      </c>
      <c r="G1146" s="1" t="s">
        <v>23</v>
      </c>
      <c r="H1146">
        <v>31071.428571428572</v>
      </c>
      <c r="J1146">
        <v>30500</v>
      </c>
      <c r="K1146">
        <v>33500</v>
      </c>
      <c r="L1146">
        <v>40750</v>
      </c>
      <c r="M1146">
        <v>0</v>
      </c>
      <c r="N1146">
        <v>128.1514</v>
      </c>
      <c r="O1146">
        <v>0.19091966699999999</v>
      </c>
      <c r="P1146">
        <v>15231</v>
      </c>
      <c r="Q1146">
        <v>26.72</v>
      </c>
      <c r="R1146">
        <v>0.03</v>
      </c>
      <c r="S1146">
        <v>79.91</v>
      </c>
      <c r="T1146">
        <v>3</v>
      </c>
      <c r="U1146" s="1" t="s">
        <v>24</v>
      </c>
      <c r="V1146">
        <v>-1.61</v>
      </c>
    </row>
    <row r="1147" spans="1:22" x14ac:dyDescent="0.3">
      <c r="A1147" s="2">
        <v>45173</v>
      </c>
      <c r="B1147">
        <v>30250</v>
      </c>
      <c r="C1147">
        <v>1342</v>
      </c>
      <c r="D1147">
        <v>9</v>
      </c>
      <c r="E1147" s="1" t="s">
        <v>43</v>
      </c>
      <c r="F1147">
        <v>0</v>
      </c>
      <c r="G1147" s="1" t="s">
        <v>23</v>
      </c>
      <c r="H1147">
        <v>30750</v>
      </c>
      <c r="J1147">
        <v>30500</v>
      </c>
      <c r="K1147">
        <v>32500</v>
      </c>
      <c r="M1147">
        <v>-250</v>
      </c>
      <c r="N1147">
        <v>128.1514</v>
      </c>
      <c r="O1147">
        <v>0.19091966699999999</v>
      </c>
      <c r="P1147">
        <v>15233</v>
      </c>
      <c r="Q1147">
        <v>26.65</v>
      </c>
      <c r="R1147">
        <v>0.06</v>
      </c>
      <c r="S1147">
        <v>83.64</v>
      </c>
      <c r="T1147">
        <v>4</v>
      </c>
      <c r="U1147" s="1" t="s">
        <v>35</v>
      </c>
      <c r="V1147">
        <v>-0.82</v>
      </c>
    </row>
    <row r="1148" spans="1:22" x14ac:dyDescent="0.3">
      <c r="A1148" s="2">
        <v>45174</v>
      </c>
      <c r="B1148">
        <v>30250</v>
      </c>
      <c r="C1148">
        <v>1343</v>
      </c>
      <c r="D1148">
        <v>9</v>
      </c>
      <c r="E1148" s="1" t="s">
        <v>43</v>
      </c>
      <c r="F1148">
        <v>1</v>
      </c>
      <c r="G1148" s="1" t="s">
        <v>23</v>
      </c>
      <c r="H1148">
        <v>30607.142857142859</v>
      </c>
      <c r="J1148">
        <v>30250</v>
      </c>
      <c r="K1148">
        <v>31250</v>
      </c>
      <c r="M1148">
        <v>0</v>
      </c>
      <c r="N1148">
        <v>128.1514</v>
      </c>
      <c r="O1148">
        <v>0.19091966699999999</v>
      </c>
      <c r="P1148">
        <v>15227</v>
      </c>
      <c r="Q1148">
        <v>26.6</v>
      </c>
      <c r="R1148">
        <v>1.05</v>
      </c>
      <c r="S1148">
        <v>84.1</v>
      </c>
      <c r="T1148">
        <v>5</v>
      </c>
      <c r="U1148" s="1" t="s">
        <v>25</v>
      </c>
      <c r="V1148">
        <v>0</v>
      </c>
    </row>
    <row r="1149" spans="1:22" x14ac:dyDescent="0.3">
      <c r="A1149" s="2">
        <v>45175</v>
      </c>
      <c r="B1149">
        <v>30750</v>
      </c>
      <c r="C1149">
        <v>1344</v>
      </c>
      <c r="D1149">
        <v>9</v>
      </c>
      <c r="E1149" s="1" t="s">
        <v>43</v>
      </c>
      <c r="F1149">
        <v>2</v>
      </c>
      <c r="G1149" s="1" t="s">
        <v>23</v>
      </c>
      <c r="H1149">
        <v>30535.714285714286</v>
      </c>
      <c r="J1149">
        <v>30250</v>
      </c>
      <c r="K1149">
        <v>31250</v>
      </c>
      <c r="L1149">
        <v>40000</v>
      </c>
      <c r="M1149">
        <v>500</v>
      </c>
      <c r="N1149">
        <v>128.1514</v>
      </c>
      <c r="O1149">
        <v>0.19091966699999999</v>
      </c>
      <c r="P1149">
        <v>15298</v>
      </c>
      <c r="Q1149">
        <v>26.75</v>
      </c>
      <c r="R1149">
        <v>2.02</v>
      </c>
      <c r="S1149">
        <v>84.19</v>
      </c>
      <c r="T1149">
        <v>6</v>
      </c>
      <c r="U1149" s="1" t="s">
        <v>26</v>
      </c>
      <c r="V1149">
        <v>1.65</v>
      </c>
    </row>
    <row r="1150" spans="1:22" x14ac:dyDescent="0.3">
      <c r="A1150" s="2">
        <v>45176</v>
      </c>
      <c r="B1150">
        <v>30250</v>
      </c>
      <c r="C1150">
        <v>1345</v>
      </c>
      <c r="D1150">
        <v>9</v>
      </c>
      <c r="E1150" s="1" t="s">
        <v>43</v>
      </c>
      <c r="F1150">
        <v>3</v>
      </c>
      <c r="G1150" s="1" t="s">
        <v>23</v>
      </c>
      <c r="H1150">
        <v>30428.571428571428</v>
      </c>
      <c r="J1150">
        <v>30750</v>
      </c>
      <c r="K1150">
        <v>31000</v>
      </c>
      <c r="L1150">
        <v>36250</v>
      </c>
      <c r="M1150">
        <v>-500</v>
      </c>
      <c r="N1150">
        <v>128.1514</v>
      </c>
      <c r="O1150">
        <v>0.19091966699999999</v>
      </c>
      <c r="P1150">
        <v>15336</v>
      </c>
      <c r="Q1150">
        <v>26.64</v>
      </c>
      <c r="R1150">
        <v>1.44</v>
      </c>
      <c r="S1150">
        <v>83.97</v>
      </c>
      <c r="T1150">
        <v>7</v>
      </c>
      <c r="U1150" s="1" t="s">
        <v>24</v>
      </c>
      <c r="V1150">
        <v>-1.63</v>
      </c>
    </row>
    <row r="1151" spans="1:22" x14ac:dyDescent="0.3">
      <c r="A1151" s="2">
        <v>45177</v>
      </c>
      <c r="B1151">
        <v>30750</v>
      </c>
      <c r="C1151">
        <v>1346</v>
      </c>
      <c r="D1151">
        <v>9</v>
      </c>
      <c r="E1151" s="1" t="s">
        <v>43</v>
      </c>
      <c r="F1151">
        <v>4</v>
      </c>
      <c r="G1151" s="1" t="s">
        <v>23</v>
      </c>
      <c r="H1151">
        <v>30464.285714285714</v>
      </c>
      <c r="J1151">
        <v>30250</v>
      </c>
      <c r="K1151">
        <v>30500</v>
      </c>
      <c r="L1151">
        <v>36250</v>
      </c>
      <c r="M1151">
        <v>500</v>
      </c>
      <c r="N1151">
        <v>128.1514</v>
      </c>
      <c r="O1151">
        <v>0.19091966699999999</v>
      </c>
      <c r="P1151">
        <v>15342</v>
      </c>
      <c r="Q1151">
        <v>27.14</v>
      </c>
      <c r="R1151">
        <v>0.22</v>
      </c>
      <c r="S1151">
        <v>76.23</v>
      </c>
      <c r="T1151">
        <v>8</v>
      </c>
      <c r="U1151" s="1" t="s">
        <v>26</v>
      </c>
      <c r="V1151">
        <v>1.65</v>
      </c>
    </row>
    <row r="1152" spans="1:22" x14ac:dyDescent="0.3">
      <c r="A1152" s="2">
        <v>45178</v>
      </c>
      <c r="B1152">
        <v>30750</v>
      </c>
      <c r="C1152">
        <v>1347</v>
      </c>
      <c r="D1152">
        <v>9</v>
      </c>
      <c r="E1152" s="1" t="s">
        <v>43</v>
      </c>
      <c r="F1152">
        <v>5</v>
      </c>
      <c r="G1152" s="1" t="s">
        <v>23</v>
      </c>
      <c r="H1152">
        <v>30500</v>
      </c>
      <c r="J1152">
        <v>30750</v>
      </c>
      <c r="K1152">
        <v>30500</v>
      </c>
      <c r="L1152">
        <v>36250</v>
      </c>
      <c r="M1152">
        <v>0</v>
      </c>
      <c r="N1152">
        <v>128.1514</v>
      </c>
      <c r="O1152">
        <v>0.19091966699999999</v>
      </c>
      <c r="P1152">
        <v>15342</v>
      </c>
      <c r="Q1152">
        <v>27.32</v>
      </c>
      <c r="R1152">
        <v>0.03</v>
      </c>
      <c r="S1152">
        <v>75.72</v>
      </c>
      <c r="T1152">
        <v>9</v>
      </c>
      <c r="U1152" s="1" t="s">
        <v>26</v>
      </c>
      <c r="V1152">
        <v>1.65</v>
      </c>
    </row>
    <row r="1153" spans="1:22" x14ac:dyDescent="0.3">
      <c r="A1153" s="2">
        <v>45179</v>
      </c>
      <c r="B1153">
        <v>30750</v>
      </c>
      <c r="C1153">
        <v>1348</v>
      </c>
      <c r="D1153">
        <v>9</v>
      </c>
      <c r="E1153" s="1" t="s">
        <v>43</v>
      </c>
      <c r="F1153">
        <v>6</v>
      </c>
      <c r="G1153" s="1" t="s">
        <v>23</v>
      </c>
      <c r="H1153">
        <v>30535.714285714286</v>
      </c>
      <c r="J1153">
        <v>30750</v>
      </c>
      <c r="K1153">
        <v>30500</v>
      </c>
      <c r="L1153">
        <v>35750</v>
      </c>
      <c r="M1153">
        <v>0</v>
      </c>
      <c r="N1153">
        <v>128.1514</v>
      </c>
      <c r="O1153">
        <v>0.19091966699999999</v>
      </c>
      <c r="P1153">
        <v>15342</v>
      </c>
      <c r="Q1153">
        <v>26.87</v>
      </c>
      <c r="R1153">
        <v>2.62</v>
      </c>
      <c r="S1153">
        <v>83.1</v>
      </c>
      <c r="T1153">
        <v>10</v>
      </c>
      <c r="U1153" s="1" t="s">
        <v>26</v>
      </c>
      <c r="V1153">
        <v>1.65</v>
      </c>
    </row>
    <row r="1154" spans="1:22" x14ac:dyDescent="0.3">
      <c r="A1154" s="2">
        <v>45180</v>
      </c>
      <c r="B1154">
        <v>30500</v>
      </c>
      <c r="C1154">
        <v>1349</v>
      </c>
      <c r="D1154">
        <v>9</v>
      </c>
      <c r="E1154" s="1" t="s">
        <v>43</v>
      </c>
      <c r="F1154">
        <v>0</v>
      </c>
      <c r="G1154" s="1" t="s">
        <v>23</v>
      </c>
      <c r="H1154">
        <v>30571.428571428572</v>
      </c>
      <c r="J1154">
        <v>30750</v>
      </c>
      <c r="K1154">
        <v>30250</v>
      </c>
      <c r="L1154">
        <v>35750</v>
      </c>
      <c r="M1154">
        <v>-250</v>
      </c>
      <c r="N1154">
        <v>128.1514</v>
      </c>
      <c r="O1154">
        <v>0.19091966699999999</v>
      </c>
      <c r="P1154">
        <v>15318</v>
      </c>
      <c r="Q1154">
        <v>26.82</v>
      </c>
      <c r="R1154">
        <v>4.63</v>
      </c>
      <c r="S1154">
        <v>80.650000000000006</v>
      </c>
      <c r="T1154">
        <v>11</v>
      </c>
      <c r="U1154" s="1" t="s">
        <v>35</v>
      </c>
      <c r="V1154">
        <v>-0.81</v>
      </c>
    </row>
    <row r="1155" spans="1:22" x14ac:dyDescent="0.3">
      <c r="A1155" s="2">
        <v>45181</v>
      </c>
      <c r="B1155">
        <v>30500</v>
      </c>
      <c r="C1155">
        <v>1350</v>
      </c>
      <c r="D1155">
        <v>9</v>
      </c>
      <c r="E1155" s="1" t="s">
        <v>43</v>
      </c>
      <c r="F1155">
        <v>1</v>
      </c>
      <c r="G1155" s="1" t="s">
        <v>23</v>
      </c>
      <c r="H1155">
        <v>30607.142857142859</v>
      </c>
      <c r="J1155">
        <v>30500</v>
      </c>
      <c r="K1155">
        <v>30250</v>
      </c>
      <c r="L1155">
        <v>35750</v>
      </c>
      <c r="M1155">
        <v>0</v>
      </c>
      <c r="N1155">
        <v>128.1514</v>
      </c>
      <c r="O1155">
        <v>0.19091966699999999</v>
      </c>
      <c r="P1155">
        <v>15339.099609999999</v>
      </c>
      <c r="Q1155">
        <v>27.05</v>
      </c>
      <c r="R1155">
        <v>3.37</v>
      </c>
      <c r="S1155">
        <v>77.069999999999993</v>
      </c>
      <c r="T1155">
        <v>12</v>
      </c>
      <c r="U1155" s="1" t="s">
        <v>25</v>
      </c>
      <c r="V1155">
        <v>0</v>
      </c>
    </row>
    <row r="1156" spans="1:22" x14ac:dyDescent="0.3">
      <c r="A1156" s="2">
        <v>45182</v>
      </c>
      <c r="B1156">
        <v>30500</v>
      </c>
      <c r="C1156">
        <v>1351</v>
      </c>
      <c r="D1156">
        <v>9</v>
      </c>
      <c r="E1156" s="1" t="s">
        <v>43</v>
      </c>
      <c r="F1156">
        <v>2</v>
      </c>
      <c r="G1156" s="1" t="s">
        <v>23</v>
      </c>
      <c r="H1156">
        <v>30571.428571428572</v>
      </c>
      <c r="J1156">
        <v>30500</v>
      </c>
      <c r="K1156">
        <v>30750</v>
      </c>
      <c r="L1156">
        <v>35900</v>
      </c>
      <c r="M1156">
        <v>0</v>
      </c>
      <c r="N1156">
        <v>128.1514</v>
      </c>
      <c r="O1156">
        <v>0.19091966699999999</v>
      </c>
      <c r="P1156">
        <v>15350.200199999999</v>
      </c>
      <c r="Q1156">
        <v>26.39</v>
      </c>
      <c r="R1156">
        <v>15.72</v>
      </c>
      <c r="S1156">
        <v>80.67</v>
      </c>
      <c r="T1156">
        <v>13</v>
      </c>
      <c r="U1156" s="1" t="s">
        <v>25</v>
      </c>
      <c r="V1156">
        <v>0</v>
      </c>
    </row>
    <row r="1157" spans="1:22" x14ac:dyDescent="0.3">
      <c r="A1157" s="2">
        <v>45183</v>
      </c>
      <c r="B1157">
        <v>30000</v>
      </c>
      <c r="C1157">
        <v>1352</v>
      </c>
      <c r="D1157">
        <v>9</v>
      </c>
      <c r="E1157" s="1" t="s">
        <v>43</v>
      </c>
      <c r="F1157">
        <v>3</v>
      </c>
      <c r="G1157" s="1" t="s">
        <v>23</v>
      </c>
      <c r="H1157">
        <v>30535.714285714286</v>
      </c>
      <c r="J1157">
        <v>30500</v>
      </c>
      <c r="K1157">
        <v>30250</v>
      </c>
      <c r="L1157">
        <v>34650</v>
      </c>
      <c r="M1157">
        <v>-500</v>
      </c>
      <c r="N1157">
        <v>128.1514</v>
      </c>
      <c r="O1157">
        <v>0.19091966699999999</v>
      </c>
      <c r="P1157">
        <v>15353</v>
      </c>
      <c r="Q1157">
        <v>26.57</v>
      </c>
      <c r="R1157">
        <v>0.57999999999999996</v>
      </c>
      <c r="S1157">
        <v>79.64</v>
      </c>
      <c r="T1157">
        <v>14</v>
      </c>
      <c r="U1157" s="1" t="s">
        <v>24</v>
      </c>
      <c r="V1157">
        <v>-1.64</v>
      </c>
    </row>
    <row r="1158" spans="1:22" x14ac:dyDescent="0.3">
      <c r="A1158" s="2">
        <v>45184</v>
      </c>
      <c r="B1158">
        <v>30000</v>
      </c>
      <c r="C1158">
        <v>1353</v>
      </c>
      <c r="D1158">
        <v>9</v>
      </c>
      <c r="E1158" s="1" t="s">
        <v>43</v>
      </c>
      <c r="F1158">
        <v>4</v>
      </c>
      <c r="G1158" s="1" t="s">
        <v>23</v>
      </c>
      <c r="H1158">
        <v>30428.571428571428</v>
      </c>
      <c r="J1158">
        <v>30000</v>
      </c>
      <c r="K1158">
        <v>30750</v>
      </c>
      <c r="L1158">
        <v>34650</v>
      </c>
      <c r="M1158">
        <v>0</v>
      </c>
      <c r="N1158">
        <v>128.1514</v>
      </c>
      <c r="O1158">
        <v>0.19091966699999999</v>
      </c>
      <c r="P1158">
        <v>15395</v>
      </c>
      <c r="Q1158">
        <v>26.2</v>
      </c>
      <c r="R1158">
        <v>6.14</v>
      </c>
      <c r="S1158">
        <v>85.8</v>
      </c>
      <c r="T1158">
        <v>15</v>
      </c>
      <c r="U1158" s="1" t="s">
        <v>25</v>
      </c>
      <c r="V1158">
        <v>0</v>
      </c>
    </row>
    <row r="1159" spans="1:22" x14ac:dyDescent="0.3">
      <c r="A1159" s="2">
        <v>45187</v>
      </c>
      <c r="B1159">
        <v>30750</v>
      </c>
      <c r="C1159">
        <v>1356</v>
      </c>
      <c r="D1159">
        <v>9</v>
      </c>
      <c r="E1159" s="1" t="s">
        <v>43</v>
      </c>
      <c r="F1159">
        <v>0</v>
      </c>
      <c r="G1159" s="1" t="s">
        <v>23</v>
      </c>
      <c r="K1159">
        <v>30500</v>
      </c>
      <c r="N1159">
        <v>128.1514</v>
      </c>
      <c r="O1159">
        <v>0.19091966699999999</v>
      </c>
      <c r="P1159">
        <v>15346</v>
      </c>
      <c r="Q1159">
        <v>26.59</v>
      </c>
      <c r="R1159">
        <v>2.16</v>
      </c>
      <c r="S1159">
        <v>82.91</v>
      </c>
      <c r="T1159">
        <v>18</v>
      </c>
      <c r="U1159" s="1" t="s">
        <v>52</v>
      </c>
      <c r="V1159">
        <v>2.5</v>
      </c>
    </row>
    <row r="1160" spans="1:22" x14ac:dyDescent="0.3">
      <c r="A1160" s="2">
        <v>45188</v>
      </c>
      <c r="B1160">
        <v>30750</v>
      </c>
      <c r="C1160">
        <v>1357</v>
      </c>
      <c r="D1160">
        <v>9</v>
      </c>
      <c r="E1160" s="1" t="s">
        <v>43</v>
      </c>
      <c r="F1160">
        <v>1</v>
      </c>
      <c r="G1160" s="1" t="s">
        <v>23</v>
      </c>
      <c r="J1160">
        <v>30750</v>
      </c>
      <c r="K1160">
        <v>30500</v>
      </c>
      <c r="M1160">
        <v>0</v>
      </c>
      <c r="N1160">
        <v>128.1514</v>
      </c>
      <c r="O1160">
        <v>0.19091966699999999</v>
      </c>
      <c r="P1160">
        <v>15377</v>
      </c>
      <c r="Q1160">
        <v>26.86</v>
      </c>
      <c r="R1160">
        <v>0.95</v>
      </c>
      <c r="S1160">
        <v>80.41</v>
      </c>
      <c r="T1160">
        <v>19</v>
      </c>
      <c r="U1160" s="1" t="s">
        <v>25</v>
      </c>
      <c r="V1160">
        <v>0</v>
      </c>
    </row>
    <row r="1161" spans="1:22" x14ac:dyDescent="0.3">
      <c r="A1161" s="2">
        <v>45189</v>
      </c>
      <c r="B1161">
        <v>30750</v>
      </c>
      <c r="C1161">
        <v>1358</v>
      </c>
      <c r="D1161">
        <v>9</v>
      </c>
      <c r="E1161" s="1" t="s">
        <v>43</v>
      </c>
      <c r="F1161">
        <v>2</v>
      </c>
      <c r="G1161" s="1" t="s">
        <v>23</v>
      </c>
      <c r="J1161">
        <v>30750</v>
      </c>
      <c r="K1161">
        <v>30500</v>
      </c>
      <c r="L1161">
        <v>35150</v>
      </c>
      <c r="M1161">
        <v>0</v>
      </c>
      <c r="N1161">
        <v>128.1514</v>
      </c>
      <c r="O1161">
        <v>0.19091966699999999</v>
      </c>
      <c r="P1161">
        <v>15384.5</v>
      </c>
      <c r="Q1161">
        <v>27.22</v>
      </c>
      <c r="R1161">
        <v>0.42</v>
      </c>
      <c r="S1161">
        <v>78.86</v>
      </c>
      <c r="T1161">
        <v>20</v>
      </c>
      <c r="U1161" s="1" t="s">
        <v>25</v>
      </c>
      <c r="V1161">
        <v>0</v>
      </c>
    </row>
    <row r="1162" spans="1:22" x14ac:dyDescent="0.3">
      <c r="A1162" s="2">
        <v>45190</v>
      </c>
      <c r="B1162">
        <v>31000</v>
      </c>
      <c r="C1162">
        <v>1359</v>
      </c>
      <c r="D1162">
        <v>9</v>
      </c>
      <c r="E1162" s="1" t="s">
        <v>43</v>
      </c>
      <c r="F1162">
        <v>3</v>
      </c>
      <c r="G1162" s="1" t="s">
        <v>23</v>
      </c>
      <c r="J1162">
        <v>30750</v>
      </c>
      <c r="K1162">
        <v>30000</v>
      </c>
      <c r="L1162">
        <v>34650</v>
      </c>
      <c r="M1162">
        <v>250</v>
      </c>
      <c r="N1162">
        <v>128.1514</v>
      </c>
      <c r="O1162">
        <v>0.19091966699999999</v>
      </c>
      <c r="P1162">
        <v>15361</v>
      </c>
      <c r="Q1162">
        <v>27.18</v>
      </c>
      <c r="R1162">
        <v>0.03</v>
      </c>
      <c r="S1162">
        <v>78.150000000000006</v>
      </c>
      <c r="T1162">
        <v>21</v>
      </c>
      <c r="U1162" s="1" t="s">
        <v>34</v>
      </c>
      <c r="V1162">
        <v>0.81</v>
      </c>
    </row>
    <row r="1163" spans="1:22" x14ac:dyDescent="0.3">
      <c r="A1163" s="2">
        <v>45191</v>
      </c>
      <c r="B1163">
        <v>31000</v>
      </c>
      <c r="C1163">
        <v>1360</v>
      </c>
      <c r="D1163">
        <v>9</v>
      </c>
      <c r="E1163" s="1" t="s">
        <v>43</v>
      </c>
      <c r="F1163">
        <v>4</v>
      </c>
      <c r="G1163" s="1" t="s">
        <v>23</v>
      </c>
      <c r="J1163">
        <v>31000</v>
      </c>
      <c r="K1163">
        <v>30000</v>
      </c>
      <c r="L1163">
        <v>34000</v>
      </c>
      <c r="M1163">
        <v>0</v>
      </c>
      <c r="N1163">
        <v>128.1514</v>
      </c>
      <c r="O1163">
        <v>0.19091966699999999</v>
      </c>
      <c r="P1163">
        <v>15400.5</v>
      </c>
      <c r="Q1163">
        <v>27.11</v>
      </c>
      <c r="R1163">
        <v>0.02</v>
      </c>
      <c r="S1163">
        <v>76.75</v>
      </c>
      <c r="T1163">
        <v>22</v>
      </c>
      <c r="U1163" s="1" t="s">
        <v>25</v>
      </c>
      <c r="V1163">
        <v>0</v>
      </c>
    </row>
    <row r="1164" spans="1:22" x14ac:dyDescent="0.3">
      <c r="A1164" s="2">
        <v>45194</v>
      </c>
      <c r="B1164">
        <v>30250</v>
      </c>
      <c r="C1164">
        <v>1363</v>
      </c>
      <c r="D1164">
        <v>9</v>
      </c>
      <c r="E1164" s="1" t="s">
        <v>43</v>
      </c>
      <c r="F1164">
        <v>0</v>
      </c>
      <c r="G1164" s="1" t="s">
        <v>23</v>
      </c>
      <c r="K1164">
        <v>30750</v>
      </c>
      <c r="L1164">
        <v>33500</v>
      </c>
      <c r="N1164">
        <v>128.1514</v>
      </c>
      <c r="O1164">
        <v>0.19091966699999999</v>
      </c>
      <c r="P1164">
        <v>15368</v>
      </c>
      <c r="Q1164">
        <v>27.43</v>
      </c>
      <c r="R1164">
        <v>0.34</v>
      </c>
      <c r="S1164">
        <v>76.739999999999995</v>
      </c>
      <c r="T1164">
        <v>25</v>
      </c>
      <c r="U1164" s="1"/>
      <c r="V1164">
        <v>0</v>
      </c>
    </row>
    <row r="1165" spans="1:22" x14ac:dyDescent="0.3">
      <c r="A1165" s="2">
        <v>45195</v>
      </c>
      <c r="B1165">
        <v>30250</v>
      </c>
      <c r="C1165">
        <v>1364</v>
      </c>
      <c r="D1165">
        <v>9</v>
      </c>
      <c r="E1165" s="1" t="s">
        <v>43</v>
      </c>
      <c r="F1165">
        <v>1</v>
      </c>
      <c r="G1165" s="1" t="s">
        <v>23</v>
      </c>
      <c r="J1165">
        <v>30250</v>
      </c>
      <c r="K1165">
        <v>30750</v>
      </c>
      <c r="L1165">
        <v>33500</v>
      </c>
      <c r="M1165">
        <v>0</v>
      </c>
      <c r="N1165">
        <v>128.1514</v>
      </c>
      <c r="O1165">
        <v>0.19091966699999999</v>
      </c>
      <c r="P1165">
        <v>15405</v>
      </c>
      <c r="Q1165">
        <v>27.13</v>
      </c>
      <c r="R1165">
        <v>0.01</v>
      </c>
      <c r="S1165">
        <v>75.31</v>
      </c>
      <c r="T1165">
        <v>26</v>
      </c>
      <c r="U1165" s="1" t="s">
        <v>25</v>
      </c>
      <c r="V1165">
        <v>0</v>
      </c>
    </row>
    <row r="1166" spans="1:22" x14ac:dyDescent="0.3">
      <c r="A1166" s="2">
        <v>45196</v>
      </c>
      <c r="B1166">
        <v>30250</v>
      </c>
      <c r="C1166">
        <v>1365</v>
      </c>
      <c r="D1166">
        <v>9</v>
      </c>
      <c r="E1166" s="1" t="s">
        <v>43</v>
      </c>
      <c r="F1166">
        <v>2</v>
      </c>
      <c r="G1166" s="1" t="s">
        <v>23</v>
      </c>
      <c r="J1166">
        <v>30250</v>
      </c>
      <c r="K1166">
        <v>30750</v>
      </c>
      <c r="L1166">
        <v>32500</v>
      </c>
      <c r="M1166">
        <v>0</v>
      </c>
      <c r="N1166">
        <v>128.1514</v>
      </c>
      <c r="O1166">
        <v>0.19091966699999999</v>
      </c>
      <c r="P1166">
        <v>15493</v>
      </c>
      <c r="Q1166">
        <v>27.18</v>
      </c>
      <c r="R1166">
        <v>0.03</v>
      </c>
      <c r="S1166">
        <v>75.52</v>
      </c>
      <c r="T1166">
        <v>27</v>
      </c>
      <c r="U1166" s="1" t="s">
        <v>25</v>
      </c>
      <c r="V1166">
        <v>0</v>
      </c>
    </row>
    <row r="1167" spans="1:22" x14ac:dyDescent="0.3">
      <c r="A1167" s="2">
        <v>45197</v>
      </c>
      <c r="B1167">
        <v>30250</v>
      </c>
      <c r="C1167">
        <v>1366</v>
      </c>
      <c r="D1167">
        <v>9</v>
      </c>
      <c r="E1167" s="1" t="s">
        <v>43</v>
      </c>
      <c r="F1167">
        <v>3</v>
      </c>
      <c r="G1167" s="1" t="s">
        <v>44</v>
      </c>
      <c r="J1167">
        <v>30250</v>
      </c>
      <c r="K1167">
        <v>31000</v>
      </c>
      <c r="L1167">
        <v>31250</v>
      </c>
      <c r="M1167">
        <v>0</v>
      </c>
      <c r="N1167">
        <v>128.1514</v>
      </c>
      <c r="O1167">
        <v>0.19091966699999999</v>
      </c>
      <c r="P1167">
        <v>15569</v>
      </c>
      <c r="Q1167">
        <v>27.34</v>
      </c>
      <c r="R1167">
        <v>0.04</v>
      </c>
      <c r="S1167">
        <v>77.36</v>
      </c>
      <c r="T1167">
        <v>28</v>
      </c>
      <c r="U1167" s="1" t="s">
        <v>25</v>
      </c>
      <c r="V1167">
        <v>0</v>
      </c>
    </row>
    <row r="1168" spans="1:22" x14ac:dyDescent="0.3">
      <c r="A1168" s="2">
        <v>45198</v>
      </c>
      <c r="B1168">
        <v>30250</v>
      </c>
      <c r="C1168">
        <v>1367</v>
      </c>
      <c r="D1168">
        <v>9</v>
      </c>
      <c r="E1168" s="1" t="s">
        <v>43</v>
      </c>
      <c r="F1168">
        <v>4</v>
      </c>
      <c r="G1168" s="1" t="s">
        <v>23</v>
      </c>
      <c r="J1168">
        <v>30250</v>
      </c>
      <c r="K1168">
        <v>31000</v>
      </c>
      <c r="L1168">
        <v>31250</v>
      </c>
      <c r="M1168">
        <v>0</v>
      </c>
      <c r="N1168">
        <v>128.1514</v>
      </c>
      <c r="O1168">
        <v>0.19091966699999999</v>
      </c>
      <c r="P1168">
        <v>15474</v>
      </c>
      <c r="Q1168">
        <v>27.8</v>
      </c>
      <c r="R1168">
        <v>7.0000000000000007E-2</v>
      </c>
      <c r="S1168">
        <v>75.739999999999995</v>
      </c>
      <c r="T1168">
        <v>29</v>
      </c>
      <c r="U1168" s="1" t="s">
        <v>25</v>
      </c>
      <c r="V1168">
        <v>0</v>
      </c>
    </row>
    <row r="1169" spans="1:22" x14ac:dyDescent="0.3">
      <c r="A1169" s="2">
        <v>45199</v>
      </c>
      <c r="B1169">
        <v>30250</v>
      </c>
      <c r="C1169">
        <v>1368</v>
      </c>
      <c r="D1169">
        <v>9</v>
      </c>
      <c r="E1169" s="1" t="s">
        <v>43</v>
      </c>
      <c r="F1169">
        <v>5</v>
      </c>
      <c r="G1169" s="1" t="s">
        <v>23</v>
      </c>
      <c r="J1169">
        <v>30250</v>
      </c>
      <c r="L1169">
        <v>31000</v>
      </c>
      <c r="M1169">
        <v>0</v>
      </c>
      <c r="N1169">
        <v>128.1514</v>
      </c>
      <c r="O1169">
        <v>0.19091966699999999</v>
      </c>
      <c r="P1169">
        <v>15474</v>
      </c>
      <c r="Q1169">
        <v>27.47</v>
      </c>
      <c r="R1169">
        <v>7.0000000000000007E-2</v>
      </c>
      <c r="S1169">
        <v>77.89</v>
      </c>
      <c r="T1169">
        <v>30</v>
      </c>
      <c r="U1169" s="1" t="s">
        <v>25</v>
      </c>
      <c r="V1169">
        <v>0</v>
      </c>
    </row>
    <row r="1170" spans="1:22" x14ac:dyDescent="0.3">
      <c r="A1170" s="2">
        <v>45200</v>
      </c>
      <c r="B1170">
        <v>30250</v>
      </c>
      <c r="C1170">
        <v>1369</v>
      </c>
      <c r="D1170">
        <v>10</v>
      </c>
      <c r="E1170" s="1" t="s">
        <v>22</v>
      </c>
      <c r="F1170">
        <v>6</v>
      </c>
      <c r="G1170" s="1" t="s">
        <v>23</v>
      </c>
      <c r="H1170">
        <v>30250</v>
      </c>
      <c r="J1170">
        <v>30250</v>
      </c>
      <c r="L1170">
        <v>30500</v>
      </c>
      <c r="M1170">
        <v>0</v>
      </c>
      <c r="N1170">
        <v>128.3734</v>
      </c>
      <c r="O1170">
        <v>0.17323259799999999</v>
      </c>
      <c r="P1170">
        <v>15474</v>
      </c>
      <c r="Q1170">
        <v>27.71</v>
      </c>
      <c r="R1170">
        <v>0.04</v>
      </c>
      <c r="S1170">
        <v>77.849999999999994</v>
      </c>
      <c r="T1170">
        <v>1</v>
      </c>
      <c r="U1170" s="1" t="s">
        <v>25</v>
      </c>
      <c r="V1170">
        <v>0</v>
      </c>
    </row>
    <row r="1171" spans="1:22" x14ac:dyDescent="0.3">
      <c r="A1171" s="2">
        <v>45201</v>
      </c>
      <c r="B1171">
        <v>30250</v>
      </c>
      <c r="C1171">
        <v>1370</v>
      </c>
      <c r="D1171">
        <v>10</v>
      </c>
      <c r="E1171" s="1" t="s">
        <v>22</v>
      </c>
      <c r="F1171">
        <v>0</v>
      </c>
      <c r="G1171" s="1" t="s">
        <v>23</v>
      </c>
      <c r="H1171">
        <v>30250</v>
      </c>
      <c r="J1171">
        <v>30250</v>
      </c>
      <c r="K1171">
        <v>30250</v>
      </c>
      <c r="L1171">
        <v>30500</v>
      </c>
      <c r="M1171">
        <v>0</v>
      </c>
      <c r="N1171">
        <v>128.3734</v>
      </c>
      <c r="O1171">
        <v>0.17323259799999999</v>
      </c>
      <c r="P1171">
        <v>15448</v>
      </c>
      <c r="Q1171">
        <v>27.59</v>
      </c>
      <c r="R1171">
        <v>0.15</v>
      </c>
      <c r="S1171">
        <v>79.83</v>
      </c>
      <c r="T1171">
        <v>2</v>
      </c>
      <c r="U1171" s="1" t="s">
        <v>25</v>
      </c>
      <c r="V1171">
        <v>0</v>
      </c>
    </row>
    <row r="1172" spans="1:22" x14ac:dyDescent="0.3">
      <c r="A1172" s="2">
        <v>45202</v>
      </c>
      <c r="B1172">
        <v>30250</v>
      </c>
      <c r="C1172">
        <v>1371</v>
      </c>
      <c r="D1172">
        <v>10</v>
      </c>
      <c r="E1172" s="1" t="s">
        <v>22</v>
      </c>
      <c r="F1172">
        <v>1</v>
      </c>
      <c r="G1172" s="1" t="s">
        <v>23</v>
      </c>
      <c r="H1172">
        <v>30250</v>
      </c>
      <c r="J1172">
        <v>30250</v>
      </c>
      <c r="K1172">
        <v>30250</v>
      </c>
      <c r="L1172">
        <v>30500</v>
      </c>
      <c r="M1172">
        <v>0</v>
      </c>
      <c r="N1172">
        <v>128.3734</v>
      </c>
      <c r="O1172">
        <v>0.17323259799999999</v>
      </c>
      <c r="P1172">
        <v>15516</v>
      </c>
      <c r="Q1172">
        <v>27.5</v>
      </c>
      <c r="R1172">
        <v>0.14000000000000001</v>
      </c>
      <c r="S1172">
        <v>76.73</v>
      </c>
      <c r="T1172">
        <v>3</v>
      </c>
      <c r="U1172" s="1" t="s">
        <v>25</v>
      </c>
      <c r="V1172">
        <v>0</v>
      </c>
    </row>
    <row r="1173" spans="1:22" x14ac:dyDescent="0.3">
      <c r="A1173" s="2">
        <v>45203</v>
      </c>
      <c r="B1173">
        <v>30400</v>
      </c>
      <c r="C1173">
        <v>1372</v>
      </c>
      <c r="D1173">
        <v>10</v>
      </c>
      <c r="E1173" s="1" t="s">
        <v>22</v>
      </c>
      <c r="F1173">
        <v>2</v>
      </c>
      <c r="G1173" s="1" t="s">
        <v>23</v>
      </c>
      <c r="H1173">
        <v>30271.428571428572</v>
      </c>
      <c r="J1173">
        <v>30250</v>
      </c>
      <c r="K1173">
        <v>30250</v>
      </c>
      <c r="L1173">
        <v>30250</v>
      </c>
      <c r="M1173">
        <v>150</v>
      </c>
      <c r="N1173">
        <v>128.3734</v>
      </c>
      <c r="O1173">
        <v>0.17323259799999999</v>
      </c>
      <c r="P1173">
        <v>15622</v>
      </c>
      <c r="Q1173">
        <v>27.72</v>
      </c>
      <c r="R1173">
        <v>0.62</v>
      </c>
      <c r="S1173">
        <v>76.14</v>
      </c>
      <c r="T1173">
        <v>4</v>
      </c>
      <c r="U1173" s="1" t="s">
        <v>66</v>
      </c>
      <c r="V1173">
        <v>0.5</v>
      </c>
    </row>
    <row r="1174" spans="1:22" x14ac:dyDescent="0.3">
      <c r="A1174" s="2">
        <v>45204</v>
      </c>
      <c r="B1174">
        <v>30400</v>
      </c>
      <c r="C1174">
        <v>1373</v>
      </c>
      <c r="D1174">
        <v>10</v>
      </c>
      <c r="E1174" s="1" t="s">
        <v>22</v>
      </c>
      <c r="F1174">
        <v>3</v>
      </c>
      <c r="G1174" s="1" t="s">
        <v>23</v>
      </c>
      <c r="H1174">
        <v>30292.857142857141</v>
      </c>
      <c r="J1174">
        <v>30400</v>
      </c>
      <c r="K1174">
        <v>30250</v>
      </c>
      <c r="L1174">
        <v>30250</v>
      </c>
      <c r="M1174">
        <v>0</v>
      </c>
      <c r="N1174">
        <v>128.3734</v>
      </c>
      <c r="O1174">
        <v>0.17323259799999999</v>
      </c>
      <c r="P1174">
        <v>15591</v>
      </c>
      <c r="Q1174">
        <v>28.17</v>
      </c>
      <c r="R1174">
        <v>0.83</v>
      </c>
      <c r="S1174">
        <v>74.86</v>
      </c>
      <c r="T1174">
        <v>5</v>
      </c>
      <c r="U1174" s="1" t="s">
        <v>25</v>
      </c>
      <c r="V1174">
        <v>0</v>
      </c>
    </row>
    <row r="1175" spans="1:22" x14ac:dyDescent="0.3">
      <c r="A1175" s="2">
        <v>45205</v>
      </c>
      <c r="B1175">
        <v>30400</v>
      </c>
      <c r="C1175">
        <v>1374</v>
      </c>
      <c r="D1175">
        <v>10</v>
      </c>
      <c r="E1175" s="1" t="s">
        <v>22</v>
      </c>
      <c r="F1175">
        <v>4</v>
      </c>
      <c r="G1175" s="1" t="s">
        <v>23</v>
      </c>
      <c r="H1175">
        <v>30314.285714285714</v>
      </c>
      <c r="J1175">
        <v>30400</v>
      </c>
      <c r="K1175">
        <v>30250</v>
      </c>
      <c r="L1175">
        <v>30750</v>
      </c>
      <c r="M1175">
        <v>0</v>
      </c>
      <c r="N1175">
        <v>128.3734</v>
      </c>
      <c r="O1175">
        <v>0.17323259799999999</v>
      </c>
      <c r="P1175">
        <v>15631</v>
      </c>
      <c r="Q1175">
        <v>28.36</v>
      </c>
      <c r="R1175">
        <v>0.4</v>
      </c>
      <c r="S1175">
        <v>73.91</v>
      </c>
      <c r="T1175">
        <v>6</v>
      </c>
      <c r="U1175" s="1" t="s">
        <v>25</v>
      </c>
      <c r="V1175">
        <v>0</v>
      </c>
    </row>
    <row r="1176" spans="1:22" x14ac:dyDescent="0.3">
      <c r="A1176" s="2">
        <v>45206</v>
      </c>
      <c r="B1176">
        <v>30400</v>
      </c>
      <c r="C1176">
        <v>1375</v>
      </c>
      <c r="D1176">
        <v>10</v>
      </c>
      <c r="E1176" s="1" t="s">
        <v>22</v>
      </c>
      <c r="F1176">
        <v>5</v>
      </c>
      <c r="G1176" s="1" t="s">
        <v>23</v>
      </c>
      <c r="H1176">
        <v>30335.714285714286</v>
      </c>
      <c r="J1176">
        <v>30400</v>
      </c>
      <c r="K1176">
        <v>30250</v>
      </c>
      <c r="L1176">
        <v>30250</v>
      </c>
      <c r="M1176">
        <v>0</v>
      </c>
      <c r="N1176">
        <v>128.3734</v>
      </c>
      <c r="O1176">
        <v>0.17323259799999999</v>
      </c>
      <c r="P1176">
        <v>15631</v>
      </c>
      <c r="Q1176">
        <v>28.44</v>
      </c>
      <c r="R1176">
        <v>7.0000000000000007E-2</v>
      </c>
      <c r="S1176">
        <v>73.78</v>
      </c>
      <c r="T1176">
        <v>7</v>
      </c>
      <c r="U1176" s="1" t="s">
        <v>25</v>
      </c>
      <c r="V1176">
        <v>0</v>
      </c>
    </row>
    <row r="1177" spans="1:22" x14ac:dyDescent="0.3">
      <c r="A1177" s="2">
        <v>45207</v>
      </c>
      <c r="B1177">
        <v>30400</v>
      </c>
      <c r="C1177">
        <v>1376</v>
      </c>
      <c r="D1177">
        <v>10</v>
      </c>
      <c r="E1177" s="1" t="s">
        <v>22</v>
      </c>
      <c r="F1177">
        <v>6</v>
      </c>
      <c r="G1177" s="1" t="s">
        <v>23</v>
      </c>
      <c r="H1177">
        <v>30357.142857142859</v>
      </c>
      <c r="J1177">
        <v>30400</v>
      </c>
      <c r="K1177">
        <v>30250</v>
      </c>
      <c r="L1177">
        <v>30750</v>
      </c>
      <c r="M1177">
        <v>0</v>
      </c>
      <c r="N1177">
        <v>128.3734</v>
      </c>
      <c r="O1177">
        <v>0.17323259799999999</v>
      </c>
      <c r="P1177">
        <v>15631</v>
      </c>
      <c r="Q1177">
        <v>28.41</v>
      </c>
      <c r="R1177">
        <v>0.63</v>
      </c>
      <c r="S1177">
        <v>75.69</v>
      </c>
      <c r="T1177">
        <v>8</v>
      </c>
      <c r="U1177" s="1" t="s">
        <v>25</v>
      </c>
      <c r="V1177">
        <v>0</v>
      </c>
    </row>
    <row r="1178" spans="1:22" x14ac:dyDescent="0.3">
      <c r="A1178" s="2">
        <v>45208</v>
      </c>
      <c r="B1178">
        <v>29750</v>
      </c>
      <c r="C1178">
        <v>1377</v>
      </c>
      <c r="D1178">
        <v>10</v>
      </c>
      <c r="E1178" s="1" t="s">
        <v>22</v>
      </c>
      <c r="F1178">
        <v>0</v>
      </c>
      <c r="G1178" s="1" t="s">
        <v>23</v>
      </c>
      <c r="H1178">
        <v>30285.714285714286</v>
      </c>
      <c r="J1178">
        <v>30400</v>
      </c>
      <c r="K1178">
        <v>30250</v>
      </c>
      <c r="L1178">
        <v>30750</v>
      </c>
      <c r="M1178">
        <v>-650</v>
      </c>
      <c r="N1178">
        <v>128.3734</v>
      </c>
      <c r="O1178">
        <v>0.17323259799999999</v>
      </c>
      <c r="P1178">
        <v>15603</v>
      </c>
      <c r="Q1178">
        <v>28.75</v>
      </c>
      <c r="R1178">
        <v>0.92</v>
      </c>
      <c r="S1178">
        <v>72.92</v>
      </c>
      <c r="T1178">
        <v>9</v>
      </c>
      <c r="U1178" s="1" t="s">
        <v>72</v>
      </c>
      <c r="V1178">
        <v>-2.14</v>
      </c>
    </row>
    <row r="1179" spans="1:22" x14ac:dyDescent="0.3">
      <c r="A1179" s="2">
        <v>45209</v>
      </c>
      <c r="B1179">
        <v>29750</v>
      </c>
      <c r="C1179">
        <v>1378</v>
      </c>
      <c r="D1179">
        <v>10</v>
      </c>
      <c r="E1179" s="1" t="s">
        <v>22</v>
      </c>
      <c r="F1179">
        <v>1</v>
      </c>
      <c r="G1179" s="1" t="s">
        <v>23</v>
      </c>
      <c r="H1179">
        <v>30214.285714285714</v>
      </c>
      <c r="J1179">
        <v>29750</v>
      </c>
      <c r="K1179">
        <v>30250</v>
      </c>
      <c r="L1179">
        <v>30750</v>
      </c>
      <c r="M1179">
        <v>0</v>
      </c>
      <c r="N1179">
        <v>128.3734</v>
      </c>
      <c r="O1179">
        <v>0.17323259799999999</v>
      </c>
      <c r="P1179">
        <v>15691.400390000001</v>
      </c>
      <c r="Q1179">
        <v>28.77</v>
      </c>
      <c r="R1179">
        <v>0.44</v>
      </c>
      <c r="S1179">
        <v>70.849999999999994</v>
      </c>
      <c r="T1179">
        <v>10</v>
      </c>
      <c r="U1179" s="1" t="s">
        <v>25</v>
      </c>
      <c r="V1179">
        <v>0</v>
      </c>
    </row>
    <row r="1180" spans="1:22" x14ac:dyDescent="0.3">
      <c r="A1180" s="2">
        <v>45210</v>
      </c>
      <c r="B1180">
        <v>29750</v>
      </c>
      <c r="C1180">
        <v>1379</v>
      </c>
      <c r="D1180">
        <v>10</v>
      </c>
      <c r="E1180" s="1" t="s">
        <v>22</v>
      </c>
      <c r="F1180">
        <v>2</v>
      </c>
      <c r="G1180" s="1" t="s">
        <v>23</v>
      </c>
      <c r="H1180">
        <v>30121.428571428572</v>
      </c>
      <c r="J1180">
        <v>29750</v>
      </c>
      <c r="K1180">
        <v>30400</v>
      </c>
      <c r="L1180">
        <v>30500</v>
      </c>
      <c r="M1180">
        <v>0</v>
      </c>
      <c r="N1180">
        <v>128.3734</v>
      </c>
      <c r="O1180">
        <v>0.17323259799999999</v>
      </c>
      <c r="P1180">
        <v>15718.5</v>
      </c>
      <c r="Q1180">
        <v>28.33</v>
      </c>
      <c r="R1180">
        <v>0.01</v>
      </c>
      <c r="S1180">
        <v>71.989999999999995</v>
      </c>
      <c r="T1180">
        <v>11</v>
      </c>
      <c r="U1180" s="1" t="s">
        <v>25</v>
      </c>
      <c r="V1180">
        <v>0</v>
      </c>
    </row>
    <row r="1181" spans="1:22" x14ac:dyDescent="0.3">
      <c r="A1181" s="2">
        <v>45211</v>
      </c>
      <c r="B1181">
        <v>29750</v>
      </c>
      <c r="C1181">
        <v>1380</v>
      </c>
      <c r="D1181">
        <v>10</v>
      </c>
      <c r="E1181" s="1" t="s">
        <v>22</v>
      </c>
      <c r="F1181">
        <v>3</v>
      </c>
      <c r="G1181" s="1" t="s">
        <v>23</v>
      </c>
      <c r="H1181">
        <v>30028.571428571428</v>
      </c>
      <c r="J1181">
        <v>29750</v>
      </c>
      <c r="K1181">
        <v>30400</v>
      </c>
      <c r="L1181">
        <v>30500</v>
      </c>
      <c r="M1181">
        <v>0</v>
      </c>
      <c r="N1181">
        <v>128.3734</v>
      </c>
      <c r="O1181">
        <v>0.17323259799999999</v>
      </c>
      <c r="P1181">
        <v>15693</v>
      </c>
      <c r="Q1181">
        <v>28.19</v>
      </c>
      <c r="R1181">
        <v>0.01</v>
      </c>
      <c r="S1181">
        <v>71.72</v>
      </c>
      <c r="T1181">
        <v>12</v>
      </c>
      <c r="U1181" s="1" t="s">
        <v>25</v>
      </c>
      <c r="V1181">
        <v>0</v>
      </c>
    </row>
    <row r="1182" spans="1:22" x14ac:dyDescent="0.3">
      <c r="A1182" s="2">
        <v>45212</v>
      </c>
      <c r="B1182">
        <v>29750</v>
      </c>
      <c r="C1182">
        <v>1381</v>
      </c>
      <c r="D1182">
        <v>10</v>
      </c>
      <c r="E1182" s="1" t="s">
        <v>22</v>
      </c>
      <c r="F1182">
        <v>4</v>
      </c>
      <c r="G1182" s="1" t="s">
        <v>23</v>
      </c>
      <c r="H1182">
        <v>29935.714285714286</v>
      </c>
      <c r="J1182">
        <v>29750</v>
      </c>
      <c r="K1182">
        <v>30400</v>
      </c>
      <c r="L1182">
        <v>30500</v>
      </c>
      <c r="M1182">
        <v>0</v>
      </c>
      <c r="N1182">
        <v>128.3734</v>
      </c>
      <c r="O1182">
        <v>0.17323259799999999</v>
      </c>
      <c r="P1182">
        <v>15739</v>
      </c>
      <c r="Q1182">
        <v>27.87</v>
      </c>
      <c r="R1182">
        <v>0.05</v>
      </c>
      <c r="S1182">
        <v>75.58</v>
      </c>
      <c r="T1182">
        <v>13</v>
      </c>
      <c r="U1182" s="1" t="s">
        <v>25</v>
      </c>
      <c r="V1182">
        <v>0</v>
      </c>
    </row>
    <row r="1183" spans="1:22" x14ac:dyDescent="0.3">
      <c r="A1183" s="2">
        <v>45213</v>
      </c>
      <c r="B1183">
        <v>29750</v>
      </c>
      <c r="C1183">
        <v>1382</v>
      </c>
      <c r="D1183">
        <v>10</v>
      </c>
      <c r="E1183" s="1" t="s">
        <v>22</v>
      </c>
      <c r="F1183">
        <v>5</v>
      </c>
      <c r="G1183" s="1" t="s">
        <v>23</v>
      </c>
      <c r="H1183">
        <v>29842.857142857141</v>
      </c>
      <c r="J1183">
        <v>29750</v>
      </c>
      <c r="K1183">
        <v>30400</v>
      </c>
      <c r="L1183">
        <v>30000</v>
      </c>
      <c r="M1183">
        <v>0</v>
      </c>
      <c r="N1183">
        <v>128.3734</v>
      </c>
      <c r="O1183">
        <v>0.17323259799999999</v>
      </c>
      <c r="P1183">
        <v>15739</v>
      </c>
      <c r="Q1183">
        <v>27.77</v>
      </c>
      <c r="R1183">
        <v>0.39</v>
      </c>
      <c r="S1183">
        <v>78.2</v>
      </c>
      <c r="T1183">
        <v>14</v>
      </c>
      <c r="U1183" s="1" t="s">
        <v>25</v>
      </c>
      <c r="V1183">
        <v>0</v>
      </c>
    </row>
    <row r="1184" spans="1:22" x14ac:dyDescent="0.3">
      <c r="A1184" s="2">
        <v>45214</v>
      </c>
      <c r="B1184">
        <v>29750</v>
      </c>
      <c r="C1184">
        <v>1383</v>
      </c>
      <c r="D1184">
        <v>10</v>
      </c>
      <c r="E1184" s="1" t="s">
        <v>22</v>
      </c>
      <c r="F1184">
        <v>6</v>
      </c>
      <c r="G1184" s="1" t="s">
        <v>23</v>
      </c>
      <c r="H1184">
        <v>29750</v>
      </c>
      <c r="J1184">
        <v>29750</v>
      </c>
      <c r="K1184">
        <v>30400</v>
      </c>
      <c r="L1184">
        <v>30000</v>
      </c>
      <c r="M1184">
        <v>0</v>
      </c>
      <c r="N1184">
        <v>128.3734</v>
      </c>
      <c r="O1184">
        <v>0.17323259799999999</v>
      </c>
      <c r="P1184">
        <v>15739</v>
      </c>
      <c r="Q1184">
        <v>28.28</v>
      </c>
      <c r="R1184">
        <v>0.66</v>
      </c>
      <c r="S1184">
        <v>75.819999999999993</v>
      </c>
      <c r="T1184">
        <v>15</v>
      </c>
      <c r="U1184" s="1" t="s">
        <v>25</v>
      </c>
      <c r="V1184">
        <v>0</v>
      </c>
    </row>
    <row r="1185" spans="1:22" x14ac:dyDescent="0.3">
      <c r="A1185" s="2">
        <v>45215</v>
      </c>
      <c r="B1185">
        <v>30150</v>
      </c>
      <c r="C1185">
        <v>1384</v>
      </c>
      <c r="D1185">
        <v>10</v>
      </c>
      <c r="E1185" s="1" t="s">
        <v>22</v>
      </c>
      <c r="F1185">
        <v>0</v>
      </c>
      <c r="G1185" s="1" t="s">
        <v>23</v>
      </c>
      <c r="H1185">
        <v>29807.142857142859</v>
      </c>
      <c r="J1185">
        <v>29750</v>
      </c>
      <c r="K1185">
        <v>29750</v>
      </c>
      <c r="M1185">
        <v>400</v>
      </c>
      <c r="N1185">
        <v>128.3734</v>
      </c>
      <c r="O1185">
        <v>0.17323259799999999</v>
      </c>
      <c r="P1185">
        <v>15676</v>
      </c>
      <c r="Q1185">
        <v>28.31</v>
      </c>
      <c r="R1185">
        <v>1</v>
      </c>
      <c r="S1185">
        <v>75.08</v>
      </c>
      <c r="T1185">
        <v>16</v>
      </c>
      <c r="U1185" s="1" t="s">
        <v>70</v>
      </c>
      <c r="V1185">
        <v>1.34</v>
      </c>
    </row>
    <row r="1186" spans="1:22" x14ac:dyDescent="0.3">
      <c r="A1186" s="2">
        <v>45216</v>
      </c>
      <c r="B1186">
        <v>30150</v>
      </c>
      <c r="C1186">
        <v>1385</v>
      </c>
      <c r="D1186">
        <v>10</v>
      </c>
      <c r="E1186" s="1" t="s">
        <v>22</v>
      </c>
      <c r="F1186">
        <v>1</v>
      </c>
      <c r="G1186" s="1" t="s">
        <v>23</v>
      </c>
      <c r="H1186">
        <v>29864.285714285714</v>
      </c>
      <c r="J1186">
        <v>30150</v>
      </c>
      <c r="K1186">
        <v>29750</v>
      </c>
      <c r="M1186">
        <v>0</v>
      </c>
      <c r="N1186">
        <v>128.3734</v>
      </c>
      <c r="O1186">
        <v>0.17323259799999999</v>
      </c>
      <c r="P1186">
        <v>15675</v>
      </c>
      <c r="Q1186">
        <v>27.91</v>
      </c>
      <c r="R1186">
        <v>2.16</v>
      </c>
      <c r="S1186">
        <v>76.63</v>
      </c>
      <c r="T1186">
        <v>17</v>
      </c>
      <c r="U1186" s="1" t="s">
        <v>25</v>
      </c>
      <c r="V1186">
        <v>0</v>
      </c>
    </row>
    <row r="1187" spans="1:22" x14ac:dyDescent="0.3">
      <c r="A1187" s="2">
        <v>45217</v>
      </c>
      <c r="B1187">
        <v>30150</v>
      </c>
      <c r="C1187">
        <v>1386</v>
      </c>
      <c r="D1187">
        <v>10</v>
      </c>
      <c r="E1187" s="1" t="s">
        <v>22</v>
      </c>
      <c r="F1187">
        <v>2</v>
      </c>
      <c r="G1187" s="1" t="s">
        <v>23</v>
      </c>
      <c r="H1187">
        <v>29921.428571428572</v>
      </c>
      <c r="J1187">
        <v>30150</v>
      </c>
      <c r="K1187">
        <v>29750</v>
      </c>
      <c r="L1187">
        <v>30750</v>
      </c>
      <c r="M1187">
        <v>0</v>
      </c>
      <c r="N1187">
        <v>128.3734</v>
      </c>
      <c r="O1187">
        <v>0.17323259799999999</v>
      </c>
      <c r="P1187">
        <v>15728.200199999999</v>
      </c>
      <c r="Q1187">
        <v>27.86</v>
      </c>
      <c r="R1187">
        <v>0.61</v>
      </c>
      <c r="S1187">
        <v>77.02</v>
      </c>
      <c r="T1187">
        <v>18</v>
      </c>
      <c r="U1187" s="1" t="s">
        <v>25</v>
      </c>
      <c r="V1187">
        <v>0</v>
      </c>
    </row>
    <row r="1188" spans="1:22" x14ac:dyDescent="0.3">
      <c r="A1188" s="2">
        <v>45218</v>
      </c>
      <c r="B1188">
        <v>30150</v>
      </c>
      <c r="C1188">
        <v>1387</v>
      </c>
      <c r="D1188">
        <v>10</v>
      </c>
      <c r="E1188" s="1" t="s">
        <v>22</v>
      </c>
      <c r="F1188">
        <v>3</v>
      </c>
      <c r="G1188" s="1" t="s">
        <v>23</v>
      </c>
      <c r="H1188">
        <v>29978.571428571428</v>
      </c>
      <c r="J1188">
        <v>30150</v>
      </c>
      <c r="K1188">
        <v>29750</v>
      </c>
      <c r="L1188">
        <v>30750</v>
      </c>
      <c r="M1188">
        <v>0</v>
      </c>
      <c r="N1188">
        <v>128.3734</v>
      </c>
      <c r="O1188">
        <v>0.17323259799999999</v>
      </c>
      <c r="P1188">
        <v>15807</v>
      </c>
      <c r="Q1188">
        <v>28.4</v>
      </c>
      <c r="R1188">
        <v>0.34</v>
      </c>
      <c r="S1188">
        <v>74.849999999999994</v>
      </c>
      <c r="T1188">
        <v>19</v>
      </c>
      <c r="U1188" s="1" t="s">
        <v>25</v>
      </c>
      <c r="V1188">
        <v>0</v>
      </c>
    </row>
    <row r="1189" spans="1:22" x14ac:dyDescent="0.3">
      <c r="A1189" s="2">
        <v>45219</v>
      </c>
      <c r="B1189">
        <v>30000</v>
      </c>
      <c r="C1189">
        <v>1388</v>
      </c>
      <c r="D1189">
        <v>10</v>
      </c>
      <c r="E1189" s="1" t="s">
        <v>22</v>
      </c>
      <c r="F1189">
        <v>4</v>
      </c>
      <c r="G1189" s="1" t="s">
        <v>23</v>
      </c>
      <c r="H1189">
        <v>30014.285714285714</v>
      </c>
      <c r="J1189">
        <v>30150</v>
      </c>
      <c r="K1189">
        <v>29750</v>
      </c>
      <c r="L1189">
        <v>30750</v>
      </c>
      <c r="M1189">
        <v>-150</v>
      </c>
      <c r="N1189">
        <v>128.3734</v>
      </c>
      <c r="O1189">
        <v>0.17323259799999999</v>
      </c>
      <c r="P1189">
        <v>15856</v>
      </c>
      <c r="Q1189">
        <v>28.24</v>
      </c>
      <c r="R1189">
        <v>1.01</v>
      </c>
      <c r="S1189">
        <v>74.680000000000007</v>
      </c>
      <c r="T1189">
        <v>20</v>
      </c>
      <c r="U1189" s="1" t="s">
        <v>101</v>
      </c>
      <c r="V1189">
        <v>-0.5</v>
      </c>
    </row>
    <row r="1190" spans="1:22" x14ac:dyDescent="0.3">
      <c r="A1190" s="2">
        <v>45220</v>
      </c>
      <c r="B1190">
        <v>30000</v>
      </c>
      <c r="C1190">
        <v>1389</v>
      </c>
      <c r="D1190">
        <v>10</v>
      </c>
      <c r="E1190" s="1" t="s">
        <v>22</v>
      </c>
      <c r="F1190">
        <v>5</v>
      </c>
      <c r="G1190" s="1" t="s">
        <v>23</v>
      </c>
      <c r="H1190">
        <v>30050</v>
      </c>
      <c r="J1190">
        <v>30000</v>
      </c>
      <c r="K1190">
        <v>29750</v>
      </c>
      <c r="L1190">
        <v>31000</v>
      </c>
      <c r="M1190">
        <v>0</v>
      </c>
      <c r="N1190">
        <v>128.3734</v>
      </c>
      <c r="O1190">
        <v>0.17323259799999999</v>
      </c>
      <c r="P1190">
        <v>15856</v>
      </c>
      <c r="Q1190">
        <v>27.89</v>
      </c>
      <c r="R1190">
        <v>3.43</v>
      </c>
      <c r="S1190">
        <v>78.349999999999994</v>
      </c>
      <c r="T1190">
        <v>21</v>
      </c>
      <c r="U1190" s="1" t="s">
        <v>101</v>
      </c>
      <c r="V1190">
        <v>-0.5</v>
      </c>
    </row>
    <row r="1191" spans="1:22" x14ac:dyDescent="0.3">
      <c r="A1191" s="2">
        <v>45221</v>
      </c>
      <c r="B1191">
        <v>30000</v>
      </c>
      <c r="C1191">
        <v>1390</v>
      </c>
      <c r="D1191">
        <v>10</v>
      </c>
      <c r="E1191" s="1" t="s">
        <v>22</v>
      </c>
      <c r="F1191">
        <v>6</v>
      </c>
      <c r="G1191" s="1" t="s">
        <v>23</v>
      </c>
      <c r="H1191">
        <v>30085.714285714286</v>
      </c>
      <c r="J1191">
        <v>30000</v>
      </c>
      <c r="K1191">
        <v>29750</v>
      </c>
      <c r="L1191">
        <v>31000</v>
      </c>
      <c r="M1191">
        <v>0</v>
      </c>
      <c r="N1191">
        <v>128.3734</v>
      </c>
      <c r="O1191">
        <v>0.17323259799999999</v>
      </c>
      <c r="P1191">
        <v>15856</v>
      </c>
      <c r="Q1191">
        <v>27.88</v>
      </c>
      <c r="R1191">
        <v>7.19</v>
      </c>
      <c r="S1191">
        <v>77.23</v>
      </c>
      <c r="T1191">
        <v>22</v>
      </c>
      <c r="U1191" s="1" t="s">
        <v>101</v>
      </c>
      <c r="V1191">
        <v>-0.5</v>
      </c>
    </row>
    <row r="1192" spans="1:22" x14ac:dyDescent="0.3">
      <c r="A1192" s="2">
        <v>45222</v>
      </c>
      <c r="B1192">
        <v>29400</v>
      </c>
      <c r="C1192">
        <v>1391</v>
      </c>
      <c r="D1192">
        <v>10</v>
      </c>
      <c r="E1192" s="1" t="s">
        <v>22</v>
      </c>
      <c r="F1192">
        <v>0</v>
      </c>
      <c r="G1192" s="1" t="s">
        <v>23</v>
      </c>
      <c r="H1192">
        <v>29978.571428571428</v>
      </c>
      <c r="J1192">
        <v>30000</v>
      </c>
      <c r="K1192">
        <v>30150</v>
      </c>
      <c r="M1192">
        <v>-600</v>
      </c>
      <c r="N1192">
        <v>128.3734</v>
      </c>
      <c r="O1192">
        <v>0.17323259799999999</v>
      </c>
      <c r="P1192">
        <v>15868</v>
      </c>
      <c r="Q1192">
        <v>28.41</v>
      </c>
      <c r="R1192">
        <v>2.13</v>
      </c>
      <c r="S1192">
        <v>73.95</v>
      </c>
      <c r="T1192">
        <v>23</v>
      </c>
      <c r="U1192" s="1"/>
      <c r="V1192">
        <v>0</v>
      </c>
    </row>
    <row r="1193" spans="1:22" x14ac:dyDescent="0.3">
      <c r="A1193" s="2">
        <v>45223</v>
      </c>
      <c r="B1193">
        <v>29400</v>
      </c>
      <c r="C1193">
        <v>1392</v>
      </c>
      <c r="D1193">
        <v>10</v>
      </c>
      <c r="E1193" s="1" t="s">
        <v>22</v>
      </c>
      <c r="F1193">
        <v>1</v>
      </c>
      <c r="G1193" s="1" t="s">
        <v>23</v>
      </c>
      <c r="H1193">
        <v>29871.428571428572</v>
      </c>
      <c r="I1193">
        <v>30063.333333333332</v>
      </c>
      <c r="J1193">
        <v>29400</v>
      </c>
      <c r="K1193">
        <v>30150</v>
      </c>
      <c r="M1193">
        <v>0</v>
      </c>
      <c r="N1193">
        <v>128.3734</v>
      </c>
      <c r="O1193">
        <v>0.17323259799999999</v>
      </c>
      <c r="P1193">
        <v>15874</v>
      </c>
      <c r="Q1193">
        <v>28.09</v>
      </c>
      <c r="R1193">
        <v>2.2200000000000002</v>
      </c>
      <c r="S1193">
        <v>76.05</v>
      </c>
      <c r="T1193">
        <v>24</v>
      </c>
      <c r="U1193" s="1" t="s">
        <v>25</v>
      </c>
      <c r="V1193">
        <v>0</v>
      </c>
    </row>
    <row r="1194" spans="1:22" x14ac:dyDescent="0.3">
      <c r="A1194" s="2">
        <v>45224</v>
      </c>
      <c r="B1194">
        <v>29400</v>
      </c>
      <c r="C1194">
        <v>1393</v>
      </c>
      <c r="D1194">
        <v>10</v>
      </c>
      <c r="E1194" s="1" t="s">
        <v>22</v>
      </c>
      <c r="F1194">
        <v>2</v>
      </c>
      <c r="G1194" s="1" t="s">
        <v>23</v>
      </c>
      <c r="H1194">
        <v>29764.285714285714</v>
      </c>
      <c r="I1194">
        <v>30035</v>
      </c>
      <c r="J1194">
        <v>29400</v>
      </c>
      <c r="K1194">
        <v>30150</v>
      </c>
      <c r="L1194">
        <v>30250</v>
      </c>
      <c r="M1194">
        <v>0</v>
      </c>
      <c r="N1194">
        <v>128.3734</v>
      </c>
      <c r="O1194">
        <v>0.17323259799999999</v>
      </c>
      <c r="P1194">
        <v>15868</v>
      </c>
      <c r="Q1194">
        <v>28.16</v>
      </c>
      <c r="R1194">
        <v>0.65</v>
      </c>
      <c r="S1194">
        <v>76.19</v>
      </c>
      <c r="T1194">
        <v>25</v>
      </c>
      <c r="U1194" s="1" t="s">
        <v>25</v>
      </c>
      <c r="V1194">
        <v>0</v>
      </c>
    </row>
    <row r="1195" spans="1:22" x14ac:dyDescent="0.3">
      <c r="A1195" s="2">
        <v>45225</v>
      </c>
      <c r="B1195">
        <v>29400</v>
      </c>
      <c r="C1195">
        <v>1394</v>
      </c>
      <c r="D1195">
        <v>10</v>
      </c>
      <c r="E1195" s="1" t="s">
        <v>22</v>
      </c>
      <c r="F1195">
        <v>3</v>
      </c>
      <c r="G1195" s="1" t="s">
        <v>23</v>
      </c>
      <c r="H1195">
        <v>29657.142857142859</v>
      </c>
      <c r="I1195">
        <v>30006.666666666668</v>
      </c>
      <c r="J1195">
        <v>29400</v>
      </c>
      <c r="K1195">
        <v>30150</v>
      </c>
      <c r="L1195">
        <v>30250</v>
      </c>
      <c r="M1195">
        <v>0</v>
      </c>
      <c r="N1195">
        <v>128.3734</v>
      </c>
      <c r="O1195">
        <v>0.17323259799999999</v>
      </c>
      <c r="P1195">
        <v>15877.5</v>
      </c>
      <c r="Q1195">
        <v>28.74</v>
      </c>
      <c r="R1195">
        <v>0.08</v>
      </c>
      <c r="S1195">
        <v>68.08</v>
      </c>
      <c r="T1195">
        <v>26</v>
      </c>
      <c r="U1195" s="1" t="s">
        <v>25</v>
      </c>
      <c r="V1195">
        <v>0</v>
      </c>
    </row>
    <row r="1196" spans="1:22" x14ac:dyDescent="0.3">
      <c r="A1196" s="2">
        <v>45226</v>
      </c>
      <c r="B1196">
        <v>29750</v>
      </c>
      <c r="C1196">
        <v>1395</v>
      </c>
      <c r="D1196">
        <v>10</v>
      </c>
      <c r="E1196" s="1" t="s">
        <v>22</v>
      </c>
      <c r="F1196">
        <v>4</v>
      </c>
      <c r="G1196" s="1" t="s">
        <v>23</v>
      </c>
      <c r="H1196">
        <v>29621.428571428572</v>
      </c>
      <c r="I1196">
        <v>29990</v>
      </c>
      <c r="J1196">
        <v>29400</v>
      </c>
      <c r="K1196">
        <v>30000</v>
      </c>
      <c r="L1196">
        <v>30250</v>
      </c>
      <c r="M1196">
        <v>350</v>
      </c>
      <c r="N1196">
        <v>128.3734</v>
      </c>
      <c r="O1196">
        <v>0.17323259799999999</v>
      </c>
      <c r="P1196">
        <v>15920</v>
      </c>
      <c r="Q1196">
        <v>28.85</v>
      </c>
      <c r="R1196">
        <v>0.02</v>
      </c>
      <c r="S1196">
        <v>67.38</v>
      </c>
      <c r="T1196">
        <v>27</v>
      </c>
      <c r="U1196" s="1" t="s">
        <v>68</v>
      </c>
      <c r="V1196">
        <v>1.19</v>
      </c>
    </row>
    <row r="1197" spans="1:22" x14ac:dyDescent="0.3">
      <c r="A1197" s="2">
        <v>45227</v>
      </c>
      <c r="B1197">
        <v>29750</v>
      </c>
      <c r="C1197">
        <v>1396</v>
      </c>
      <c r="D1197">
        <v>10</v>
      </c>
      <c r="E1197" s="1" t="s">
        <v>22</v>
      </c>
      <c r="F1197">
        <v>5</v>
      </c>
      <c r="G1197" s="1" t="s">
        <v>23</v>
      </c>
      <c r="H1197">
        <v>29585.714285714286</v>
      </c>
      <c r="I1197">
        <v>29973.333333333332</v>
      </c>
      <c r="J1197">
        <v>29750</v>
      </c>
      <c r="K1197">
        <v>30000</v>
      </c>
      <c r="L1197">
        <v>30250</v>
      </c>
      <c r="M1197">
        <v>0</v>
      </c>
      <c r="N1197">
        <v>128.3734</v>
      </c>
      <c r="O1197">
        <v>0.17323259799999999</v>
      </c>
      <c r="P1197">
        <v>15920</v>
      </c>
      <c r="Q1197">
        <v>28.88</v>
      </c>
      <c r="R1197">
        <v>0.04</v>
      </c>
      <c r="S1197">
        <v>65.17</v>
      </c>
      <c r="T1197">
        <v>28</v>
      </c>
      <c r="U1197" s="1" t="s">
        <v>68</v>
      </c>
      <c r="V1197">
        <v>1.19</v>
      </c>
    </row>
    <row r="1198" spans="1:22" x14ac:dyDescent="0.3">
      <c r="A1198" s="2">
        <v>45228</v>
      </c>
      <c r="B1198">
        <v>29750</v>
      </c>
      <c r="C1198">
        <v>1397</v>
      </c>
      <c r="D1198">
        <v>10</v>
      </c>
      <c r="E1198" s="1" t="s">
        <v>22</v>
      </c>
      <c r="F1198">
        <v>6</v>
      </c>
      <c r="G1198" s="1" t="s">
        <v>23</v>
      </c>
      <c r="H1198">
        <v>29550</v>
      </c>
      <c r="I1198">
        <v>29956.666666666668</v>
      </c>
      <c r="J1198">
        <v>29750</v>
      </c>
      <c r="K1198">
        <v>30000</v>
      </c>
      <c r="L1198">
        <v>30250</v>
      </c>
      <c r="M1198">
        <v>0</v>
      </c>
      <c r="N1198">
        <v>128.3734</v>
      </c>
      <c r="O1198">
        <v>0.17323259799999999</v>
      </c>
      <c r="P1198">
        <v>15920</v>
      </c>
      <c r="Q1198">
        <v>29.01</v>
      </c>
      <c r="R1198">
        <v>0.03</v>
      </c>
      <c r="S1198">
        <v>66.55</v>
      </c>
      <c r="T1198">
        <v>29</v>
      </c>
      <c r="U1198" s="1" t="s">
        <v>68</v>
      </c>
      <c r="V1198">
        <v>1.19</v>
      </c>
    </row>
    <row r="1199" spans="1:22" x14ac:dyDescent="0.3">
      <c r="A1199" s="2">
        <v>45229</v>
      </c>
      <c r="B1199">
        <v>29750</v>
      </c>
      <c r="C1199">
        <v>1398</v>
      </c>
      <c r="D1199">
        <v>10</v>
      </c>
      <c r="E1199" s="1" t="s">
        <v>22</v>
      </c>
      <c r="F1199">
        <v>0</v>
      </c>
      <c r="G1199" s="1" t="s">
        <v>23</v>
      </c>
      <c r="H1199">
        <v>29600</v>
      </c>
      <c r="I1199">
        <v>29940</v>
      </c>
      <c r="J1199">
        <v>29750</v>
      </c>
      <c r="K1199">
        <v>29400</v>
      </c>
      <c r="L1199">
        <v>30250</v>
      </c>
      <c r="M1199">
        <v>0</v>
      </c>
      <c r="N1199">
        <v>128.3734</v>
      </c>
      <c r="O1199">
        <v>0.17323259799999999</v>
      </c>
      <c r="P1199">
        <v>15903.5</v>
      </c>
      <c r="Q1199">
        <v>28.85</v>
      </c>
      <c r="R1199">
        <v>0.3</v>
      </c>
      <c r="S1199">
        <v>71.48</v>
      </c>
      <c r="T1199">
        <v>30</v>
      </c>
      <c r="U1199" s="1" t="s">
        <v>25</v>
      </c>
      <c r="V1199">
        <v>0</v>
      </c>
    </row>
    <row r="1200" spans="1:22" x14ac:dyDescent="0.3">
      <c r="A1200" s="2">
        <v>45230</v>
      </c>
      <c r="B1200">
        <v>30000</v>
      </c>
      <c r="C1200">
        <v>1399</v>
      </c>
      <c r="D1200">
        <v>10</v>
      </c>
      <c r="E1200" s="1" t="s">
        <v>22</v>
      </c>
      <c r="F1200">
        <v>1</v>
      </c>
      <c r="G1200" s="1" t="s">
        <v>23</v>
      </c>
      <c r="H1200">
        <v>29685.714285714286</v>
      </c>
      <c r="I1200">
        <v>29931.666666666668</v>
      </c>
      <c r="J1200">
        <v>29750</v>
      </c>
      <c r="K1200">
        <v>29400</v>
      </c>
      <c r="L1200">
        <v>30250</v>
      </c>
      <c r="M1200">
        <v>250</v>
      </c>
      <c r="N1200">
        <v>128.3734</v>
      </c>
      <c r="O1200">
        <v>0.17323259799999999</v>
      </c>
      <c r="P1200">
        <v>15843</v>
      </c>
      <c r="Q1200">
        <v>28.92</v>
      </c>
      <c r="R1200">
        <v>0.17</v>
      </c>
      <c r="S1200">
        <v>70.14</v>
      </c>
      <c r="T1200">
        <v>31</v>
      </c>
      <c r="U1200" s="1" t="s">
        <v>34</v>
      </c>
      <c r="V1200">
        <v>0.84</v>
      </c>
    </row>
    <row r="1201" spans="1:22" x14ac:dyDescent="0.3">
      <c r="A1201" s="2">
        <v>45231</v>
      </c>
      <c r="B1201">
        <v>31500</v>
      </c>
      <c r="C1201">
        <v>1400</v>
      </c>
      <c r="D1201">
        <v>11</v>
      </c>
      <c r="E1201" s="1" t="s">
        <v>22</v>
      </c>
      <c r="F1201">
        <v>2</v>
      </c>
      <c r="G1201" s="1" t="s">
        <v>23</v>
      </c>
      <c r="H1201">
        <v>29985.714285714286</v>
      </c>
      <c r="I1201">
        <v>29973.333333333332</v>
      </c>
      <c r="J1201">
        <v>30000</v>
      </c>
      <c r="K1201">
        <v>29400</v>
      </c>
      <c r="L1201">
        <v>30250</v>
      </c>
      <c r="M1201">
        <v>1500</v>
      </c>
      <c r="N1201">
        <v>128.86179999999999</v>
      </c>
      <c r="O1201">
        <v>0.380452648</v>
      </c>
      <c r="P1201">
        <v>15748.700199999999</v>
      </c>
      <c r="Q1201">
        <v>27.98</v>
      </c>
      <c r="R1201">
        <v>0.56999999999999995</v>
      </c>
      <c r="S1201">
        <v>74.81</v>
      </c>
      <c r="T1201">
        <v>1</v>
      </c>
      <c r="U1201" s="1" t="s">
        <v>31</v>
      </c>
      <c r="V1201">
        <v>5</v>
      </c>
    </row>
    <row r="1202" spans="1:22" x14ac:dyDescent="0.3">
      <c r="A1202" s="2">
        <v>45232</v>
      </c>
      <c r="B1202">
        <v>32000</v>
      </c>
      <c r="C1202">
        <v>1401</v>
      </c>
      <c r="D1202">
        <v>11</v>
      </c>
      <c r="E1202" s="1" t="s">
        <v>22</v>
      </c>
      <c r="F1202">
        <v>3</v>
      </c>
      <c r="G1202" s="1" t="s">
        <v>23</v>
      </c>
      <c r="H1202">
        <v>30357.142857142859</v>
      </c>
      <c r="I1202">
        <v>30031.666666666668</v>
      </c>
      <c r="J1202">
        <v>31500</v>
      </c>
      <c r="K1202">
        <v>29400</v>
      </c>
      <c r="L1202">
        <v>30250</v>
      </c>
      <c r="M1202">
        <v>500</v>
      </c>
      <c r="N1202">
        <v>128.86179999999999</v>
      </c>
      <c r="O1202">
        <v>0.380452648</v>
      </c>
      <c r="P1202">
        <v>15900</v>
      </c>
      <c r="Q1202">
        <v>28.06</v>
      </c>
      <c r="R1202">
        <v>0.28999999999999998</v>
      </c>
      <c r="S1202">
        <v>74.11</v>
      </c>
      <c r="T1202">
        <v>2</v>
      </c>
      <c r="U1202" s="1" t="s">
        <v>26</v>
      </c>
      <c r="V1202">
        <v>1.59</v>
      </c>
    </row>
    <row r="1203" spans="1:22" x14ac:dyDescent="0.3">
      <c r="A1203" s="2">
        <v>45233</v>
      </c>
      <c r="B1203">
        <v>31750</v>
      </c>
      <c r="C1203">
        <v>1402</v>
      </c>
      <c r="D1203">
        <v>11</v>
      </c>
      <c r="E1203" s="1" t="s">
        <v>22</v>
      </c>
      <c r="F1203">
        <v>4</v>
      </c>
      <c r="G1203" s="1" t="s">
        <v>23</v>
      </c>
      <c r="H1203">
        <v>30642.857142857141</v>
      </c>
      <c r="I1203">
        <v>30076.666666666668</v>
      </c>
      <c r="J1203">
        <v>32000</v>
      </c>
      <c r="K1203">
        <v>29750</v>
      </c>
      <c r="L1203">
        <v>30400</v>
      </c>
      <c r="M1203">
        <v>-250</v>
      </c>
      <c r="N1203">
        <v>128.86179999999999</v>
      </c>
      <c r="O1203">
        <v>0.380452648</v>
      </c>
      <c r="P1203">
        <v>15838</v>
      </c>
      <c r="Q1203">
        <v>28.5</v>
      </c>
      <c r="R1203">
        <v>0.33</v>
      </c>
      <c r="S1203">
        <v>71.81</v>
      </c>
      <c r="T1203">
        <v>3</v>
      </c>
      <c r="U1203" s="1" t="s">
        <v>35</v>
      </c>
      <c r="V1203">
        <v>-0.78</v>
      </c>
    </row>
    <row r="1204" spans="1:22" x14ac:dyDescent="0.3">
      <c r="A1204" s="2">
        <v>45236</v>
      </c>
      <c r="B1204">
        <v>32500</v>
      </c>
      <c r="C1204">
        <v>1405</v>
      </c>
      <c r="D1204">
        <v>11</v>
      </c>
      <c r="E1204" s="1" t="s">
        <v>22</v>
      </c>
      <c r="F1204">
        <v>0</v>
      </c>
      <c r="G1204" s="1" t="s">
        <v>23</v>
      </c>
      <c r="K1204">
        <v>29750</v>
      </c>
      <c r="L1204">
        <v>30400</v>
      </c>
      <c r="N1204">
        <v>128.86179999999999</v>
      </c>
      <c r="O1204">
        <v>0.380452648</v>
      </c>
      <c r="P1204">
        <v>15582.099609999999</v>
      </c>
      <c r="Q1204">
        <v>28.37</v>
      </c>
      <c r="R1204">
        <v>1.99</v>
      </c>
      <c r="S1204">
        <v>75.22</v>
      </c>
      <c r="T1204">
        <v>6</v>
      </c>
      <c r="U1204" s="1"/>
      <c r="V1204">
        <v>0</v>
      </c>
    </row>
    <row r="1205" spans="1:22" x14ac:dyDescent="0.3">
      <c r="A1205" s="2">
        <v>45237</v>
      </c>
      <c r="B1205">
        <v>33000</v>
      </c>
      <c r="C1205">
        <v>1406</v>
      </c>
      <c r="D1205">
        <v>11</v>
      </c>
      <c r="E1205" s="1" t="s">
        <v>22</v>
      </c>
      <c r="F1205">
        <v>1</v>
      </c>
      <c r="G1205" s="1" t="s">
        <v>23</v>
      </c>
      <c r="J1205">
        <v>32500</v>
      </c>
      <c r="K1205">
        <v>30000</v>
      </c>
      <c r="L1205">
        <v>30400</v>
      </c>
      <c r="M1205">
        <v>500</v>
      </c>
      <c r="N1205">
        <v>128.86179999999999</v>
      </c>
      <c r="O1205">
        <v>0.380452648</v>
      </c>
      <c r="P1205">
        <v>15570</v>
      </c>
      <c r="Q1205">
        <v>28.58</v>
      </c>
      <c r="R1205">
        <v>12.98</v>
      </c>
      <c r="S1205">
        <v>75.290000000000006</v>
      </c>
      <c r="T1205">
        <v>7</v>
      </c>
      <c r="U1205" s="1" t="s">
        <v>26</v>
      </c>
      <c r="V1205">
        <v>1.54</v>
      </c>
    </row>
    <row r="1206" spans="1:22" x14ac:dyDescent="0.3">
      <c r="A1206" s="2">
        <v>45238</v>
      </c>
      <c r="B1206">
        <v>33400</v>
      </c>
      <c r="C1206">
        <v>1407</v>
      </c>
      <c r="D1206">
        <v>11</v>
      </c>
      <c r="E1206" s="1" t="s">
        <v>22</v>
      </c>
      <c r="F1206">
        <v>2</v>
      </c>
      <c r="G1206" s="1" t="s">
        <v>23</v>
      </c>
      <c r="J1206">
        <v>33000</v>
      </c>
      <c r="K1206">
        <v>31500</v>
      </c>
      <c r="L1206">
        <v>29750</v>
      </c>
      <c r="M1206">
        <v>400</v>
      </c>
      <c r="N1206">
        <v>128.86179999999999</v>
      </c>
      <c r="O1206">
        <v>0.380452648</v>
      </c>
      <c r="P1206">
        <v>15643.599609999999</v>
      </c>
      <c r="Q1206">
        <v>28.49</v>
      </c>
      <c r="R1206">
        <v>2.67</v>
      </c>
      <c r="S1206">
        <v>76.86</v>
      </c>
      <c r="T1206">
        <v>8</v>
      </c>
      <c r="U1206" s="1" t="s">
        <v>70</v>
      </c>
      <c r="V1206">
        <v>1.21</v>
      </c>
    </row>
    <row r="1207" spans="1:22" x14ac:dyDescent="0.3">
      <c r="A1207" s="2">
        <v>45239</v>
      </c>
      <c r="B1207">
        <v>33400</v>
      </c>
      <c r="C1207">
        <v>1408</v>
      </c>
      <c r="D1207">
        <v>11</v>
      </c>
      <c r="E1207" s="1" t="s">
        <v>22</v>
      </c>
      <c r="F1207">
        <v>3</v>
      </c>
      <c r="G1207" s="1" t="s">
        <v>23</v>
      </c>
      <c r="J1207">
        <v>33400</v>
      </c>
      <c r="K1207">
        <v>32000</v>
      </c>
      <c r="L1207">
        <v>29750</v>
      </c>
      <c r="M1207">
        <v>0</v>
      </c>
      <c r="N1207">
        <v>128.86179999999999</v>
      </c>
      <c r="O1207">
        <v>0.380452648</v>
      </c>
      <c r="P1207">
        <v>15616</v>
      </c>
      <c r="Q1207">
        <v>28.47</v>
      </c>
      <c r="R1207">
        <v>2.02</v>
      </c>
      <c r="S1207">
        <v>73.41</v>
      </c>
      <c r="T1207">
        <v>9</v>
      </c>
      <c r="U1207" s="1" t="s">
        <v>25</v>
      </c>
      <c r="V1207">
        <v>0</v>
      </c>
    </row>
    <row r="1208" spans="1:22" x14ac:dyDescent="0.3">
      <c r="A1208" s="2">
        <v>45240</v>
      </c>
      <c r="B1208">
        <v>32900</v>
      </c>
      <c r="C1208">
        <v>1409</v>
      </c>
      <c r="D1208">
        <v>11</v>
      </c>
      <c r="E1208" s="1" t="s">
        <v>22</v>
      </c>
      <c r="F1208">
        <v>4</v>
      </c>
      <c r="G1208" s="1" t="s">
        <v>23</v>
      </c>
      <c r="J1208">
        <v>33400</v>
      </c>
      <c r="K1208">
        <v>31750</v>
      </c>
      <c r="L1208">
        <v>29750</v>
      </c>
      <c r="M1208">
        <v>-500</v>
      </c>
      <c r="N1208">
        <v>128.86179999999999</v>
      </c>
      <c r="O1208">
        <v>0.380452648</v>
      </c>
      <c r="P1208">
        <v>15713.700199999999</v>
      </c>
      <c r="Q1208">
        <v>28.12</v>
      </c>
      <c r="R1208">
        <v>3.04</v>
      </c>
      <c r="S1208">
        <v>77.739999999999995</v>
      </c>
      <c r="T1208">
        <v>10</v>
      </c>
      <c r="U1208" s="1" t="s">
        <v>24</v>
      </c>
      <c r="V1208">
        <v>-1.5</v>
      </c>
    </row>
    <row r="1209" spans="1:22" x14ac:dyDescent="0.3">
      <c r="A1209" s="2">
        <v>45241</v>
      </c>
      <c r="B1209">
        <v>32900</v>
      </c>
      <c r="C1209">
        <v>1410</v>
      </c>
      <c r="D1209">
        <v>11</v>
      </c>
      <c r="E1209" s="1" t="s">
        <v>22</v>
      </c>
      <c r="F1209">
        <v>5</v>
      </c>
      <c r="G1209" s="1" t="s">
        <v>23</v>
      </c>
      <c r="J1209">
        <v>32900</v>
      </c>
      <c r="L1209">
        <v>29750</v>
      </c>
      <c r="M1209">
        <v>0</v>
      </c>
      <c r="N1209">
        <v>128.86179999999999</v>
      </c>
      <c r="O1209">
        <v>0.380452648</v>
      </c>
      <c r="P1209">
        <v>15713.700199999999</v>
      </c>
      <c r="Q1209">
        <v>27.99</v>
      </c>
      <c r="R1209">
        <v>5.96</v>
      </c>
      <c r="S1209">
        <v>79.819999999999993</v>
      </c>
      <c r="T1209">
        <v>11</v>
      </c>
      <c r="U1209" s="1" t="s">
        <v>24</v>
      </c>
      <c r="V1209">
        <v>-1.5</v>
      </c>
    </row>
    <row r="1210" spans="1:22" x14ac:dyDescent="0.3">
      <c r="A1210" s="2">
        <v>45242</v>
      </c>
      <c r="B1210">
        <v>32900</v>
      </c>
      <c r="C1210">
        <v>1411</v>
      </c>
      <c r="D1210">
        <v>11</v>
      </c>
      <c r="E1210" s="1" t="s">
        <v>22</v>
      </c>
      <c r="F1210">
        <v>6</v>
      </c>
      <c r="G1210" s="1" t="s">
        <v>23</v>
      </c>
      <c r="H1210">
        <v>33000</v>
      </c>
      <c r="J1210">
        <v>32900</v>
      </c>
      <c r="L1210">
        <v>29750</v>
      </c>
      <c r="M1210">
        <v>0</v>
      </c>
      <c r="N1210">
        <v>128.86179999999999</v>
      </c>
      <c r="O1210">
        <v>0.380452648</v>
      </c>
      <c r="P1210">
        <v>15713.700199999999</v>
      </c>
      <c r="Q1210">
        <v>28.15</v>
      </c>
      <c r="R1210">
        <v>2.1</v>
      </c>
      <c r="S1210">
        <v>75.98</v>
      </c>
      <c r="T1210">
        <v>12</v>
      </c>
      <c r="U1210" s="1" t="s">
        <v>24</v>
      </c>
      <c r="V1210">
        <v>-1.5</v>
      </c>
    </row>
    <row r="1211" spans="1:22" x14ac:dyDescent="0.3">
      <c r="A1211" s="2">
        <v>45243</v>
      </c>
      <c r="B1211">
        <v>34650</v>
      </c>
      <c r="C1211">
        <v>1412</v>
      </c>
      <c r="D1211">
        <v>11</v>
      </c>
      <c r="E1211" s="1" t="s">
        <v>22</v>
      </c>
      <c r="F1211">
        <v>0</v>
      </c>
      <c r="G1211" s="1" t="s">
        <v>23</v>
      </c>
      <c r="H1211">
        <v>33307.142857142855</v>
      </c>
      <c r="J1211">
        <v>32900</v>
      </c>
      <c r="K1211">
        <v>32500</v>
      </c>
      <c r="L1211">
        <v>29750</v>
      </c>
      <c r="M1211">
        <v>1750</v>
      </c>
      <c r="N1211">
        <v>128.86179999999999</v>
      </c>
      <c r="O1211">
        <v>0.380452648</v>
      </c>
      <c r="P1211">
        <v>15683</v>
      </c>
      <c r="Q1211">
        <v>28.37</v>
      </c>
      <c r="R1211">
        <v>0.84</v>
      </c>
      <c r="S1211">
        <v>74.09</v>
      </c>
      <c r="T1211">
        <v>13</v>
      </c>
      <c r="U1211" s="1" t="s">
        <v>41</v>
      </c>
      <c r="V1211">
        <v>5.32</v>
      </c>
    </row>
    <row r="1212" spans="1:22" x14ac:dyDescent="0.3">
      <c r="A1212" s="2">
        <v>45244</v>
      </c>
      <c r="B1212">
        <v>34750</v>
      </c>
      <c r="C1212">
        <v>1413</v>
      </c>
      <c r="D1212">
        <v>11</v>
      </c>
      <c r="E1212" s="1" t="s">
        <v>22</v>
      </c>
      <c r="F1212">
        <v>1</v>
      </c>
      <c r="G1212" s="1" t="s">
        <v>23</v>
      </c>
      <c r="H1212">
        <v>33557.142857142855</v>
      </c>
      <c r="J1212">
        <v>34650</v>
      </c>
      <c r="K1212">
        <v>33000</v>
      </c>
      <c r="L1212">
        <v>29750</v>
      </c>
      <c r="M1212">
        <v>100</v>
      </c>
      <c r="N1212">
        <v>128.86179999999999</v>
      </c>
      <c r="O1212">
        <v>0.380452648</v>
      </c>
      <c r="P1212">
        <v>15667</v>
      </c>
      <c r="Q1212">
        <v>28.33</v>
      </c>
      <c r="R1212">
        <v>1.73</v>
      </c>
      <c r="S1212">
        <v>74.959999999999994</v>
      </c>
      <c r="T1212">
        <v>14</v>
      </c>
      <c r="U1212" s="1" t="s">
        <v>65</v>
      </c>
      <c r="V1212">
        <v>0.28999999999999998</v>
      </c>
    </row>
    <row r="1213" spans="1:22" x14ac:dyDescent="0.3">
      <c r="A1213" s="2">
        <v>45245</v>
      </c>
      <c r="B1213">
        <v>34750</v>
      </c>
      <c r="C1213">
        <v>1414</v>
      </c>
      <c r="D1213">
        <v>11</v>
      </c>
      <c r="E1213" s="1" t="s">
        <v>22</v>
      </c>
      <c r="F1213">
        <v>2</v>
      </c>
      <c r="G1213" s="1" t="s">
        <v>23</v>
      </c>
      <c r="H1213">
        <v>33750</v>
      </c>
      <c r="J1213">
        <v>34750</v>
      </c>
      <c r="K1213">
        <v>33400</v>
      </c>
      <c r="L1213">
        <v>30150</v>
      </c>
      <c r="M1213">
        <v>0</v>
      </c>
      <c r="N1213">
        <v>128.86179999999999</v>
      </c>
      <c r="O1213">
        <v>0.380452648</v>
      </c>
      <c r="P1213">
        <v>15281</v>
      </c>
      <c r="Q1213">
        <v>28.43</v>
      </c>
      <c r="R1213">
        <v>1.23</v>
      </c>
      <c r="S1213">
        <v>75</v>
      </c>
      <c r="T1213">
        <v>15</v>
      </c>
      <c r="U1213" s="1" t="s">
        <v>25</v>
      </c>
      <c r="V1213">
        <v>0</v>
      </c>
    </row>
    <row r="1214" spans="1:22" x14ac:dyDescent="0.3">
      <c r="A1214" s="2">
        <v>45246</v>
      </c>
      <c r="B1214">
        <v>34750</v>
      </c>
      <c r="C1214">
        <v>1415</v>
      </c>
      <c r="D1214">
        <v>11</v>
      </c>
      <c r="E1214" s="1" t="s">
        <v>22</v>
      </c>
      <c r="F1214">
        <v>3</v>
      </c>
      <c r="G1214" s="1" t="s">
        <v>23</v>
      </c>
      <c r="H1214">
        <v>33942.857142857145</v>
      </c>
      <c r="J1214">
        <v>34750</v>
      </c>
      <c r="K1214">
        <v>33400</v>
      </c>
      <c r="L1214">
        <v>30150</v>
      </c>
      <c r="M1214">
        <v>0</v>
      </c>
      <c r="N1214">
        <v>128.86179999999999</v>
      </c>
      <c r="O1214">
        <v>0.380452648</v>
      </c>
      <c r="P1214">
        <v>15487.799800000001</v>
      </c>
      <c r="Q1214">
        <v>28.07</v>
      </c>
      <c r="R1214">
        <v>2.4</v>
      </c>
      <c r="S1214">
        <v>77.73</v>
      </c>
      <c r="T1214">
        <v>16</v>
      </c>
      <c r="U1214" s="1" t="s">
        <v>25</v>
      </c>
      <c r="V1214">
        <v>0</v>
      </c>
    </row>
    <row r="1215" spans="1:22" x14ac:dyDescent="0.3">
      <c r="A1215" s="2">
        <v>45247</v>
      </c>
      <c r="B1215">
        <v>35400</v>
      </c>
      <c r="C1215">
        <v>1416</v>
      </c>
      <c r="D1215">
        <v>11</v>
      </c>
      <c r="E1215" s="1" t="s">
        <v>22</v>
      </c>
      <c r="F1215">
        <v>4</v>
      </c>
      <c r="G1215" s="1" t="s">
        <v>23</v>
      </c>
      <c r="H1215">
        <v>34300</v>
      </c>
      <c r="J1215">
        <v>34750</v>
      </c>
      <c r="K1215">
        <v>32900</v>
      </c>
      <c r="L1215">
        <v>30150</v>
      </c>
      <c r="M1215">
        <v>650</v>
      </c>
      <c r="N1215">
        <v>128.86179999999999</v>
      </c>
      <c r="O1215">
        <v>0.380452648</v>
      </c>
      <c r="P1215">
        <v>15475</v>
      </c>
      <c r="Q1215">
        <v>28.61</v>
      </c>
      <c r="R1215">
        <v>0.72</v>
      </c>
      <c r="S1215">
        <v>74.98</v>
      </c>
      <c r="T1215">
        <v>17</v>
      </c>
      <c r="U1215" s="1" t="s">
        <v>73</v>
      </c>
      <c r="V1215">
        <v>1.87</v>
      </c>
    </row>
    <row r="1216" spans="1:22" x14ac:dyDescent="0.3">
      <c r="A1216" s="2">
        <v>45248</v>
      </c>
      <c r="B1216">
        <v>35400</v>
      </c>
      <c r="C1216">
        <v>1417</v>
      </c>
      <c r="D1216">
        <v>11</v>
      </c>
      <c r="E1216" s="1" t="s">
        <v>22</v>
      </c>
      <c r="F1216">
        <v>5</v>
      </c>
      <c r="G1216" s="1" t="s">
        <v>23</v>
      </c>
      <c r="H1216">
        <v>34657.142857142855</v>
      </c>
      <c r="J1216">
        <v>35400</v>
      </c>
      <c r="K1216">
        <v>32900</v>
      </c>
      <c r="L1216">
        <v>30150</v>
      </c>
      <c r="M1216">
        <v>0</v>
      </c>
      <c r="N1216">
        <v>128.86179999999999</v>
      </c>
      <c r="O1216">
        <v>0.380452648</v>
      </c>
      <c r="P1216">
        <v>15475</v>
      </c>
      <c r="Q1216">
        <v>28.9</v>
      </c>
      <c r="R1216">
        <v>1.92</v>
      </c>
      <c r="S1216">
        <v>73.930000000000007</v>
      </c>
      <c r="T1216">
        <v>18</v>
      </c>
      <c r="U1216" s="1" t="s">
        <v>73</v>
      </c>
      <c r="V1216">
        <v>1.87</v>
      </c>
    </row>
    <row r="1217" spans="1:22" x14ac:dyDescent="0.3">
      <c r="A1217" s="2">
        <v>45249</v>
      </c>
      <c r="B1217">
        <v>35400</v>
      </c>
      <c r="C1217">
        <v>1418</v>
      </c>
      <c r="D1217">
        <v>11</v>
      </c>
      <c r="E1217" s="1" t="s">
        <v>22</v>
      </c>
      <c r="F1217">
        <v>6</v>
      </c>
      <c r="G1217" s="1" t="s">
        <v>23</v>
      </c>
      <c r="H1217">
        <v>35014.285714285717</v>
      </c>
      <c r="J1217">
        <v>35400</v>
      </c>
      <c r="K1217">
        <v>32900</v>
      </c>
      <c r="L1217">
        <v>30000</v>
      </c>
      <c r="M1217">
        <v>0</v>
      </c>
      <c r="N1217">
        <v>128.86179999999999</v>
      </c>
      <c r="O1217">
        <v>0.380452648</v>
      </c>
      <c r="P1217">
        <v>15475</v>
      </c>
      <c r="Q1217">
        <v>28.69</v>
      </c>
      <c r="R1217">
        <v>3.12</v>
      </c>
      <c r="S1217">
        <v>77.84</v>
      </c>
      <c r="T1217">
        <v>19</v>
      </c>
      <c r="U1217" s="1" t="s">
        <v>73</v>
      </c>
      <c r="V1217">
        <v>1.87</v>
      </c>
    </row>
    <row r="1218" spans="1:22" x14ac:dyDescent="0.3">
      <c r="A1218" s="2">
        <v>45250</v>
      </c>
      <c r="B1218">
        <v>34000</v>
      </c>
      <c r="C1218">
        <v>1419</v>
      </c>
      <c r="D1218">
        <v>11</v>
      </c>
      <c r="E1218" s="1" t="s">
        <v>22</v>
      </c>
      <c r="F1218">
        <v>0</v>
      </c>
      <c r="G1218" s="1" t="s">
        <v>23</v>
      </c>
      <c r="H1218">
        <v>34921.428571428572</v>
      </c>
      <c r="J1218">
        <v>35400</v>
      </c>
      <c r="K1218">
        <v>34650</v>
      </c>
      <c r="L1218">
        <v>30000</v>
      </c>
      <c r="M1218">
        <v>-1400</v>
      </c>
      <c r="N1218">
        <v>128.86179999999999</v>
      </c>
      <c r="O1218">
        <v>0.380452648</v>
      </c>
      <c r="P1218">
        <v>15399.400390000001</v>
      </c>
      <c r="Q1218">
        <v>28.58</v>
      </c>
      <c r="R1218">
        <v>2.4500000000000002</v>
      </c>
      <c r="S1218">
        <v>77.349999999999994</v>
      </c>
      <c r="T1218">
        <v>20</v>
      </c>
      <c r="U1218" s="1" t="s">
        <v>76</v>
      </c>
      <c r="V1218">
        <v>-3.95</v>
      </c>
    </row>
    <row r="1219" spans="1:22" x14ac:dyDescent="0.3">
      <c r="A1219" s="2">
        <v>45251</v>
      </c>
      <c r="B1219">
        <v>34000</v>
      </c>
      <c r="C1219">
        <v>1420</v>
      </c>
      <c r="D1219">
        <v>11</v>
      </c>
      <c r="E1219" s="1" t="s">
        <v>22</v>
      </c>
      <c r="F1219">
        <v>1</v>
      </c>
      <c r="G1219" s="1" t="s">
        <v>23</v>
      </c>
      <c r="H1219">
        <v>34814.285714285717</v>
      </c>
      <c r="J1219">
        <v>34000</v>
      </c>
      <c r="K1219">
        <v>34750</v>
      </c>
      <c r="L1219">
        <v>30000</v>
      </c>
      <c r="M1219">
        <v>0</v>
      </c>
      <c r="N1219">
        <v>128.86179999999999</v>
      </c>
      <c r="O1219">
        <v>0.380452648</v>
      </c>
      <c r="P1219">
        <v>15382.099609999999</v>
      </c>
      <c r="Q1219">
        <v>28.54</v>
      </c>
      <c r="R1219">
        <v>0.83</v>
      </c>
      <c r="S1219">
        <v>75.92</v>
      </c>
      <c r="T1219">
        <v>21</v>
      </c>
      <c r="U1219" s="1" t="s">
        <v>25</v>
      </c>
      <c r="V1219">
        <v>0</v>
      </c>
    </row>
    <row r="1220" spans="1:22" x14ac:dyDescent="0.3">
      <c r="A1220" s="2">
        <v>45252</v>
      </c>
      <c r="B1220">
        <v>34000</v>
      </c>
      <c r="C1220">
        <v>1421</v>
      </c>
      <c r="D1220">
        <v>11</v>
      </c>
      <c r="E1220" s="1" t="s">
        <v>22</v>
      </c>
      <c r="F1220">
        <v>2</v>
      </c>
      <c r="G1220" s="1" t="s">
        <v>23</v>
      </c>
      <c r="H1220">
        <v>34707.142857142855</v>
      </c>
      <c r="J1220">
        <v>34000</v>
      </c>
      <c r="K1220">
        <v>34750</v>
      </c>
      <c r="L1220">
        <v>29400</v>
      </c>
      <c r="M1220">
        <v>0</v>
      </c>
      <c r="N1220">
        <v>128.86179999999999</v>
      </c>
      <c r="O1220">
        <v>0.380452648</v>
      </c>
      <c r="P1220">
        <v>15501.299800000001</v>
      </c>
      <c r="Q1220">
        <v>27.95</v>
      </c>
      <c r="R1220">
        <v>4.59</v>
      </c>
      <c r="S1220">
        <v>82.51</v>
      </c>
      <c r="T1220">
        <v>22</v>
      </c>
      <c r="U1220" s="1" t="s">
        <v>25</v>
      </c>
      <c r="V1220">
        <v>0</v>
      </c>
    </row>
    <row r="1221" spans="1:22" x14ac:dyDescent="0.3">
      <c r="A1221" s="2">
        <v>45253</v>
      </c>
      <c r="B1221">
        <v>34000</v>
      </c>
      <c r="C1221">
        <v>1422</v>
      </c>
      <c r="D1221">
        <v>11</v>
      </c>
      <c r="E1221" s="1" t="s">
        <v>22</v>
      </c>
      <c r="F1221">
        <v>3</v>
      </c>
      <c r="G1221" s="1" t="s">
        <v>23</v>
      </c>
      <c r="H1221">
        <v>34600</v>
      </c>
      <c r="J1221">
        <v>34000</v>
      </c>
      <c r="K1221">
        <v>34750</v>
      </c>
      <c r="L1221">
        <v>29400</v>
      </c>
      <c r="M1221">
        <v>0</v>
      </c>
      <c r="N1221">
        <v>128.86179999999999</v>
      </c>
      <c r="O1221">
        <v>0.380452648</v>
      </c>
      <c r="P1221">
        <v>15612.799800000001</v>
      </c>
      <c r="Q1221">
        <v>27.91</v>
      </c>
      <c r="R1221">
        <v>11.71</v>
      </c>
      <c r="S1221">
        <v>82.28</v>
      </c>
      <c r="T1221">
        <v>23</v>
      </c>
      <c r="U1221" s="1" t="s">
        <v>25</v>
      </c>
      <c r="V1221">
        <v>0</v>
      </c>
    </row>
    <row r="1222" spans="1:22" x14ac:dyDescent="0.3">
      <c r="A1222" s="2">
        <v>45254</v>
      </c>
      <c r="B1222">
        <v>34000</v>
      </c>
      <c r="C1222">
        <v>1423</v>
      </c>
      <c r="D1222">
        <v>11</v>
      </c>
      <c r="E1222" s="1" t="s">
        <v>22</v>
      </c>
      <c r="F1222">
        <v>4</v>
      </c>
      <c r="G1222" s="1" t="s">
        <v>23</v>
      </c>
      <c r="H1222">
        <v>34400</v>
      </c>
      <c r="J1222">
        <v>34000</v>
      </c>
      <c r="K1222">
        <v>35400</v>
      </c>
      <c r="L1222">
        <v>29400</v>
      </c>
      <c r="M1222">
        <v>0</v>
      </c>
      <c r="N1222">
        <v>128.86179999999999</v>
      </c>
      <c r="O1222">
        <v>0.380452648</v>
      </c>
      <c r="P1222">
        <v>15495</v>
      </c>
      <c r="Q1222">
        <v>27.79</v>
      </c>
      <c r="R1222">
        <v>12.32</v>
      </c>
      <c r="S1222">
        <v>80.34</v>
      </c>
      <c r="T1222">
        <v>24</v>
      </c>
      <c r="U1222" s="1" t="s">
        <v>25</v>
      </c>
      <c r="V1222">
        <v>0</v>
      </c>
    </row>
    <row r="1223" spans="1:22" x14ac:dyDescent="0.3">
      <c r="A1223" s="2">
        <v>45257</v>
      </c>
      <c r="B1223">
        <v>33750</v>
      </c>
      <c r="C1223">
        <v>1426</v>
      </c>
      <c r="D1223">
        <v>11</v>
      </c>
      <c r="E1223" s="1" t="s">
        <v>22</v>
      </c>
      <c r="F1223">
        <v>0</v>
      </c>
      <c r="G1223" s="1" t="s">
        <v>23</v>
      </c>
      <c r="K1223">
        <v>34000</v>
      </c>
      <c r="L1223">
        <v>29750</v>
      </c>
      <c r="N1223">
        <v>128.86179999999999</v>
      </c>
      <c r="O1223">
        <v>0.380452648</v>
      </c>
      <c r="P1223">
        <v>15560</v>
      </c>
      <c r="Q1223">
        <v>27.25</v>
      </c>
      <c r="R1223">
        <v>10.65</v>
      </c>
      <c r="S1223">
        <v>80.069999999999993</v>
      </c>
      <c r="T1223">
        <v>27</v>
      </c>
      <c r="U1223" s="1"/>
      <c r="V1223">
        <v>0</v>
      </c>
    </row>
    <row r="1224" spans="1:22" x14ac:dyDescent="0.3">
      <c r="A1224" s="2">
        <v>45258</v>
      </c>
      <c r="B1224">
        <v>33750</v>
      </c>
      <c r="C1224">
        <v>1427</v>
      </c>
      <c r="D1224">
        <v>11</v>
      </c>
      <c r="E1224" s="1" t="s">
        <v>22</v>
      </c>
      <c r="F1224">
        <v>1</v>
      </c>
      <c r="G1224" s="1" t="s">
        <v>23</v>
      </c>
      <c r="J1224">
        <v>33750</v>
      </c>
      <c r="K1224">
        <v>34000</v>
      </c>
      <c r="L1224">
        <v>29750</v>
      </c>
      <c r="M1224">
        <v>0</v>
      </c>
      <c r="N1224">
        <v>128.86179999999999</v>
      </c>
      <c r="O1224">
        <v>0.380452648</v>
      </c>
      <c r="P1224">
        <v>15466.5</v>
      </c>
      <c r="Q1224">
        <v>27.36</v>
      </c>
      <c r="R1224">
        <v>4.68</v>
      </c>
      <c r="S1224">
        <v>80.760000000000005</v>
      </c>
      <c r="T1224">
        <v>28</v>
      </c>
      <c r="U1224" s="1" t="s">
        <v>25</v>
      </c>
      <c r="V1224">
        <v>0</v>
      </c>
    </row>
    <row r="1225" spans="1:22" x14ac:dyDescent="0.3">
      <c r="A1225" s="2">
        <v>45259</v>
      </c>
      <c r="B1225">
        <v>32500</v>
      </c>
      <c r="C1225">
        <v>1428</v>
      </c>
      <c r="D1225">
        <v>11</v>
      </c>
      <c r="E1225" s="1" t="s">
        <v>22</v>
      </c>
      <c r="F1225">
        <v>2</v>
      </c>
      <c r="G1225" s="1" t="s">
        <v>23</v>
      </c>
      <c r="J1225">
        <v>33750</v>
      </c>
      <c r="K1225">
        <v>34000</v>
      </c>
      <c r="L1225">
        <v>29750</v>
      </c>
      <c r="M1225">
        <v>-1250</v>
      </c>
      <c r="N1225">
        <v>128.86179999999999</v>
      </c>
      <c r="O1225">
        <v>0.380452648</v>
      </c>
      <c r="P1225">
        <v>15259</v>
      </c>
      <c r="Q1225">
        <v>27.39</v>
      </c>
      <c r="R1225">
        <v>2.11</v>
      </c>
      <c r="S1225">
        <v>82.68</v>
      </c>
      <c r="T1225">
        <v>29</v>
      </c>
      <c r="U1225" s="1" t="s">
        <v>40</v>
      </c>
      <c r="V1225">
        <v>-3.7</v>
      </c>
    </row>
    <row r="1226" spans="1:22" x14ac:dyDescent="0.3">
      <c r="A1226" s="2">
        <v>45260</v>
      </c>
      <c r="B1226">
        <v>33000</v>
      </c>
      <c r="C1226">
        <v>1429</v>
      </c>
      <c r="D1226">
        <v>11</v>
      </c>
      <c r="E1226" s="1" t="s">
        <v>22</v>
      </c>
      <c r="F1226">
        <v>3</v>
      </c>
      <c r="G1226" s="1" t="s">
        <v>23</v>
      </c>
      <c r="J1226">
        <v>32500</v>
      </c>
      <c r="K1226">
        <v>34000</v>
      </c>
      <c r="L1226">
        <v>30000</v>
      </c>
      <c r="M1226">
        <v>500</v>
      </c>
      <c r="N1226">
        <v>128.86179999999999</v>
      </c>
      <c r="O1226">
        <v>0.380452648</v>
      </c>
      <c r="P1226">
        <v>15407</v>
      </c>
      <c r="Q1226">
        <v>27.45</v>
      </c>
      <c r="R1226">
        <v>2.61</v>
      </c>
      <c r="S1226">
        <v>80.84</v>
      </c>
      <c r="T1226">
        <v>30</v>
      </c>
      <c r="U1226" s="1" t="s">
        <v>26</v>
      </c>
      <c r="V1226">
        <v>1.54</v>
      </c>
    </row>
    <row r="1227" spans="1:22" x14ac:dyDescent="0.3">
      <c r="A1227" s="2">
        <v>45261</v>
      </c>
      <c r="B1227">
        <v>33000</v>
      </c>
      <c r="C1227">
        <v>1430</v>
      </c>
      <c r="D1227">
        <v>12</v>
      </c>
      <c r="E1227" s="1" t="s">
        <v>22</v>
      </c>
      <c r="F1227">
        <v>4</v>
      </c>
      <c r="G1227" s="1" t="s">
        <v>23</v>
      </c>
      <c r="J1227">
        <v>33000</v>
      </c>
      <c r="K1227">
        <v>34000</v>
      </c>
      <c r="L1227">
        <v>31500</v>
      </c>
      <c r="M1227">
        <v>0</v>
      </c>
      <c r="N1227">
        <v>129.3947</v>
      </c>
      <c r="O1227">
        <v>0.41354381200000001</v>
      </c>
      <c r="P1227">
        <v>15549.299800000001</v>
      </c>
      <c r="Q1227">
        <v>27.42</v>
      </c>
      <c r="R1227">
        <v>1.7</v>
      </c>
      <c r="S1227">
        <v>82.81</v>
      </c>
      <c r="T1227">
        <v>1</v>
      </c>
      <c r="U1227" s="1" t="s">
        <v>25</v>
      </c>
      <c r="V1227">
        <v>0</v>
      </c>
    </row>
    <row r="1228" spans="1:22" x14ac:dyDescent="0.3">
      <c r="A1228" s="2">
        <v>45262</v>
      </c>
      <c r="B1228">
        <v>33000</v>
      </c>
      <c r="C1228">
        <v>1431</v>
      </c>
      <c r="D1228">
        <v>12</v>
      </c>
      <c r="E1228" s="1" t="s">
        <v>22</v>
      </c>
      <c r="F1228">
        <v>5</v>
      </c>
      <c r="G1228" s="1" t="s">
        <v>23</v>
      </c>
      <c r="J1228">
        <v>33000</v>
      </c>
      <c r="L1228">
        <v>32000</v>
      </c>
      <c r="M1228">
        <v>0</v>
      </c>
      <c r="N1228">
        <v>129.3947</v>
      </c>
      <c r="O1228">
        <v>0.41354381200000001</v>
      </c>
      <c r="P1228">
        <v>15549.299800000001</v>
      </c>
      <c r="Q1228">
        <v>27.39</v>
      </c>
      <c r="R1228">
        <v>3.48</v>
      </c>
      <c r="S1228">
        <v>85.34</v>
      </c>
      <c r="T1228">
        <v>2</v>
      </c>
      <c r="U1228" s="1" t="s">
        <v>25</v>
      </c>
      <c r="V1228">
        <v>0</v>
      </c>
    </row>
    <row r="1229" spans="1:22" x14ac:dyDescent="0.3">
      <c r="A1229" s="2">
        <v>45263</v>
      </c>
      <c r="B1229">
        <v>33000</v>
      </c>
      <c r="C1229">
        <v>1432</v>
      </c>
      <c r="D1229">
        <v>12</v>
      </c>
      <c r="E1229" s="1" t="s">
        <v>22</v>
      </c>
      <c r="F1229">
        <v>6</v>
      </c>
      <c r="G1229" s="1" t="s">
        <v>23</v>
      </c>
      <c r="H1229">
        <v>33142.857142857145</v>
      </c>
      <c r="J1229">
        <v>33000</v>
      </c>
      <c r="L1229">
        <v>31750</v>
      </c>
      <c r="M1229">
        <v>0</v>
      </c>
      <c r="N1229">
        <v>129.3947</v>
      </c>
      <c r="O1229">
        <v>0.41354381200000001</v>
      </c>
      <c r="P1229">
        <v>15549.299800000001</v>
      </c>
      <c r="Q1229">
        <v>27.31</v>
      </c>
      <c r="R1229">
        <v>14.69</v>
      </c>
      <c r="S1229">
        <v>84.71</v>
      </c>
      <c r="T1229">
        <v>3</v>
      </c>
      <c r="U1229" s="1" t="s">
        <v>25</v>
      </c>
      <c r="V1229">
        <v>0</v>
      </c>
    </row>
    <row r="1230" spans="1:22" x14ac:dyDescent="0.3">
      <c r="A1230" s="2">
        <v>45264</v>
      </c>
      <c r="B1230">
        <v>35400</v>
      </c>
      <c r="C1230">
        <v>1433</v>
      </c>
      <c r="D1230">
        <v>12</v>
      </c>
      <c r="E1230" s="1" t="s">
        <v>22</v>
      </c>
      <c r="F1230">
        <v>0</v>
      </c>
      <c r="G1230" s="1" t="s">
        <v>23</v>
      </c>
      <c r="H1230">
        <v>33378.571428571428</v>
      </c>
      <c r="J1230">
        <v>33000</v>
      </c>
      <c r="K1230">
        <v>33750</v>
      </c>
      <c r="M1230">
        <v>2400</v>
      </c>
      <c r="N1230">
        <v>129.3947</v>
      </c>
      <c r="O1230">
        <v>0.41354381200000001</v>
      </c>
      <c r="P1230">
        <v>15437.400390000001</v>
      </c>
      <c r="Q1230">
        <v>27.13</v>
      </c>
      <c r="R1230">
        <v>1.26</v>
      </c>
      <c r="S1230">
        <v>83.4</v>
      </c>
      <c r="T1230">
        <v>4</v>
      </c>
      <c r="U1230" s="1" t="s">
        <v>105</v>
      </c>
      <c r="V1230">
        <v>7.27</v>
      </c>
    </row>
    <row r="1231" spans="1:22" x14ac:dyDescent="0.3">
      <c r="A1231" s="2">
        <v>45265</v>
      </c>
      <c r="B1231">
        <v>35400</v>
      </c>
      <c r="C1231">
        <v>1434</v>
      </c>
      <c r="D1231">
        <v>12</v>
      </c>
      <c r="E1231" s="1" t="s">
        <v>22</v>
      </c>
      <c r="F1231">
        <v>1</v>
      </c>
      <c r="G1231" s="1" t="s">
        <v>23</v>
      </c>
      <c r="H1231">
        <v>33614.285714285717</v>
      </c>
      <c r="J1231">
        <v>35400</v>
      </c>
      <c r="K1231">
        <v>33750</v>
      </c>
      <c r="M1231">
        <v>0</v>
      </c>
      <c r="N1231">
        <v>129.3947</v>
      </c>
      <c r="O1231">
        <v>0.41354381200000001</v>
      </c>
      <c r="P1231">
        <v>15519.900390000001</v>
      </c>
      <c r="Q1231">
        <v>28.08</v>
      </c>
      <c r="R1231">
        <v>2.66</v>
      </c>
      <c r="S1231">
        <v>77.94</v>
      </c>
      <c r="T1231">
        <v>5</v>
      </c>
      <c r="U1231" s="1" t="s">
        <v>25</v>
      </c>
      <c r="V1231">
        <v>0</v>
      </c>
    </row>
    <row r="1232" spans="1:22" x14ac:dyDescent="0.3">
      <c r="A1232" s="2">
        <v>45266</v>
      </c>
      <c r="B1232">
        <v>35750</v>
      </c>
      <c r="C1232">
        <v>1435</v>
      </c>
      <c r="D1232">
        <v>12</v>
      </c>
      <c r="E1232" s="1" t="s">
        <v>22</v>
      </c>
      <c r="F1232">
        <v>2</v>
      </c>
      <c r="G1232" s="1" t="s">
        <v>23</v>
      </c>
      <c r="H1232">
        <v>34078.571428571428</v>
      </c>
      <c r="J1232">
        <v>35400</v>
      </c>
      <c r="K1232">
        <v>32500</v>
      </c>
      <c r="L1232">
        <v>32500</v>
      </c>
      <c r="M1232">
        <v>350</v>
      </c>
      <c r="N1232">
        <v>129.3947</v>
      </c>
      <c r="O1232">
        <v>0.41354381200000001</v>
      </c>
      <c r="P1232">
        <v>15457</v>
      </c>
      <c r="Q1232">
        <v>27.48</v>
      </c>
      <c r="R1232">
        <v>4.32</v>
      </c>
      <c r="S1232">
        <v>84.12</v>
      </c>
      <c r="T1232">
        <v>6</v>
      </c>
      <c r="U1232" s="1" t="s">
        <v>68</v>
      </c>
      <c r="V1232">
        <v>0.99</v>
      </c>
    </row>
    <row r="1233" spans="1:22" x14ac:dyDescent="0.3">
      <c r="A1233" s="2">
        <v>45267</v>
      </c>
      <c r="B1233">
        <v>35750</v>
      </c>
      <c r="C1233">
        <v>1436</v>
      </c>
      <c r="D1233">
        <v>12</v>
      </c>
      <c r="E1233" s="1" t="s">
        <v>22</v>
      </c>
      <c r="F1233">
        <v>3</v>
      </c>
      <c r="G1233" s="1" t="s">
        <v>23</v>
      </c>
      <c r="H1233">
        <v>34471.428571428572</v>
      </c>
      <c r="J1233">
        <v>35750</v>
      </c>
      <c r="K1233">
        <v>33000</v>
      </c>
      <c r="L1233">
        <v>33000</v>
      </c>
      <c r="M1233">
        <v>0</v>
      </c>
      <c r="N1233">
        <v>129.3947</v>
      </c>
      <c r="O1233">
        <v>0.41354381200000001</v>
      </c>
      <c r="P1233">
        <v>15480</v>
      </c>
      <c r="Q1233">
        <v>27.43</v>
      </c>
      <c r="R1233">
        <v>3.6</v>
      </c>
      <c r="S1233">
        <v>82.79</v>
      </c>
      <c r="T1233">
        <v>7</v>
      </c>
      <c r="U1233" s="1" t="s">
        <v>25</v>
      </c>
      <c r="V1233">
        <v>0</v>
      </c>
    </row>
    <row r="1234" spans="1:22" x14ac:dyDescent="0.3">
      <c r="A1234" s="2">
        <v>45268</v>
      </c>
      <c r="B1234">
        <v>35900</v>
      </c>
      <c r="C1234">
        <v>1437</v>
      </c>
      <c r="D1234">
        <v>12</v>
      </c>
      <c r="E1234" s="1" t="s">
        <v>22</v>
      </c>
      <c r="F1234">
        <v>4</v>
      </c>
      <c r="G1234" s="1" t="s">
        <v>23</v>
      </c>
      <c r="H1234">
        <v>34885.714285714283</v>
      </c>
      <c r="J1234">
        <v>35750</v>
      </c>
      <c r="K1234">
        <v>33000</v>
      </c>
      <c r="L1234">
        <v>33400</v>
      </c>
      <c r="M1234">
        <v>150</v>
      </c>
      <c r="N1234">
        <v>129.3947</v>
      </c>
      <c r="O1234">
        <v>0.41354381200000001</v>
      </c>
      <c r="P1234">
        <v>15500</v>
      </c>
      <c r="Q1234">
        <v>27.77</v>
      </c>
      <c r="R1234">
        <v>2.96</v>
      </c>
      <c r="S1234">
        <v>80.62</v>
      </c>
      <c r="T1234">
        <v>8</v>
      </c>
      <c r="U1234" s="1" t="s">
        <v>66</v>
      </c>
      <c r="V1234">
        <v>0.42</v>
      </c>
    </row>
    <row r="1235" spans="1:22" x14ac:dyDescent="0.3">
      <c r="A1235" s="2">
        <v>45269</v>
      </c>
      <c r="B1235">
        <v>35900</v>
      </c>
      <c r="C1235">
        <v>1438</v>
      </c>
      <c r="D1235">
        <v>12</v>
      </c>
      <c r="E1235" s="1" t="s">
        <v>22</v>
      </c>
      <c r="F1235">
        <v>5</v>
      </c>
      <c r="G1235" s="1" t="s">
        <v>23</v>
      </c>
      <c r="H1235">
        <v>35300</v>
      </c>
      <c r="J1235">
        <v>35900</v>
      </c>
      <c r="K1235">
        <v>33000</v>
      </c>
      <c r="L1235">
        <v>33400</v>
      </c>
      <c r="M1235">
        <v>0</v>
      </c>
      <c r="N1235">
        <v>129.3947</v>
      </c>
      <c r="O1235">
        <v>0.41354381200000001</v>
      </c>
      <c r="P1235">
        <v>15500</v>
      </c>
      <c r="Q1235">
        <v>27.71</v>
      </c>
      <c r="R1235">
        <v>3.26</v>
      </c>
      <c r="S1235">
        <v>82.41</v>
      </c>
      <c r="T1235">
        <v>9</v>
      </c>
      <c r="U1235" s="1" t="s">
        <v>66</v>
      </c>
      <c r="V1235">
        <v>0.42</v>
      </c>
    </row>
    <row r="1236" spans="1:22" x14ac:dyDescent="0.3">
      <c r="A1236" s="2">
        <v>45270</v>
      </c>
      <c r="B1236">
        <v>35900</v>
      </c>
      <c r="C1236">
        <v>1439</v>
      </c>
      <c r="D1236">
        <v>12</v>
      </c>
      <c r="E1236" s="1" t="s">
        <v>22</v>
      </c>
      <c r="F1236">
        <v>6</v>
      </c>
      <c r="G1236" s="1" t="s">
        <v>23</v>
      </c>
      <c r="H1236">
        <v>35714.285714285717</v>
      </c>
      <c r="J1236">
        <v>35900</v>
      </c>
      <c r="K1236">
        <v>33000</v>
      </c>
      <c r="L1236">
        <v>32900</v>
      </c>
      <c r="M1236">
        <v>0</v>
      </c>
      <c r="N1236">
        <v>129.3947</v>
      </c>
      <c r="O1236">
        <v>0.41354381200000001</v>
      </c>
      <c r="P1236">
        <v>15500</v>
      </c>
      <c r="Q1236">
        <v>27.81</v>
      </c>
      <c r="R1236">
        <v>0.89</v>
      </c>
      <c r="S1236">
        <v>79.03</v>
      </c>
      <c r="T1236">
        <v>10</v>
      </c>
      <c r="U1236" s="1" t="s">
        <v>66</v>
      </c>
      <c r="V1236">
        <v>0.42</v>
      </c>
    </row>
    <row r="1237" spans="1:22" x14ac:dyDescent="0.3">
      <c r="A1237" s="2">
        <v>45271</v>
      </c>
      <c r="B1237">
        <v>36150</v>
      </c>
      <c r="C1237">
        <v>1440</v>
      </c>
      <c r="D1237">
        <v>12</v>
      </c>
      <c r="E1237" s="1" t="s">
        <v>22</v>
      </c>
      <c r="F1237">
        <v>0</v>
      </c>
      <c r="G1237" s="1" t="s">
        <v>23</v>
      </c>
      <c r="H1237">
        <v>35821.428571428572</v>
      </c>
      <c r="J1237">
        <v>35900</v>
      </c>
      <c r="K1237">
        <v>35400</v>
      </c>
      <c r="L1237">
        <v>32900</v>
      </c>
      <c r="M1237">
        <v>250</v>
      </c>
      <c r="N1237">
        <v>129.3947</v>
      </c>
      <c r="O1237">
        <v>0.41354381200000001</v>
      </c>
      <c r="P1237">
        <v>15560.200199999999</v>
      </c>
      <c r="Q1237">
        <v>27.64</v>
      </c>
      <c r="R1237">
        <v>5.68</v>
      </c>
      <c r="S1237">
        <v>80.66</v>
      </c>
      <c r="T1237">
        <v>11</v>
      </c>
      <c r="U1237" s="1" t="s">
        <v>34</v>
      </c>
      <c r="V1237">
        <v>0.7</v>
      </c>
    </row>
    <row r="1238" spans="1:22" x14ac:dyDescent="0.3">
      <c r="A1238" s="2">
        <v>45272</v>
      </c>
      <c r="B1238">
        <v>36150</v>
      </c>
      <c r="C1238">
        <v>1441</v>
      </c>
      <c r="D1238">
        <v>12</v>
      </c>
      <c r="E1238" s="1" t="s">
        <v>22</v>
      </c>
      <c r="F1238">
        <v>1</v>
      </c>
      <c r="G1238" s="1" t="s">
        <v>23</v>
      </c>
      <c r="H1238">
        <v>35928.571428571428</v>
      </c>
      <c r="J1238">
        <v>36150</v>
      </c>
      <c r="K1238">
        <v>35400</v>
      </c>
      <c r="L1238">
        <v>32900</v>
      </c>
      <c r="M1238">
        <v>0</v>
      </c>
      <c r="N1238">
        <v>129.3947</v>
      </c>
      <c r="O1238">
        <v>0.41354381200000001</v>
      </c>
      <c r="P1238">
        <v>15647</v>
      </c>
      <c r="Q1238">
        <v>27.5</v>
      </c>
      <c r="R1238">
        <v>2.17</v>
      </c>
      <c r="S1238">
        <v>83.43</v>
      </c>
      <c r="T1238">
        <v>12</v>
      </c>
      <c r="U1238" s="1" t="s">
        <v>25</v>
      </c>
      <c r="V1238">
        <v>0</v>
      </c>
    </row>
    <row r="1239" spans="1:22" x14ac:dyDescent="0.3">
      <c r="A1239" s="2">
        <v>45273</v>
      </c>
      <c r="B1239">
        <v>36150</v>
      </c>
      <c r="C1239">
        <v>1442</v>
      </c>
      <c r="D1239">
        <v>12</v>
      </c>
      <c r="E1239" s="1" t="s">
        <v>22</v>
      </c>
      <c r="F1239">
        <v>2</v>
      </c>
      <c r="G1239" s="1" t="s">
        <v>23</v>
      </c>
      <c r="H1239">
        <v>35985.714285714283</v>
      </c>
      <c r="J1239">
        <v>36150</v>
      </c>
      <c r="K1239">
        <v>35750</v>
      </c>
      <c r="L1239">
        <v>34650</v>
      </c>
      <c r="M1239">
        <v>0</v>
      </c>
      <c r="N1239">
        <v>129.3947</v>
      </c>
      <c r="O1239">
        <v>0.41354381200000001</v>
      </c>
      <c r="P1239">
        <v>15569</v>
      </c>
      <c r="Q1239">
        <v>28.01</v>
      </c>
      <c r="R1239">
        <v>5.94</v>
      </c>
      <c r="S1239">
        <v>80.260000000000005</v>
      </c>
      <c r="T1239">
        <v>13</v>
      </c>
      <c r="U1239" s="1" t="s">
        <v>25</v>
      </c>
      <c r="V1239">
        <v>0</v>
      </c>
    </row>
    <row r="1240" spans="1:22" x14ac:dyDescent="0.3">
      <c r="A1240" s="2">
        <v>45274</v>
      </c>
      <c r="B1240">
        <v>36250</v>
      </c>
      <c r="C1240">
        <v>1443</v>
      </c>
      <c r="D1240">
        <v>12</v>
      </c>
      <c r="E1240" s="1" t="s">
        <v>22</v>
      </c>
      <c r="F1240">
        <v>3</v>
      </c>
      <c r="G1240" s="1" t="s">
        <v>23</v>
      </c>
      <c r="H1240">
        <v>36057.142857142855</v>
      </c>
      <c r="J1240">
        <v>36150</v>
      </c>
      <c r="K1240">
        <v>35750</v>
      </c>
      <c r="L1240">
        <v>34750</v>
      </c>
      <c r="M1240">
        <v>100</v>
      </c>
      <c r="N1240">
        <v>129.3947</v>
      </c>
      <c r="O1240">
        <v>0.41354381200000001</v>
      </c>
      <c r="P1240">
        <v>15275</v>
      </c>
      <c r="Q1240">
        <v>28.02</v>
      </c>
      <c r="R1240">
        <v>3.48</v>
      </c>
      <c r="S1240">
        <v>76.98</v>
      </c>
      <c r="T1240">
        <v>14</v>
      </c>
      <c r="U1240" s="1" t="s">
        <v>65</v>
      </c>
      <c r="V1240">
        <v>0.28000000000000003</v>
      </c>
    </row>
    <row r="1241" spans="1:22" x14ac:dyDescent="0.3">
      <c r="A1241" s="2">
        <v>45275</v>
      </c>
      <c r="B1241">
        <v>36900</v>
      </c>
      <c r="C1241">
        <v>1444</v>
      </c>
      <c r="D1241">
        <v>12</v>
      </c>
      <c r="E1241" s="1" t="s">
        <v>22</v>
      </c>
      <c r="F1241">
        <v>4</v>
      </c>
      <c r="G1241" s="1" t="s">
        <v>23</v>
      </c>
      <c r="H1241">
        <v>36200</v>
      </c>
      <c r="J1241">
        <v>36250</v>
      </c>
      <c r="K1241">
        <v>35900</v>
      </c>
      <c r="L1241">
        <v>34750</v>
      </c>
      <c r="M1241">
        <v>650</v>
      </c>
      <c r="N1241">
        <v>129.3947</v>
      </c>
      <c r="O1241">
        <v>0.41354381200000001</v>
      </c>
      <c r="P1241">
        <v>15468</v>
      </c>
      <c r="Q1241">
        <v>27.48</v>
      </c>
      <c r="R1241">
        <v>5.55</v>
      </c>
      <c r="S1241">
        <v>82.45</v>
      </c>
      <c r="T1241">
        <v>15</v>
      </c>
      <c r="U1241" s="1" t="s">
        <v>73</v>
      </c>
      <c r="V1241">
        <v>1.79</v>
      </c>
    </row>
    <row r="1242" spans="1:22" x14ac:dyDescent="0.3">
      <c r="A1242" s="2">
        <v>45276</v>
      </c>
      <c r="B1242">
        <v>36900</v>
      </c>
      <c r="C1242">
        <v>1445</v>
      </c>
      <c r="D1242">
        <v>12</v>
      </c>
      <c r="E1242" s="1" t="s">
        <v>22</v>
      </c>
      <c r="F1242">
        <v>5</v>
      </c>
      <c r="G1242" s="1" t="s">
        <v>23</v>
      </c>
      <c r="H1242">
        <v>36342.857142857145</v>
      </c>
      <c r="J1242">
        <v>36900</v>
      </c>
      <c r="K1242">
        <v>35900</v>
      </c>
      <c r="L1242">
        <v>34750</v>
      </c>
      <c r="M1242">
        <v>0</v>
      </c>
      <c r="N1242">
        <v>129.3947</v>
      </c>
      <c r="O1242">
        <v>0.41354381200000001</v>
      </c>
      <c r="P1242">
        <v>15468</v>
      </c>
      <c r="Q1242">
        <v>27.8</v>
      </c>
      <c r="R1242">
        <v>1.34</v>
      </c>
      <c r="S1242">
        <v>82.53</v>
      </c>
      <c r="T1242">
        <v>16</v>
      </c>
      <c r="U1242" s="1" t="s">
        <v>73</v>
      </c>
      <c r="V1242">
        <v>1.79</v>
      </c>
    </row>
    <row r="1243" spans="1:22" x14ac:dyDescent="0.3">
      <c r="A1243" s="2">
        <v>45277</v>
      </c>
      <c r="B1243">
        <v>36900</v>
      </c>
      <c r="C1243">
        <v>1446</v>
      </c>
      <c r="D1243">
        <v>12</v>
      </c>
      <c r="E1243" s="1" t="s">
        <v>22</v>
      </c>
      <c r="F1243">
        <v>6</v>
      </c>
      <c r="G1243" s="1" t="s">
        <v>23</v>
      </c>
      <c r="H1243">
        <v>36485.714285714283</v>
      </c>
      <c r="J1243">
        <v>36900</v>
      </c>
      <c r="K1243">
        <v>35900</v>
      </c>
      <c r="L1243">
        <v>35400</v>
      </c>
      <c r="M1243">
        <v>0</v>
      </c>
      <c r="N1243">
        <v>129.3947</v>
      </c>
      <c r="O1243">
        <v>0.41354381200000001</v>
      </c>
      <c r="P1243">
        <v>15468</v>
      </c>
      <c r="Q1243">
        <v>27.68</v>
      </c>
      <c r="R1243">
        <v>0.41</v>
      </c>
      <c r="S1243">
        <v>82.23</v>
      </c>
      <c r="T1243">
        <v>17</v>
      </c>
      <c r="U1243" s="1" t="s">
        <v>73</v>
      </c>
      <c r="V1243">
        <v>1.79</v>
      </c>
    </row>
    <row r="1244" spans="1:22" x14ac:dyDescent="0.3">
      <c r="A1244" s="2">
        <v>45278</v>
      </c>
      <c r="B1244">
        <v>38900</v>
      </c>
      <c r="C1244">
        <v>1447</v>
      </c>
      <c r="D1244">
        <v>12</v>
      </c>
      <c r="E1244" s="1" t="s">
        <v>22</v>
      </c>
      <c r="F1244">
        <v>0</v>
      </c>
      <c r="G1244" s="1" t="s">
        <v>23</v>
      </c>
      <c r="H1244">
        <v>36878.571428571428</v>
      </c>
      <c r="J1244">
        <v>36900</v>
      </c>
      <c r="K1244">
        <v>36150</v>
      </c>
      <c r="L1244">
        <v>35400</v>
      </c>
      <c r="M1244">
        <v>2000</v>
      </c>
      <c r="N1244">
        <v>129.3947</v>
      </c>
      <c r="O1244">
        <v>0.41354381200000001</v>
      </c>
      <c r="P1244">
        <v>15282.799800000001</v>
      </c>
      <c r="Q1244">
        <v>28.38</v>
      </c>
      <c r="R1244">
        <v>1.06</v>
      </c>
      <c r="S1244">
        <v>78.260000000000005</v>
      </c>
      <c r="T1244">
        <v>18</v>
      </c>
      <c r="U1244" s="1" t="s">
        <v>47</v>
      </c>
      <c r="V1244">
        <v>5.42</v>
      </c>
    </row>
    <row r="1245" spans="1:22" x14ac:dyDescent="0.3">
      <c r="A1245" s="2">
        <v>45279</v>
      </c>
      <c r="B1245">
        <v>39400</v>
      </c>
      <c r="C1245">
        <v>1448</v>
      </c>
      <c r="D1245">
        <v>12</v>
      </c>
      <c r="E1245" s="1" t="s">
        <v>22</v>
      </c>
      <c r="F1245">
        <v>1</v>
      </c>
      <c r="G1245" s="1" t="s">
        <v>23</v>
      </c>
      <c r="H1245">
        <v>37342.857142857145</v>
      </c>
      <c r="J1245">
        <v>38900</v>
      </c>
      <c r="K1245">
        <v>36150</v>
      </c>
      <c r="L1245">
        <v>35400</v>
      </c>
      <c r="M1245">
        <v>500</v>
      </c>
      <c r="N1245">
        <v>129.3947</v>
      </c>
      <c r="O1245">
        <v>0.41354381200000001</v>
      </c>
      <c r="P1245">
        <v>15454.400390000001</v>
      </c>
      <c r="Q1245">
        <v>27.4</v>
      </c>
      <c r="R1245">
        <v>7.5</v>
      </c>
      <c r="S1245">
        <v>85.81</v>
      </c>
      <c r="T1245">
        <v>19</v>
      </c>
      <c r="U1245" s="1" t="s">
        <v>26</v>
      </c>
      <c r="V1245">
        <v>1.29</v>
      </c>
    </row>
    <row r="1246" spans="1:22" x14ac:dyDescent="0.3">
      <c r="A1246" s="2">
        <v>45280</v>
      </c>
      <c r="B1246">
        <v>39900</v>
      </c>
      <c r="C1246">
        <v>1449</v>
      </c>
      <c r="D1246">
        <v>12</v>
      </c>
      <c r="E1246" s="1" t="s">
        <v>22</v>
      </c>
      <c r="F1246">
        <v>2</v>
      </c>
      <c r="G1246" s="1" t="s">
        <v>23</v>
      </c>
      <c r="H1246">
        <v>37878.571428571428</v>
      </c>
      <c r="J1246">
        <v>39400</v>
      </c>
      <c r="K1246">
        <v>36150</v>
      </c>
      <c r="L1246">
        <v>34000</v>
      </c>
      <c r="M1246">
        <v>500</v>
      </c>
      <c r="N1246">
        <v>129.3947</v>
      </c>
      <c r="O1246">
        <v>0.41354381200000001</v>
      </c>
      <c r="P1246">
        <v>15455</v>
      </c>
      <c r="Q1246">
        <v>27.62</v>
      </c>
      <c r="R1246">
        <v>0.98</v>
      </c>
      <c r="S1246">
        <v>82.64</v>
      </c>
      <c r="T1246">
        <v>20</v>
      </c>
      <c r="U1246" s="1" t="s">
        <v>26</v>
      </c>
      <c r="V1246">
        <v>1.27</v>
      </c>
    </row>
    <row r="1247" spans="1:22" x14ac:dyDescent="0.3">
      <c r="A1247" s="2">
        <v>45281</v>
      </c>
      <c r="B1247">
        <v>40650</v>
      </c>
      <c r="C1247">
        <v>1450</v>
      </c>
      <c r="D1247">
        <v>12</v>
      </c>
      <c r="E1247" s="1" t="s">
        <v>22</v>
      </c>
      <c r="F1247">
        <v>3</v>
      </c>
      <c r="G1247" s="1" t="s">
        <v>23</v>
      </c>
      <c r="H1247">
        <v>38507.142857142855</v>
      </c>
      <c r="J1247">
        <v>39900</v>
      </c>
      <c r="K1247">
        <v>36250</v>
      </c>
      <c r="L1247">
        <v>34000</v>
      </c>
      <c r="M1247">
        <v>750</v>
      </c>
      <c r="N1247">
        <v>129.3947</v>
      </c>
      <c r="O1247">
        <v>0.41354381200000001</v>
      </c>
      <c r="P1247">
        <v>15518</v>
      </c>
      <c r="Q1247">
        <v>27.75</v>
      </c>
      <c r="R1247">
        <v>2.1</v>
      </c>
      <c r="S1247">
        <v>81.010000000000005</v>
      </c>
      <c r="T1247">
        <v>21</v>
      </c>
      <c r="U1247" s="1" t="s">
        <v>52</v>
      </c>
      <c r="V1247">
        <v>1.88</v>
      </c>
    </row>
    <row r="1248" spans="1:22" x14ac:dyDescent="0.3">
      <c r="A1248" s="2">
        <v>45282</v>
      </c>
      <c r="B1248">
        <v>42150</v>
      </c>
      <c r="C1248">
        <v>1451</v>
      </c>
      <c r="D1248">
        <v>12</v>
      </c>
      <c r="E1248" s="1" t="s">
        <v>22</v>
      </c>
      <c r="F1248">
        <v>4</v>
      </c>
      <c r="G1248" s="1" t="s">
        <v>23</v>
      </c>
      <c r="H1248">
        <v>39257.142857142855</v>
      </c>
      <c r="J1248">
        <v>40650</v>
      </c>
      <c r="K1248">
        <v>36900</v>
      </c>
      <c r="L1248">
        <v>34000</v>
      </c>
      <c r="M1248">
        <v>1500</v>
      </c>
      <c r="N1248">
        <v>129.3947</v>
      </c>
      <c r="O1248">
        <v>0.41354381200000001</v>
      </c>
      <c r="P1248">
        <v>15440</v>
      </c>
      <c r="Q1248">
        <v>27.67</v>
      </c>
      <c r="R1248">
        <v>1.31</v>
      </c>
      <c r="S1248">
        <v>81.23</v>
      </c>
      <c r="T1248">
        <v>22</v>
      </c>
      <c r="U1248" s="1" t="s">
        <v>31</v>
      </c>
      <c r="V1248">
        <v>3.69</v>
      </c>
    </row>
    <row r="1249" spans="1:22" x14ac:dyDescent="0.3">
      <c r="A1249" s="2">
        <v>45283</v>
      </c>
      <c r="B1249">
        <v>42150</v>
      </c>
      <c r="C1249">
        <v>1452</v>
      </c>
      <c r="D1249">
        <v>12</v>
      </c>
      <c r="E1249" s="1" t="s">
        <v>22</v>
      </c>
      <c r="F1249">
        <v>5</v>
      </c>
      <c r="G1249" s="1" t="s">
        <v>23</v>
      </c>
      <c r="H1249">
        <v>40007.142857142855</v>
      </c>
      <c r="J1249">
        <v>42150</v>
      </c>
      <c r="K1249">
        <v>36900</v>
      </c>
      <c r="L1249">
        <v>34000</v>
      </c>
      <c r="M1249">
        <v>0</v>
      </c>
      <c r="N1249">
        <v>129.3947</v>
      </c>
      <c r="O1249">
        <v>0.41354381200000001</v>
      </c>
      <c r="P1249">
        <v>15440</v>
      </c>
      <c r="Q1249">
        <v>27.74</v>
      </c>
      <c r="R1249">
        <v>15.65</v>
      </c>
      <c r="S1249">
        <v>82.98</v>
      </c>
      <c r="T1249">
        <v>23</v>
      </c>
      <c r="U1249" s="1" t="s">
        <v>31</v>
      </c>
      <c r="V1249">
        <v>3.69</v>
      </c>
    </row>
    <row r="1250" spans="1:22" x14ac:dyDescent="0.3">
      <c r="A1250" s="2">
        <v>45284</v>
      </c>
      <c r="B1250">
        <v>42150</v>
      </c>
      <c r="C1250">
        <v>1453</v>
      </c>
      <c r="D1250">
        <v>12</v>
      </c>
      <c r="E1250" s="1" t="s">
        <v>22</v>
      </c>
      <c r="F1250">
        <v>6</v>
      </c>
      <c r="G1250" s="1" t="s">
        <v>23</v>
      </c>
      <c r="H1250">
        <v>40757.142857142855</v>
      </c>
      <c r="J1250">
        <v>42150</v>
      </c>
      <c r="K1250">
        <v>36900</v>
      </c>
      <c r="L1250">
        <v>34000</v>
      </c>
      <c r="M1250">
        <v>0</v>
      </c>
      <c r="N1250">
        <v>129.3947</v>
      </c>
      <c r="O1250">
        <v>0.41354381200000001</v>
      </c>
      <c r="P1250">
        <v>15440</v>
      </c>
      <c r="Q1250">
        <v>27.91</v>
      </c>
      <c r="R1250">
        <v>0.78</v>
      </c>
      <c r="S1250">
        <v>78.95</v>
      </c>
      <c r="T1250">
        <v>24</v>
      </c>
      <c r="U1250" s="1" t="s">
        <v>31</v>
      </c>
      <c r="V1250">
        <v>3.69</v>
      </c>
    </row>
    <row r="1251" spans="1:22" x14ac:dyDescent="0.3">
      <c r="A1251" s="2">
        <v>45287</v>
      </c>
      <c r="B1251">
        <v>45900</v>
      </c>
      <c r="C1251">
        <v>1456</v>
      </c>
      <c r="D1251">
        <v>12</v>
      </c>
      <c r="E1251" s="1" t="s">
        <v>22</v>
      </c>
      <c r="F1251">
        <v>2</v>
      </c>
      <c r="G1251" s="1" t="s">
        <v>23</v>
      </c>
      <c r="K1251">
        <v>39900</v>
      </c>
      <c r="L1251">
        <v>33750</v>
      </c>
      <c r="N1251">
        <v>129.3947</v>
      </c>
      <c r="O1251">
        <v>0.41354381200000001</v>
      </c>
      <c r="P1251">
        <v>15400</v>
      </c>
      <c r="Q1251">
        <v>28.05</v>
      </c>
      <c r="R1251">
        <v>4.3099999999999996</v>
      </c>
      <c r="S1251">
        <v>77.84</v>
      </c>
      <c r="T1251">
        <v>27</v>
      </c>
      <c r="U1251" s="1"/>
      <c r="V1251">
        <v>0</v>
      </c>
    </row>
    <row r="1252" spans="1:22" x14ac:dyDescent="0.3">
      <c r="A1252" s="2">
        <v>45288</v>
      </c>
      <c r="B1252">
        <v>45900</v>
      </c>
      <c r="C1252">
        <v>1457</v>
      </c>
      <c r="D1252">
        <v>12</v>
      </c>
      <c r="E1252" s="1" t="s">
        <v>22</v>
      </c>
      <c r="F1252">
        <v>3</v>
      </c>
      <c r="G1252" s="1" t="s">
        <v>23</v>
      </c>
      <c r="J1252">
        <v>45900</v>
      </c>
      <c r="K1252">
        <v>40650</v>
      </c>
      <c r="L1252">
        <v>33750</v>
      </c>
      <c r="M1252">
        <v>0</v>
      </c>
      <c r="N1252">
        <v>129.3947</v>
      </c>
      <c r="O1252">
        <v>0.41354381200000001</v>
      </c>
      <c r="P1252">
        <v>15373</v>
      </c>
      <c r="Q1252">
        <v>28.2</v>
      </c>
      <c r="R1252">
        <v>1.64</v>
      </c>
      <c r="S1252">
        <v>76.67</v>
      </c>
      <c r="T1252">
        <v>28</v>
      </c>
      <c r="U1252" s="1" t="s">
        <v>25</v>
      </c>
      <c r="V1252">
        <v>0</v>
      </c>
    </row>
    <row r="1253" spans="1:22" x14ac:dyDescent="0.3">
      <c r="A1253" s="2">
        <v>45289</v>
      </c>
      <c r="B1253">
        <v>46150</v>
      </c>
      <c r="C1253">
        <v>1458</v>
      </c>
      <c r="D1253">
        <v>12</v>
      </c>
      <c r="E1253" s="1" t="s">
        <v>22</v>
      </c>
      <c r="F1253">
        <v>4</v>
      </c>
      <c r="G1253" s="1" t="s">
        <v>23</v>
      </c>
      <c r="J1253">
        <v>45900</v>
      </c>
      <c r="K1253">
        <v>42150</v>
      </c>
      <c r="L1253">
        <v>32500</v>
      </c>
      <c r="M1253">
        <v>250</v>
      </c>
      <c r="N1253">
        <v>129.3947</v>
      </c>
      <c r="O1253">
        <v>0.41354381200000001</v>
      </c>
      <c r="P1253">
        <v>15425</v>
      </c>
      <c r="Q1253">
        <v>28.1</v>
      </c>
      <c r="R1253">
        <v>0.63</v>
      </c>
      <c r="S1253">
        <v>80.25</v>
      </c>
      <c r="T1253">
        <v>29</v>
      </c>
      <c r="U1253" s="1" t="s">
        <v>34</v>
      </c>
      <c r="V1253">
        <v>0.54</v>
      </c>
    </row>
    <row r="1254" spans="1:22" x14ac:dyDescent="0.3">
      <c r="A1254" s="2">
        <v>45290</v>
      </c>
      <c r="B1254">
        <v>46150</v>
      </c>
      <c r="C1254">
        <v>1459</v>
      </c>
      <c r="D1254">
        <v>12</v>
      </c>
      <c r="E1254" s="1" t="s">
        <v>22</v>
      </c>
      <c r="F1254">
        <v>5</v>
      </c>
      <c r="G1254" s="1" t="s">
        <v>23</v>
      </c>
      <c r="J1254">
        <v>46150</v>
      </c>
      <c r="K1254">
        <v>42150</v>
      </c>
      <c r="L1254">
        <v>33000</v>
      </c>
      <c r="M1254">
        <v>0</v>
      </c>
      <c r="N1254">
        <v>129.3947</v>
      </c>
      <c r="O1254">
        <v>0.41354381200000001</v>
      </c>
      <c r="P1254">
        <v>15425</v>
      </c>
      <c r="Q1254">
        <v>28.21</v>
      </c>
      <c r="R1254">
        <v>1.37</v>
      </c>
      <c r="S1254">
        <v>79.150000000000006</v>
      </c>
      <c r="T1254">
        <v>30</v>
      </c>
      <c r="U1254" s="1" t="s">
        <v>34</v>
      </c>
      <c r="V1254">
        <v>0.54</v>
      </c>
    </row>
    <row r="1255" spans="1:22" x14ac:dyDescent="0.3">
      <c r="A1255" s="2">
        <v>45291</v>
      </c>
      <c r="B1255">
        <v>46150</v>
      </c>
      <c r="C1255">
        <v>1460</v>
      </c>
      <c r="D1255">
        <v>12</v>
      </c>
      <c r="E1255" s="1" t="s">
        <v>22</v>
      </c>
      <c r="F1255">
        <v>6</v>
      </c>
      <c r="G1255" s="1" t="s">
        <v>23</v>
      </c>
      <c r="J1255">
        <v>46150</v>
      </c>
      <c r="K1255">
        <v>42150</v>
      </c>
      <c r="L1255">
        <v>33000</v>
      </c>
      <c r="M1255">
        <v>0</v>
      </c>
      <c r="N1255">
        <v>129.3947</v>
      </c>
      <c r="O1255">
        <v>0.41354381200000001</v>
      </c>
      <c r="P1255">
        <v>15425</v>
      </c>
      <c r="Q1255">
        <v>28.31</v>
      </c>
      <c r="R1255">
        <v>2.19</v>
      </c>
      <c r="S1255">
        <v>80.319999999999993</v>
      </c>
      <c r="T1255">
        <v>31</v>
      </c>
      <c r="U1255" s="1" t="s">
        <v>34</v>
      </c>
      <c r="V1255">
        <v>0.54</v>
      </c>
    </row>
    <row r="1256" spans="1:22" x14ac:dyDescent="0.3">
      <c r="A1256" s="2">
        <v>45292</v>
      </c>
      <c r="B1256">
        <v>46150</v>
      </c>
      <c r="C1256">
        <v>1461</v>
      </c>
      <c r="D1256">
        <v>1</v>
      </c>
      <c r="E1256" s="1" t="s">
        <v>22</v>
      </c>
      <c r="F1256">
        <v>0</v>
      </c>
      <c r="G1256" s="1" t="s">
        <v>44</v>
      </c>
      <c r="J1256">
        <v>46150</v>
      </c>
      <c r="L1256">
        <v>33000</v>
      </c>
      <c r="M1256">
        <v>0</v>
      </c>
      <c r="N1256">
        <v>129.4502</v>
      </c>
      <c r="O1256">
        <v>4.2892020000000003E-2</v>
      </c>
      <c r="P1256">
        <v>15383.099609999999</v>
      </c>
      <c r="Q1256">
        <v>28.17</v>
      </c>
      <c r="R1256">
        <v>1.45</v>
      </c>
      <c r="S1256">
        <v>80.17</v>
      </c>
      <c r="T1256">
        <v>1</v>
      </c>
      <c r="U1256" s="1"/>
      <c r="V1256">
        <v>0</v>
      </c>
    </row>
    <row r="1257" spans="1:22" x14ac:dyDescent="0.3">
      <c r="A1257" s="2">
        <v>45293</v>
      </c>
      <c r="B1257">
        <v>46650</v>
      </c>
      <c r="C1257">
        <v>1462</v>
      </c>
      <c r="D1257">
        <v>1</v>
      </c>
      <c r="E1257" s="1" t="s">
        <v>22</v>
      </c>
      <c r="F1257">
        <v>1</v>
      </c>
      <c r="G1257" s="1" t="s">
        <v>23</v>
      </c>
      <c r="H1257">
        <v>46150</v>
      </c>
      <c r="J1257">
        <v>46150</v>
      </c>
      <c r="L1257">
        <v>33000</v>
      </c>
      <c r="M1257">
        <v>500</v>
      </c>
      <c r="N1257">
        <v>129.4502</v>
      </c>
      <c r="O1257">
        <v>4.2892020000000003E-2</v>
      </c>
      <c r="P1257">
        <v>15383</v>
      </c>
      <c r="Q1257">
        <v>28.28</v>
      </c>
      <c r="R1257">
        <v>3.49</v>
      </c>
      <c r="S1257">
        <v>77.7</v>
      </c>
      <c r="T1257">
        <v>2</v>
      </c>
      <c r="U1257" s="1" t="s">
        <v>26</v>
      </c>
      <c r="V1257">
        <v>1.08</v>
      </c>
    </row>
    <row r="1258" spans="1:22" x14ac:dyDescent="0.3">
      <c r="A1258" s="2">
        <v>45294</v>
      </c>
      <c r="B1258">
        <v>46400</v>
      </c>
      <c r="C1258">
        <v>1463</v>
      </c>
      <c r="D1258">
        <v>1</v>
      </c>
      <c r="E1258" s="1" t="s">
        <v>22</v>
      </c>
      <c r="F1258">
        <v>2</v>
      </c>
      <c r="G1258" s="1" t="s">
        <v>23</v>
      </c>
      <c r="H1258">
        <v>46221.428571428572</v>
      </c>
      <c r="J1258">
        <v>46650</v>
      </c>
      <c r="K1258">
        <v>45900</v>
      </c>
      <c r="L1258">
        <v>35400</v>
      </c>
      <c r="M1258">
        <v>-250</v>
      </c>
      <c r="N1258">
        <v>129.4502</v>
      </c>
      <c r="O1258">
        <v>4.2892020000000003E-2</v>
      </c>
      <c r="P1258">
        <v>15498</v>
      </c>
      <c r="Q1258">
        <v>27.93</v>
      </c>
      <c r="R1258">
        <v>4.01</v>
      </c>
      <c r="S1258">
        <v>82.51</v>
      </c>
      <c r="T1258">
        <v>3</v>
      </c>
      <c r="U1258" s="1" t="s">
        <v>35</v>
      </c>
      <c r="V1258">
        <v>-0.54</v>
      </c>
    </row>
    <row r="1259" spans="1:22" x14ac:dyDescent="0.3">
      <c r="A1259" s="2">
        <v>45295</v>
      </c>
      <c r="B1259">
        <v>46900</v>
      </c>
      <c r="C1259">
        <v>1464</v>
      </c>
      <c r="D1259">
        <v>1</v>
      </c>
      <c r="E1259" s="1" t="s">
        <v>22</v>
      </c>
      <c r="F1259">
        <v>3</v>
      </c>
      <c r="G1259" s="1" t="s">
        <v>23</v>
      </c>
      <c r="H1259">
        <v>46364.285714285717</v>
      </c>
      <c r="J1259">
        <v>46400</v>
      </c>
      <c r="K1259">
        <v>45900</v>
      </c>
      <c r="L1259">
        <v>35400</v>
      </c>
      <c r="M1259">
        <v>500</v>
      </c>
      <c r="N1259">
        <v>129.4502</v>
      </c>
      <c r="O1259">
        <v>4.2892020000000003E-2</v>
      </c>
      <c r="P1259">
        <v>15555</v>
      </c>
      <c r="Q1259">
        <v>27.67</v>
      </c>
      <c r="R1259">
        <v>1.48</v>
      </c>
      <c r="S1259">
        <v>81.86</v>
      </c>
      <c r="T1259">
        <v>4</v>
      </c>
      <c r="U1259" s="1" t="s">
        <v>26</v>
      </c>
      <c r="V1259">
        <v>1.08</v>
      </c>
    </row>
    <row r="1260" spans="1:22" x14ac:dyDescent="0.3">
      <c r="A1260" s="2">
        <v>45296</v>
      </c>
      <c r="B1260">
        <v>46650</v>
      </c>
      <c r="C1260">
        <v>1465</v>
      </c>
      <c r="D1260">
        <v>1</v>
      </c>
      <c r="E1260" s="1" t="s">
        <v>22</v>
      </c>
      <c r="F1260">
        <v>4</v>
      </c>
      <c r="G1260" s="1" t="s">
        <v>23</v>
      </c>
      <c r="H1260">
        <v>46435.714285714283</v>
      </c>
      <c r="J1260">
        <v>46900</v>
      </c>
      <c r="K1260">
        <v>46150</v>
      </c>
      <c r="L1260">
        <v>35750</v>
      </c>
      <c r="M1260">
        <v>-250</v>
      </c>
      <c r="N1260">
        <v>129.4502</v>
      </c>
      <c r="O1260">
        <v>4.2892020000000003E-2</v>
      </c>
      <c r="P1260">
        <v>15511</v>
      </c>
      <c r="Q1260">
        <v>27.35</v>
      </c>
      <c r="R1260">
        <v>7.86</v>
      </c>
      <c r="S1260">
        <v>85.71</v>
      </c>
      <c r="T1260">
        <v>5</v>
      </c>
      <c r="U1260" s="1" t="s">
        <v>35</v>
      </c>
      <c r="V1260">
        <v>-0.53</v>
      </c>
    </row>
    <row r="1261" spans="1:22" x14ac:dyDescent="0.3">
      <c r="A1261" s="2">
        <v>45297</v>
      </c>
      <c r="B1261">
        <v>46650</v>
      </c>
      <c r="C1261">
        <v>1466</v>
      </c>
      <c r="D1261">
        <v>1</v>
      </c>
      <c r="E1261" s="1" t="s">
        <v>22</v>
      </c>
      <c r="F1261">
        <v>5</v>
      </c>
      <c r="G1261" s="1" t="s">
        <v>23</v>
      </c>
      <c r="H1261">
        <v>46507.142857142855</v>
      </c>
      <c r="J1261">
        <v>46650</v>
      </c>
      <c r="K1261">
        <v>46150</v>
      </c>
      <c r="L1261">
        <v>35750</v>
      </c>
      <c r="M1261">
        <v>0</v>
      </c>
      <c r="N1261">
        <v>129.4502</v>
      </c>
      <c r="O1261">
        <v>4.2892020000000003E-2</v>
      </c>
      <c r="P1261">
        <v>15511</v>
      </c>
      <c r="Q1261">
        <v>27.26</v>
      </c>
      <c r="R1261">
        <v>48.44</v>
      </c>
      <c r="S1261">
        <v>86.45</v>
      </c>
      <c r="T1261">
        <v>6</v>
      </c>
      <c r="U1261" s="1" t="s">
        <v>35</v>
      </c>
      <c r="V1261">
        <v>-0.53</v>
      </c>
    </row>
    <row r="1262" spans="1:22" x14ac:dyDescent="0.3">
      <c r="A1262" s="2">
        <v>45298</v>
      </c>
      <c r="B1262">
        <v>46650</v>
      </c>
      <c r="C1262">
        <v>1467</v>
      </c>
      <c r="D1262">
        <v>1</v>
      </c>
      <c r="E1262" s="1" t="s">
        <v>22</v>
      </c>
      <c r="F1262">
        <v>6</v>
      </c>
      <c r="G1262" s="1" t="s">
        <v>23</v>
      </c>
      <c r="H1262">
        <v>46578.571428571428</v>
      </c>
      <c r="J1262">
        <v>46650</v>
      </c>
      <c r="K1262">
        <v>46150</v>
      </c>
      <c r="L1262">
        <v>35900</v>
      </c>
      <c r="M1262">
        <v>0</v>
      </c>
      <c r="N1262">
        <v>129.4502</v>
      </c>
      <c r="O1262">
        <v>4.2892020000000003E-2</v>
      </c>
      <c r="P1262">
        <v>15511</v>
      </c>
      <c r="Q1262">
        <v>27</v>
      </c>
      <c r="R1262">
        <v>12.45</v>
      </c>
      <c r="S1262">
        <v>86.32</v>
      </c>
      <c r="T1262">
        <v>7</v>
      </c>
      <c r="U1262" s="1" t="s">
        <v>35</v>
      </c>
      <c r="V1262">
        <v>-0.53</v>
      </c>
    </row>
    <row r="1263" spans="1:22" x14ac:dyDescent="0.3">
      <c r="A1263" s="2">
        <v>45299</v>
      </c>
      <c r="B1263">
        <v>47250</v>
      </c>
      <c r="C1263">
        <v>1468</v>
      </c>
      <c r="D1263">
        <v>1</v>
      </c>
      <c r="E1263" s="1" t="s">
        <v>22</v>
      </c>
      <c r="F1263">
        <v>0</v>
      </c>
      <c r="G1263" s="1" t="s">
        <v>23</v>
      </c>
      <c r="H1263">
        <v>46735.714285714283</v>
      </c>
      <c r="J1263">
        <v>46650</v>
      </c>
      <c r="K1263">
        <v>46150</v>
      </c>
      <c r="L1263">
        <v>35900</v>
      </c>
      <c r="M1263">
        <v>600</v>
      </c>
      <c r="N1263">
        <v>129.4502</v>
      </c>
      <c r="O1263">
        <v>4.2892020000000003E-2</v>
      </c>
      <c r="P1263">
        <v>15477.5</v>
      </c>
      <c r="Q1263">
        <v>27.35</v>
      </c>
      <c r="R1263">
        <v>1.53</v>
      </c>
      <c r="S1263">
        <v>84.28</v>
      </c>
      <c r="T1263">
        <v>8</v>
      </c>
      <c r="U1263" s="1" t="s">
        <v>64</v>
      </c>
      <c r="V1263">
        <v>1.29</v>
      </c>
    </row>
    <row r="1264" spans="1:22" x14ac:dyDescent="0.3">
      <c r="A1264" s="2">
        <v>45300</v>
      </c>
      <c r="B1264">
        <v>48150</v>
      </c>
      <c r="C1264">
        <v>1469</v>
      </c>
      <c r="D1264">
        <v>1</v>
      </c>
      <c r="E1264" s="1" t="s">
        <v>22</v>
      </c>
      <c r="F1264">
        <v>1</v>
      </c>
      <c r="G1264" s="1" t="s">
        <v>23</v>
      </c>
      <c r="H1264">
        <v>46950</v>
      </c>
      <c r="J1264">
        <v>47250</v>
      </c>
      <c r="K1264">
        <v>46650</v>
      </c>
      <c r="L1264">
        <v>35900</v>
      </c>
      <c r="M1264">
        <v>900</v>
      </c>
      <c r="N1264">
        <v>129.4502</v>
      </c>
      <c r="O1264">
        <v>4.2892020000000003E-2</v>
      </c>
      <c r="P1264">
        <v>15495.5</v>
      </c>
      <c r="Q1264">
        <v>27.58</v>
      </c>
      <c r="R1264">
        <v>0.38</v>
      </c>
      <c r="S1264">
        <v>82.26</v>
      </c>
      <c r="T1264">
        <v>9</v>
      </c>
      <c r="U1264" s="1" t="s">
        <v>80</v>
      </c>
      <c r="V1264">
        <v>1.9</v>
      </c>
    </row>
    <row r="1265" spans="1:22" x14ac:dyDescent="0.3">
      <c r="A1265" s="2">
        <v>45301</v>
      </c>
      <c r="B1265">
        <v>48150</v>
      </c>
      <c r="C1265">
        <v>1470</v>
      </c>
      <c r="D1265">
        <v>1</v>
      </c>
      <c r="E1265" s="1" t="s">
        <v>22</v>
      </c>
      <c r="F1265">
        <v>2</v>
      </c>
      <c r="G1265" s="1" t="s">
        <v>23</v>
      </c>
      <c r="H1265">
        <v>47200</v>
      </c>
      <c r="J1265">
        <v>48150</v>
      </c>
      <c r="K1265">
        <v>46400</v>
      </c>
      <c r="L1265">
        <v>36150</v>
      </c>
      <c r="M1265">
        <v>0</v>
      </c>
      <c r="N1265">
        <v>129.4502</v>
      </c>
      <c r="O1265">
        <v>4.2892020000000003E-2</v>
      </c>
      <c r="P1265">
        <v>15534.5</v>
      </c>
      <c r="Q1265">
        <v>28.02</v>
      </c>
      <c r="R1265">
        <v>0.66</v>
      </c>
      <c r="S1265">
        <v>78.989999999999995</v>
      </c>
      <c r="T1265">
        <v>10</v>
      </c>
      <c r="U1265" s="1" t="s">
        <v>25</v>
      </c>
      <c r="V1265">
        <v>0</v>
      </c>
    </row>
    <row r="1266" spans="1:22" x14ac:dyDescent="0.3">
      <c r="A1266" s="2">
        <v>45302</v>
      </c>
      <c r="B1266">
        <v>47900</v>
      </c>
      <c r="C1266">
        <v>1471</v>
      </c>
      <c r="D1266">
        <v>1</v>
      </c>
      <c r="E1266" s="1" t="s">
        <v>22</v>
      </c>
      <c r="F1266">
        <v>3</v>
      </c>
      <c r="G1266" s="1" t="s">
        <v>23</v>
      </c>
      <c r="H1266">
        <v>47342.857142857145</v>
      </c>
      <c r="J1266">
        <v>48150</v>
      </c>
      <c r="K1266">
        <v>46900</v>
      </c>
      <c r="L1266">
        <v>36150</v>
      </c>
      <c r="M1266">
        <v>-250</v>
      </c>
      <c r="N1266">
        <v>129.4502</v>
      </c>
      <c r="O1266">
        <v>4.2892020000000003E-2</v>
      </c>
      <c r="P1266">
        <v>15555</v>
      </c>
      <c r="Q1266">
        <v>27.39</v>
      </c>
      <c r="R1266">
        <v>6.39</v>
      </c>
      <c r="S1266">
        <v>85.41</v>
      </c>
      <c r="T1266">
        <v>11</v>
      </c>
      <c r="U1266" s="1" t="s">
        <v>35</v>
      </c>
      <c r="V1266">
        <v>-0.52</v>
      </c>
    </row>
    <row r="1267" spans="1:22" x14ac:dyDescent="0.3">
      <c r="A1267" s="2">
        <v>45303</v>
      </c>
      <c r="B1267">
        <v>48500</v>
      </c>
      <c r="C1267">
        <v>1472</v>
      </c>
      <c r="D1267">
        <v>1</v>
      </c>
      <c r="E1267" s="1" t="s">
        <v>22</v>
      </c>
      <c r="F1267">
        <v>4</v>
      </c>
      <c r="G1267" s="1" t="s">
        <v>23</v>
      </c>
      <c r="H1267">
        <v>47607.142857142855</v>
      </c>
      <c r="J1267">
        <v>47900</v>
      </c>
      <c r="K1267">
        <v>46650</v>
      </c>
      <c r="L1267">
        <v>36150</v>
      </c>
      <c r="M1267">
        <v>600</v>
      </c>
      <c r="N1267">
        <v>129.4502</v>
      </c>
      <c r="O1267">
        <v>4.2892020000000003E-2</v>
      </c>
      <c r="P1267">
        <v>15556.5</v>
      </c>
      <c r="Q1267">
        <v>27.14</v>
      </c>
      <c r="R1267">
        <v>15.08</v>
      </c>
      <c r="S1267">
        <v>84.08</v>
      </c>
      <c r="T1267">
        <v>12</v>
      </c>
      <c r="U1267" s="1" t="s">
        <v>64</v>
      </c>
      <c r="V1267">
        <v>1.25</v>
      </c>
    </row>
    <row r="1268" spans="1:22" x14ac:dyDescent="0.3">
      <c r="A1268" s="2">
        <v>45304</v>
      </c>
      <c r="B1268">
        <v>48500</v>
      </c>
      <c r="C1268">
        <v>1473</v>
      </c>
      <c r="D1268">
        <v>1</v>
      </c>
      <c r="E1268" s="1" t="s">
        <v>22</v>
      </c>
      <c r="F1268">
        <v>5</v>
      </c>
      <c r="G1268" s="1" t="s">
        <v>23</v>
      </c>
      <c r="H1268">
        <v>47871.428571428572</v>
      </c>
      <c r="J1268">
        <v>48500</v>
      </c>
      <c r="K1268">
        <v>46650</v>
      </c>
      <c r="L1268">
        <v>36250</v>
      </c>
      <c r="M1268">
        <v>0</v>
      </c>
      <c r="N1268">
        <v>129.4502</v>
      </c>
      <c r="O1268">
        <v>4.2892020000000003E-2</v>
      </c>
      <c r="P1268">
        <v>15556.5</v>
      </c>
      <c r="Q1268">
        <v>26.13</v>
      </c>
      <c r="R1268">
        <v>15.52</v>
      </c>
      <c r="S1268">
        <v>87.83</v>
      </c>
      <c r="T1268">
        <v>13</v>
      </c>
      <c r="U1268" s="1" t="s">
        <v>64</v>
      </c>
      <c r="V1268">
        <v>1.25</v>
      </c>
    </row>
    <row r="1269" spans="1:22" x14ac:dyDescent="0.3">
      <c r="A1269" s="2">
        <v>45305</v>
      </c>
      <c r="B1269">
        <v>48500</v>
      </c>
      <c r="C1269">
        <v>1474</v>
      </c>
      <c r="D1269">
        <v>1</v>
      </c>
      <c r="E1269" s="1" t="s">
        <v>22</v>
      </c>
      <c r="F1269">
        <v>6</v>
      </c>
      <c r="G1269" s="1" t="s">
        <v>23</v>
      </c>
      <c r="H1269">
        <v>48135.714285714283</v>
      </c>
      <c r="J1269">
        <v>48500</v>
      </c>
      <c r="K1269">
        <v>46650</v>
      </c>
      <c r="L1269">
        <v>36900</v>
      </c>
      <c r="M1269">
        <v>0</v>
      </c>
      <c r="N1269">
        <v>129.4502</v>
      </c>
      <c r="O1269">
        <v>4.2892020000000003E-2</v>
      </c>
      <c r="P1269">
        <v>15556.5</v>
      </c>
      <c r="Q1269">
        <v>26.82</v>
      </c>
      <c r="R1269">
        <v>10.23</v>
      </c>
      <c r="S1269">
        <v>86.69</v>
      </c>
      <c r="T1269">
        <v>14</v>
      </c>
      <c r="U1269" s="1" t="s">
        <v>64</v>
      </c>
      <c r="V1269">
        <v>1.25</v>
      </c>
    </row>
    <row r="1270" spans="1:22" x14ac:dyDescent="0.3">
      <c r="A1270" s="2">
        <v>45306</v>
      </c>
      <c r="B1270">
        <v>49750</v>
      </c>
      <c r="C1270">
        <v>1475</v>
      </c>
      <c r="D1270">
        <v>1</v>
      </c>
      <c r="E1270" s="1" t="s">
        <v>22</v>
      </c>
      <c r="F1270">
        <v>0</v>
      </c>
      <c r="G1270" s="1" t="s">
        <v>23</v>
      </c>
      <c r="H1270">
        <v>48492.857142857145</v>
      </c>
      <c r="J1270">
        <v>48500</v>
      </c>
      <c r="K1270">
        <v>47250</v>
      </c>
      <c r="L1270">
        <v>36900</v>
      </c>
      <c r="M1270">
        <v>1250</v>
      </c>
      <c r="N1270">
        <v>129.4502</v>
      </c>
      <c r="O1270">
        <v>4.2892020000000003E-2</v>
      </c>
      <c r="P1270">
        <v>15503.200199999999</v>
      </c>
      <c r="Q1270">
        <v>27.38</v>
      </c>
      <c r="R1270">
        <v>13.62</v>
      </c>
      <c r="S1270">
        <v>83.85</v>
      </c>
      <c r="T1270">
        <v>15</v>
      </c>
      <c r="U1270" s="1"/>
      <c r="V1270">
        <v>0</v>
      </c>
    </row>
    <row r="1271" spans="1:22" x14ac:dyDescent="0.3">
      <c r="A1271" s="2">
        <v>45307</v>
      </c>
      <c r="B1271">
        <v>49750</v>
      </c>
      <c r="C1271">
        <v>1476</v>
      </c>
      <c r="D1271">
        <v>1</v>
      </c>
      <c r="E1271" s="1" t="s">
        <v>22</v>
      </c>
      <c r="F1271">
        <v>1</v>
      </c>
      <c r="G1271" s="1" t="s">
        <v>23</v>
      </c>
      <c r="H1271">
        <v>48721.428571428572</v>
      </c>
      <c r="J1271">
        <v>49750</v>
      </c>
      <c r="K1271">
        <v>48150</v>
      </c>
      <c r="L1271">
        <v>36900</v>
      </c>
      <c r="M1271">
        <v>0</v>
      </c>
      <c r="N1271">
        <v>129.4502</v>
      </c>
      <c r="O1271">
        <v>4.2892020000000003E-2</v>
      </c>
      <c r="P1271">
        <v>15546</v>
      </c>
      <c r="Q1271">
        <v>27.12</v>
      </c>
      <c r="R1271">
        <v>4.34</v>
      </c>
      <c r="S1271">
        <v>82.68</v>
      </c>
      <c r="T1271">
        <v>16</v>
      </c>
      <c r="U1271" s="1" t="s">
        <v>25</v>
      </c>
      <c r="V1271">
        <v>0</v>
      </c>
    </row>
    <row r="1272" spans="1:22" x14ac:dyDescent="0.3">
      <c r="A1272" s="2">
        <v>45308</v>
      </c>
      <c r="B1272">
        <v>49150</v>
      </c>
      <c r="C1272">
        <v>1477</v>
      </c>
      <c r="D1272">
        <v>1</v>
      </c>
      <c r="E1272" s="1" t="s">
        <v>22</v>
      </c>
      <c r="F1272">
        <v>2</v>
      </c>
      <c r="G1272" s="1" t="s">
        <v>23</v>
      </c>
      <c r="H1272">
        <v>48864.285714285717</v>
      </c>
      <c r="J1272">
        <v>49750</v>
      </c>
      <c r="K1272">
        <v>48150</v>
      </c>
      <c r="L1272">
        <v>38900</v>
      </c>
      <c r="M1272">
        <v>-600</v>
      </c>
      <c r="N1272">
        <v>129.4502</v>
      </c>
      <c r="O1272">
        <v>4.2892020000000003E-2</v>
      </c>
      <c r="P1272">
        <v>15625</v>
      </c>
      <c r="Q1272">
        <v>27.42</v>
      </c>
      <c r="R1272">
        <v>2.21</v>
      </c>
      <c r="S1272">
        <v>81.64</v>
      </c>
      <c r="T1272">
        <v>17</v>
      </c>
      <c r="U1272" s="1" t="s">
        <v>62</v>
      </c>
      <c r="V1272">
        <v>-1.21</v>
      </c>
    </row>
    <row r="1273" spans="1:22" x14ac:dyDescent="0.3">
      <c r="A1273" s="2">
        <v>45309</v>
      </c>
      <c r="B1273">
        <v>49150</v>
      </c>
      <c r="C1273">
        <v>1478</v>
      </c>
      <c r="D1273">
        <v>1</v>
      </c>
      <c r="E1273" s="1" t="s">
        <v>22</v>
      </c>
      <c r="F1273">
        <v>3</v>
      </c>
      <c r="G1273" s="1" t="s">
        <v>23</v>
      </c>
      <c r="H1273">
        <v>49042.857142857145</v>
      </c>
      <c r="J1273">
        <v>49150</v>
      </c>
      <c r="K1273">
        <v>47900</v>
      </c>
      <c r="L1273">
        <v>39400</v>
      </c>
      <c r="M1273">
        <v>0</v>
      </c>
      <c r="N1273">
        <v>129.4502</v>
      </c>
      <c r="O1273">
        <v>4.2892020000000003E-2</v>
      </c>
      <c r="P1273">
        <v>15624</v>
      </c>
      <c r="Q1273">
        <v>26.75</v>
      </c>
      <c r="R1273">
        <v>16.72</v>
      </c>
      <c r="S1273">
        <v>85.52</v>
      </c>
      <c r="T1273">
        <v>18</v>
      </c>
      <c r="U1273" s="1" t="s">
        <v>25</v>
      </c>
      <c r="V1273">
        <v>0</v>
      </c>
    </row>
    <row r="1274" spans="1:22" x14ac:dyDescent="0.3">
      <c r="A1274" s="2">
        <v>45310</v>
      </c>
      <c r="B1274">
        <v>49150</v>
      </c>
      <c r="C1274">
        <v>1479</v>
      </c>
      <c r="D1274">
        <v>1</v>
      </c>
      <c r="E1274" s="1" t="s">
        <v>22</v>
      </c>
      <c r="F1274">
        <v>4</v>
      </c>
      <c r="G1274" s="1" t="s">
        <v>23</v>
      </c>
      <c r="H1274">
        <v>49135.714285714283</v>
      </c>
      <c r="J1274">
        <v>49150</v>
      </c>
      <c r="K1274">
        <v>48500</v>
      </c>
      <c r="L1274">
        <v>39900</v>
      </c>
      <c r="M1274">
        <v>0</v>
      </c>
      <c r="N1274">
        <v>129.4502</v>
      </c>
      <c r="O1274">
        <v>4.2892020000000003E-2</v>
      </c>
      <c r="P1274">
        <v>15613.099609999999</v>
      </c>
      <c r="Q1274">
        <v>27.1</v>
      </c>
      <c r="R1274">
        <v>10.47</v>
      </c>
      <c r="S1274">
        <v>85.46</v>
      </c>
      <c r="T1274">
        <v>19</v>
      </c>
      <c r="U1274" s="1" t="s">
        <v>25</v>
      </c>
      <c r="V1274">
        <v>0</v>
      </c>
    </row>
    <row r="1275" spans="1:22" x14ac:dyDescent="0.3">
      <c r="A1275" s="2">
        <v>45311</v>
      </c>
      <c r="B1275">
        <v>49150</v>
      </c>
      <c r="C1275">
        <v>1480</v>
      </c>
      <c r="D1275">
        <v>1</v>
      </c>
      <c r="E1275" s="1" t="s">
        <v>22</v>
      </c>
      <c r="F1275">
        <v>5</v>
      </c>
      <c r="G1275" s="1" t="s">
        <v>23</v>
      </c>
      <c r="H1275">
        <v>49228.571428571428</v>
      </c>
      <c r="J1275">
        <v>49150</v>
      </c>
      <c r="K1275">
        <v>48500</v>
      </c>
      <c r="L1275">
        <v>40650</v>
      </c>
      <c r="M1275">
        <v>0</v>
      </c>
      <c r="N1275">
        <v>129.4502</v>
      </c>
      <c r="O1275">
        <v>4.2892020000000003E-2</v>
      </c>
      <c r="P1275">
        <v>15613.099609999999</v>
      </c>
      <c r="Q1275">
        <v>26.61</v>
      </c>
      <c r="R1275">
        <v>33.85</v>
      </c>
      <c r="S1275">
        <v>88.42</v>
      </c>
      <c r="T1275">
        <v>20</v>
      </c>
      <c r="U1275" s="1" t="s">
        <v>25</v>
      </c>
      <c r="V1275">
        <v>0</v>
      </c>
    </row>
    <row r="1276" spans="1:22" x14ac:dyDescent="0.3">
      <c r="A1276" s="2">
        <v>45312</v>
      </c>
      <c r="B1276">
        <v>49150</v>
      </c>
      <c r="C1276">
        <v>1481</v>
      </c>
      <c r="D1276">
        <v>1</v>
      </c>
      <c r="E1276" s="1" t="s">
        <v>22</v>
      </c>
      <c r="F1276">
        <v>6</v>
      </c>
      <c r="G1276" s="1" t="s">
        <v>23</v>
      </c>
      <c r="H1276">
        <v>49321.428571428572</v>
      </c>
      <c r="J1276">
        <v>49150</v>
      </c>
      <c r="K1276">
        <v>48500</v>
      </c>
      <c r="L1276">
        <v>42150</v>
      </c>
      <c r="M1276">
        <v>0</v>
      </c>
      <c r="N1276">
        <v>129.4502</v>
      </c>
      <c r="O1276">
        <v>4.2892020000000003E-2</v>
      </c>
      <c r="P1276">
        <v>15613.099609999999</v>
      </c>
      <c r="Q1276">
        <v>26.28</v>
      </c>
      <c r="R1276">
        <v>49.63</v>
      </c>
      <c r="S1276">
        <v>88.78</v>
      </c>
      <c r="T1276">
        <v>21</v>
      </c>
      <c r="U1276" s="1" t="s">
        <v>25</v>
      </c>
      <c r="V1276">
        <v>0</v>
      </c>
    </row>
    <row r="1277" spans="1:22" x14ac:dyDescent="0.3">
      <c r="A1277" s="2">
        <v>45313</v>
      </c>
      <c r="B1277">
        <v>48400</v>
      </c>
      <c r="C1277">
        <v>1482</v>
      </c>
      <c r="D1277">
        <v>1</v>
      </c>
      <c r="E1277" s="1" t="s">
        <v>22</v>
      </c>
      <c r="F1277">
        <v>0</v>
      </c>
      <c r="G1277" s="1" t="s">
        <v>23</v>
      </c>
      <c r="H1277">
        <v>49128.571428571428</v>
      </c>
      <c r="J1277">
        <v>49150</v>
      </c>
      <c r="K1277">
        <v>49750</v>
      </c>
      <c r="L1277">
        <v>42150</v>
      </c>
      <c r="M1277">
        <v>-750</v>
      </c>
      <c r="N1277">
        <v>129.4502</v>
      </c>
      <c r="O1277">
        <v>4.2892020000000003E-2</v>
      </c>
      <c r="P1277">
        <v>15601</v>
      </c>
      <c r="Q1277">
        <v>26</v>
      </c>
      <c r="R1277">
        <v>0.16</v>
      </c>
      <c r="S1277">
        <v>79.81</v>
      </c>
      <c r="T1277">
        <v>22</v>
      </c>
      <c r="U1277" s="1" t="s">
        <v>42</v>
      </c>
      <c r="V1277">
        <v>-1.53</v>
      </c>
    </row>
    <row r="1278" spans="1:22" x14ac:dyDescent="0.3">
      <c r="A1278" s="2">
        <v>45314</v>
      </c>
      <c r="B1278">
        <v>47900</v>
      </c>
      <c r="C1278">
        <v>1483</v>
      </c>
      <c r="D1278">
        <v>1</v>
      </c>
      <c r="E1278" s="1" t="s">
        <v>22</v>
      </c>
      <c r="F1278">
        <v>1</v>
      </c>
      <c r="G1278" s="1" t="s">
        <v>23</v>
      </c>
      <c r="H1278">
        <v>48864.285714285717</v>
      </c>
      <c r="J1278">
        <v>48400</v>
      </c>
      <c r="K1278">
        <v>49750</v>
      </c>
      <c r="L1278">
        <v>42150</v>
      </c>
      <c r="M1278">
        <v>-500</v>
      </c>
      <c r="N1278">
        <v>129.4502</v>
      </c>
      <c r="O1278">
        <v>4.2892020000000003E-2</v>
      </c>
      <c r="P1278">
        <v>15655.5</v>
      </c>
      <c r="Q1278">
        <v>26.84</v>
      </c>
      <c r="R1278">
        <v>2</v>
      </c>
      <c r="S1278">
        <v>81.99</v>
      </c>
      <c r="T1278">
        <v>23</v>
      </c>
      <c r="U1278" s="1" t="s">
        <v>24</v>
      </c>
      <c r="V1278">
        <v>-1.03</v>
      </c>
    </row>
    <row r="1279" spans="1:22" x14ac:dyDescent="0.3">
      <c r="A1279" s="2">
        <v>45315</v>
      </c>
      <c r="B1279">
        <v>47150</v>
      </c>
      <c r="C1279">
        <v>1484</v>
      </c>
      <c r="D1279">
        <v>1</v>
      </c>
      <c r="E1279" s="1" t="s">
        <v>22</v>
      </c>
      <c r="F1279">
        <v>2</v>
      </c>
      <c r="G1279" s="1" t="s">
        <v>23</v>
      </c>
      <c r="H1279">
        <v>48578.571428571428</v>
      </c>
      <c r="J1279">
        <v>47900</v>
      </c>
      <c r="K1279">
        <v>49150</v>
      </c>
      <c r="M1279">
        <v>-750</v>
      </c>
      <c r="N1279">
        <v>129.4502</v>
      </c>
      <c r="O1279">
        <v>4.2892020000000003E-2</v>
      </c>
      <c r="P1279">
        <v>15715</v>
      </c>
      <c r="Q1279">
        <v>27.03</v>
      </c>
      <c r="R1279">
        <v>3.04</v>
      </c>
      <c r="S1279">
        <v>83.14</v>
      </c>
      <c r="T1279">
        <v>24</v>
      </c>
      <c r="U1279" s="1" t="s">
        <v>42</v>
      </c>
      <c r="V1279">
        <v>-1.57</v>
      </c>
    </row>
    <row r="1280" spans="1:22" x14ac:dyDescent="0.3">
      <c r="A1280" s="2">
        <v>45316</v>
      </c>
      <c r="B1280">
        <v>46900</v>
      </c>
      <c r="C1280">
        <v>1485</v>
      </c>
      <c r="D1280">
        <v>1</v>
      </c>
      <c r="E1280" s="1" t="s">
        <v>22</v>
      </c>
      <c r="F1280">
        <v>3</v>
      </c>
      <c r="G1280" s="1" t="s">
        <v>23</v>
      </c>
      <c r="H1280">
        <v>48257.142857142855</v>
      </c>
      <c r="I1280">
        <v>47628.333333333336</v>
      </c>
      <c r="J1280">
        <v>47150</v>
      </c>
      <c r="K1280">
        <v>49150</v>
      </c>
      <c r="M1280">
        <v>-250</v>
      </c>
      <c r="N1280">
        <v>129.4502</v>
      </c>
      <c r="O1280">
        <v>4.2892020000000003E-2</v>
      </c>
      <c r="P1280">
        <v>15714.5</v>
      </c>
      <c r="Q1280">
        <v>26.97</v>
      </c>
      <c r="R1280">
        <v>0.21</v>
      </c>
      <c r="S1280">
        <v>81.790000000000006</v>
      </c>
      <c r="T1280">
        <v>25</v>
      </c>
      <c r="U1280" s="1" t="s">
        <v>35</v>
      </c>
      <c r="V1280">
        <v>-0.53</v>
      </c>
    </row>
    <row r="1281" spans="1:22" x14ac:dyDescent="0.3">
      <c r="A1281" s="2">
        <v>45317</v>
      </c>
      <c r="B1281">
        <v>46900</v>
      </c>
      <c r="C1281">
        <v>1486</v>
      </c>
      <c r="D1281">
        <v>1</v>
      </c>
      <c r="E1281" s="1" t="s">
        <v>22</v>
      </c>
      <c r="F1281">
        <v>4</v>
      </c>
      <c r="G1281" s="1" t="s">
        <v>23</v>
      </c>
      <c r="H1281">
        <v>47935.714285714283</v>
      </c>
      <c r="I1281">
        <v>47661.666666666664</v>
      </c>
      <c r="J1281">
        <v>46900</v>
      </c>
      <c r="K1281">
        <v>49150</v>
      </c>
      <c r="L1281">
        <v>45900</v>
      </c>
      <c r="M1281">
        <v>0</v>
      </c>
      <c r="N1281">
        <v>129.4502</v>
      </c>
      <c r="O1281">
        <v>4.2892020000000003E-2</v>
      </c>
      <c r="P1281">
        <v>15808</v>
      </c>
      <c r="Q1281">
        <v>26.84</v>
      </c>
      <c r="R1281">
        <v>2.2400000000000002</v>
      </c>
      <c r="S1281">
        <v>79.510000000000005</v>
      </c>
      <c r="T1281">
        <v>26</v>
      </c>
      <c r="U1281" s="1" t="s">
        <v>25</v>
      </c>
      <c r="V1281">
        <v>0</v>
      </c>
    </row>
    <row r="1282" spans="1:22" x14ac:dyDescent="0.3">
      <c r="A1282" s="2">
        <v>45318</v>
      </c>
      <c r="B1282">
        <v>46900</v>
      </c>
      <c r="C1282">
        <v>1487</v>
      </c>
      <c r="D1282">
        <v>1</v>
      </c>
      <c r="E1282" s="1" t="s">
        <v>22</v>
      </c>
      <c r="F1282">
        <v>5</v>
      </c>
      <c r="G1282" s="1" t="s">
        <v>23</v>
      </c>
      <c r="H1282">
        <v>47614.285714285717</v>
      </c>
      <c r="I1282">
        <v>47695</v>
      </c>
      <c r="J1282">
        <v>46900</v>
      </c>
      <c r="K1282">
        <v>49150</v>
      </c>
      <c r="L1282">
        <v>45900</v>
      </c>
      <c r="M1282">
        <v>0</v>
      </c>
      <c r="N1282">
        <v>129.4502</v>
      </c>
      <c r="O1282">
        <v>4.2892020000000003E-2</v>
      </c>
      <c r="P1282">
        <v>15808</v>
      </c>
      <c r="Q1282">
        <v>26.96</v>
      </c>
      <c r="R1282">
        <v>5.48</v>
      </c>
      <c r="S1282">
        <v>83.85</v>
      </c>
      <c r="T1282">
        <v>27</v>
      </c>
      <c r="U1282" s="1" t="s">
        <v>25</v>
      </c>
      <c r="V1282">
        <v>0</v>
      </c>
    </row>
    <row r="1283" spans="1:22" x14ac:dyDescent="0.3">
      <c r="A1283" s="2">
        <v>45319</v>
      </c>
      <c r="B1283">
        <v>46900</v>
      </c>
      <c r="C1283">
        <v>1488</v>
      </c>
      <c r="D1283">
        <v>1</v>
      </c>
      <c r="E1283" s="1" t="s">
        <v>22</v>
      </c>
      <c r="F1283">
        <v>6</v>
      </c>
      <c r="G1283" s="1" t="s">
        <v>23</v>
      </c>
      <c r="H1283">
        <v>47292.857142857145</v>
      </c>
      <c r="I1283">
        <v>47720</v>
      </c>
      <c r="J1283">
        <v>46900</v>
      </c>
      <c r="K1283">
        <v>49150</v>
      </c>
      <c r="L1283">
        <v>46150</v>
      </c>
      <c r="M1283">
        <v>0</v>
      </c>
      <c r="N1283">
        <v>129.4502</v>
      </c>
      <c r="O1283">
        <v>4.2892020000000003E-2</v>
      </c>
      <c r="P1283">
        <v>15808</v>
      </c>
      <c r="Q1283">
        <v>26.72</v>
      </c>
      <c r="R1283">
        <v>17.46</v>
      </c>
      <c r="S1283">
        <v>84.88</v>
      </c>
      <c r="T1283">
        <v>28</v>
      </c>
      <c r="U1283" s="1" t="s">
        <v>25</v>
      </c>
      <c r="V1283">
        <v>0</v>
      </c>
    </row>
    <row r="1284" spans="1:22" x14ac:dyDescent="0.3">
      <c r="A1284" s="2">
        <v>45320</v>
      </c>
      <c r="B1284">
        <v>47150</v>
      </c>
      <c r="C1284">
        <v>1489</v>
      </c>
      <c r="D1284">
        <v>1</v>
      </c>
      <c r="E1284" s="1" t="s">
        <v>22</v>
      </c>
      <c r="F1284">
        <v>0</v>
      </c>
      <c r="G1284" s="1" t="s">
        <v>23</v>
      </c>
      <c r="H1284">
        <v>47114.285714285717</v>
      </c>
      <c r="I1284">
        <v>47753.333333333336</v>
      </c>
      <c r="J1284">
        <v>46900</v>
      </c>
      <c r="K1284">
        <v>48400</v>
      </c>
      <c r="L1284">
        <v>46150</v>
      </c>
      <c r="M1284">
        <v>250</v>
      </c>
      <c r="N1284">
        <v>129.4502</v>
      </c>
      <c r="O1284">
        <v>4.2892020000000003E-2</v>
      </c>
      <c r="P1284">
        <v>15767.599609999999</v>
      </c>
      <c r="Q1284">
        <v>26.27</v>
      </c>
      <c r="R1284">
        <v>13.27</v>
      </c>
      <c r="S1284">
        <v>87.61</v>
      </c>
      <c r="T1284">
        <v>29</v>
      </c>
      <c r="U1284" s="1" t="s">
        <v>34</v>
      </c>
      <c r="V1284">
        <v>0.53</v>
      </c>
    </row>
    <row r="1285" spans="1:22" x14ac:dyDescent="0.3">
      <c r="A1285" s="2">
        <v>45321</v>
      </c>
      <c r="B1285">
        <v>46400</v>
      </c>
      <c r="C1285">
        <v>1490</v>
      </c>
      <c r="D1285">
        <v>1</v>
      </c>
      <c r="E1285" s="1" t="s">
        <v>22</v>
      </c>
      <c r="F1285">
        <v>1</v>
      </c>
      <c r="G1285" s="1" t="s">
        <v>23</v>
      </c>
      <c r="H1285">
        <v>46900</v>
      </c>
      <c r="I1285">
        <v>47761.666666666664</v>
      </c>
      <c r="J1285">
        <v>47150</v>
      </c>
      <c r="K1285">
        <v>47900</v>
      </c>
      <c r="L1285">
        <v>46150</v>
      </c>
      <c r="M1285">
        <v>-750</v>
      </c>
      <c r="N1285">
        <v>129.4502</v>
      </c>
      <c r="O1285">
        <v>4.2892020000000003E-2</v>
      </c>
      <c r="P1285">
        <v>15828</v>
      </c>
      <c r="Q1285">
        <v>26.69</v>
      </c>
      <c r="R1285">
        <v>4.7300000000000004</v>
      </c>
      <c r="S1285">
        <v>87.86</v>
      </c>
      <c r="T1285">
        <v>30</v>
      </c>
      <c r="U1285" s="1" t="s">
        <v>42</v>
      </c>
      <c r="V1285">
        <v>-1.59</v>
      </c>
    </row>
    <row r="1286" spans="1:22" x14ac:dyDescent="0.3">
      <c r="A1286" s="2">
        <v>45322</v>
      </c>
      <c r="B1286">
        <v>46400</v>
      </c>
      <c r="C1286">
        <v>1491</v>
      </c>
      <c r="D1286">
        <v>1</v>
      </c>
      <c r="E1286" s="1" t="s">
        <v>22</v>
      </c>
      <c r="F1286">
        <v>2</v>
      </c>
      <c r="G1286" s="1" t="s">
        <v>23</v>
      </c>
      <c r="H1286">
        <v>46792.857142857145</v>
      </c>
      <c r="I1286">
        <v>47770</v>
      </c>
      <c r="J1286">
        <v>46400</v>
      </c>
      <c r="K1286">
        <v>47150</v>
      </c>
      <c r="L1286">
        <v>46150</v>
      </c>
      <c r="M1286">
        <v>0</v>
      </c>
      <c r="N1286">
        <v>129.4502</v>
      </c>
      <c r="O1286">
        <v>4.2892020000000003E-2</v>
      </c>
      <c r="P1286">
        <v>15785</v>
      </c>
      <c r="Q1286">
        <v>26.75</v>
      </c>
      <c r="R1286">
        <v>9.32</v>
      </c>
      <c r="S1286">
        <v>88.01</v>
      </c>
      <c r="T1286">
        <v>31</v>
      </c>
      <c r="U1286" s="1" t="s">
        <v>25</v>
      </c>
      <c r="V1286">
        <v>0</v>
      </c>
    </row>
    <row r="1287" spans="1:22" x14ac:dyDescent="0.3">
      <c r="A1287" s="2">
        <v>45323</v>
      </c>
      <c r="B1287">
        <v>46500</v>
      </c>
      <c r="C1287">
        <v>1492</v>
      </c>
      <c r="D1287">
        <v>2</v>
      </c>
      <c r="E1287" s="1" t="s">
        <v>22</v>
      </c>
      <c r="F1287">
        <v>3</v>
      </c>
      <c r="G1287" s="1" t="s">
        <v>23</v>
      </c>
      <c r="H1287">
        <v>46735.714285714283</v>
      </c>
      <c r="I1287">
        <v>47765</v>
      </c>
      <c r="J1287">
        <v>46400</v>
      </c>
      <c r="K1287">
        <v>46900</v>
      </c>
      <c r="L1287">
        <v>46650</v>
      </c>
      <c r="M1287">
        <v>100</v>
      </c>
      <c r="N1287">
        <v>129.93020000000001</v>
      </c>
      <c r="O1287">
        <v>0.37079896400000001</v>
      </c>
      <c r="P1287">
        <v>15769</v>
      </c>
      <c r="Q1287">
        <v>26.42</v>
      </c>
      <c r="R1287">
        <v>19.55</v>
      </c>
      <c r="S1287">
        <v>87.78</v>
      </c>
      <c r="T1287">
        <v>1</v>
      </c>
      <c r="U1287" s="1" t="s">
        <v>65</v>
      </c>
      <c r="V1287">
        <v>0.22</v>
      </c>
    </row>
    <row r="1288" spans="1:22" x14ac:dyDescent="0.3">
      <c r="A1288" s="2">
        <v>45324</v>
      </c>
      <c r="B1288">
        <v>46500</v>
      </c>
      <c r="C1288">
        <v>1493</v>
      </c>
      <c r="D1288">
        <v>2</v>
      </c>
      <c r="E1288" s="1" t="s">
        <v>22</v>
      </c>
      <c r="F1288">
        <v>4</v>
      </c>
      <c r="G1288" s="1" t="s">
        <v>23</v>
      </c>
      <c r="H1288">
        <v>46678.571428571428</v>
      </c>
      <c r="I1288">
        <v>47768.333333333336</v>
      </c>
      <c r="J1288">
        <v>46500</v>
      </c>
      <c r="K1288">
        <v>46900</v>
      </c>
      <c r="L1288">
        <v>46400</v>
      </c>
      <c r="M1288">
        <v>0</v>
      </c>
      <c r="N1288">
        <v>129.93020000000001</v>
      </c>
      <c r="O1288">
        <v>0.37079896400000001</v>
      </c>
      <c r="P1288">
        <v>15726</v>
      </c>
      <c r="Q1288">
        <v>26.58</v>
      </c>
      <c r="R1288">
        <v>3.13</v>
      </c>
      <c r="S1288">
        <v>85.32</v>
      </c>
      <c r="T1288">
        <v>2</v>
      </c>
      <c r="U1288" s="1" t="s">
        <v>25</v>
      </c>
      <c r="V1288">
        <v>0</v>
      </c>
    </row>
    <row r="1289" spans="1:22" x14ac:dyDescent="0.3">
      <c r="A1289" s="2">
        <v>45325</v>
      </c>
      <c r="B1289">
        <v>46500</v>
      </c>
      <c r="C1289">
        <v>1494</v>
      </c>
      <c r="D1289">
        <v>2</v>
      </c>
      <c r="E1289" s="1" t="s">
        <v>22</v>
      </c>
      <c r="F1289">
        <v>5</v>
      </c>
      <c r="G1289" s="1" t="s">
        <v>23</v>
      </c>
      <c r="H1289">
        <v>46621.428571428572</v>
      </c>
      <c r="I1289">
        <v>47755</v>
      </c>
      <c r="J1289">
        <v>46500</v>
      </c>
      <c r="K1289">
        <v>46900</v>
      </c>
      <c r="L1289">
        <v>46900</v>
      </c>
      <c r="M1289">
        <v>0</v>
      </c>
      <c r="N1289">
        <v>129.93020000000001</v>
      </c>
      <c r="O1289">
        <v>0.37079896400000001</v>
      </c>
      <c r="P1289">
        <v>15726</v>
      </c>
      <c r="Q1289">
        <v>26.89</v>
      </c>
      <c r="R1289">
        <v>2.61</v>
      </c>
      <c r="S1289">
        <v>86.49</v>
      </c>
      <c r="T1289">
        <v>3</v>
      </c>
      <c r="U1289" s="1" t="s">
        <v>25</v>
      </c>
      <c r="V1289">
        <v>0</v>
      </c>
    </row>
    <row r="1290" spans="1:22" x14ac:dyDescent="0.3">
      <c r="A1290" s="2">
        <v>45326</v>
      </c>
      <c r="B1290">
        <v>46500</v>
      </c>
      <c r="C1290">
        <v>1495</v>
      </c>
      <c r="D1290">
        <v>2</v>
      </c>
      <c r="E1290" s="1" t="s">
        <v>22</v>
      </c>
      <c r="F1290">
        <v>6</v>
      </c>
      <c r="G1290" s="1" t="s">
        <v>23</v>
      </c>
      <c r="H1290">
        <v>46564.285714285717</v>
      </c>
      <c r="I1290">
        <v>47750</v>
      </c>
      <c r="J1290">
        <v>46500</v>
      </c>
      <c r="K1290">
        <v>46900</v>
      </c>
      <c r="L1290">
        <v>46650</v>
      </c>
      <c r="M1290">
        <v>0</v>
      </c>
      <c r="N1290">
        <v>129.93020000000001</v>
      </c>
      <c r="O1290">
        <v>0.37079896400000001</v>
      </c>
      <c r="P1290">
        <v>15726</v>
      </c>
      <c r="Q1290">
        <v>26.93</v>
      </c>
      <c r="R1290">
        <v>7.0000000000000007E-2</v>
      </c>
      <c r="S1290">
        <v>81.58</v>
      </c>
      <c r="T1290">
        <v>4</v>
      </c>
      <c r="U1290" s="1" t="s">
        <v>25</v>
      </c>
      <c r="V1290">
        <v>0</v>
      </c>
    </row>
    <row r="1291" spans="1:22" x14ac:dyDescent="0.3">
      <c r="A1291" s="2">
        <v>45327</v>
      </c>
      <c r="B1291">
        <v>46000</v>
      </c>
      <c r="C1291">
        <v>1496</v>
      </c>
      <c r="D1291">
        <v>2</v>
      </c>
      <c r="E1291" s="1" t="s">
        <v>22</v>
      </c>
      <c r="F1291">
        <v>0</v>
      </c>
      <c r="G1291" s="1" t="s">
        <v>23</v>
      </c>
      <c r="H1291">
        <v>46400</v>
      </c>
      <c r="I1291">
        <v>47728.333333333336</v>
      </c>
      <c r="J1291">
        <v>46500</v>
      </c>
      <c r="K1291">
        <v>47150</v>
      </c>
      <c r="L1291">
        <v>46650</v>
      </c>
      <c r="M1291">
        <v>-500</v>
      </c>
      <c r="N1291">
        <v>129.93020000000001</v>
      </c>
      <c r="O1291">
        <v>0.37079896400000001</v>
      </c>
      <c r="P1291">
        <v>15727.200199999999</v>
      </c>
      <c r="Q1291">
        <v>26.59</v>
      </c>
      <c r="R1291">
        <v>0.93</v>
      </c>
      <c r="S1291">
        <v>84.91</v>
      </c>
      <c r="T1291">
        <v>5</v>
      </c>
      <c r="U1291" s="1" t="s">
        <v>24</v>
      </c>
      <c r="V1291">
        <v>-1.08</v>
      </c>
    </row>
    <row r="1292" spans="1:22" x14ac:dyDescent="0.3">
      <c r="A1292" s="2">
        <v>45328</v>
      </c>
      <c r="B1292">
        <v>45900</v>
      </c>
      <c r="C1292">
        <v>1497</v>
      </c>
      <c r="D1292">
        <v>2</v>
      </c>
      <c r="E1292" s="1" t="s">
        <v>22</v>
      </c>
      <c r="F1292">
        <v>1</v>
      </c>
      <c r="G1292" s="1" t="s">
        <v>23</v>
      </c>
      <c r="H1292">
        <v>46328.571428571428</v>
      </c>
      <c r="I1292">
        <v>47703.333333333336</v>
      </c>
      <c r="J1292">
        <v>46000</v>
      </c>
      <c r="K1292">
        <v>46400</v>
      </c>
      <c r="L1292">
        <v>46650</v>
      </c>
      <c r="M1292">
        <v>-100</v>
      </c>
      <c r="N1292">
        <v>129.93020000000001</v>
      </c>
      <c r="O1292">
        <v>0.37079896400000001</v>
      </c>
      <c r="P1292">
        <v>15711.5</v>
      </c>
      <c r="Q1292">
        <v>26.41</v>
      </c>
      <c r="R1292">
        <v>4.5999999999999996</v>
      </c>
      <c r="S1292">
        <v>85.41</v>
      </c>
      <c r="T1292">
        <v>6</v>
      </c>
      <c r="U1292" s="1" t="s">
        <v>74</v>
      </c>
      <c r="V1292">
        <v>-0.22</v>
      </c>
    </row>
    <row r="1293" spans="1:22" x14ac:dyDescent="0.3">
      <c r="A1293" s="2">
        <v>45329</v>
      </c>
      <c r="B1293">
        <v>45400</v>
      </c>
      <c r="C1293">
        <v>1498</v>
      </c>
      <c r="D1293">
        <v>2</v>
      </c>
      <c r="E1293" s="1" t="s">
        <v>22</v>
      </c>
      <c r="F1293">
        <v>2</v>
      </c>
      <c r="G1293" s="1" t="s">
        <v>23</v>
      </c>
      <c r="H1293">
        <v>46185.714285714283</v>
      </c>
      <c r="I1293">
        <v>47641.666666666664</v>
      </c>
      <c r="J1293">
        <v>45900</v>
      </c>
      <c r="K1293">
        <v>46400</v>
      </c>
      <c r="L1293">
        <v>47250</v>
      </c>
      <c r="M1293">
        <v>-500</v>
      </c>
      <c r="N1293">
        <v>129.93020000000001</v>
      </c>
      <c r="O1293">
        <v>0.37079896400000001</v>
      </c>
      <c r="P1293">
        <v>15733</v>
      </c>
      <c r="Q1293">
        <v>26.85</v>
      </c>
      <c r="R1293">
        <v>1.19</v>
      </c>
      <c r="S1293">
        <v>82.64</v>
      </c>
      <c r="T1293">
        <v>7</v>
      </c>
      <c r="U1293" s="1" t="s">
        <v>24</v>
      </c>
      <c r="V1293">
        <v>-1.0900000000000001</v>
      </c>
    </row>
    <row r="1294" spans="1:22" x14ac:dyDescent="0.3">
      <c r="A1294" s="2">
        <v>45330</v>
      </c>
      <c r="B1294">
        <v>45400</v>
      </c>
      <c r="C1294">
        <v>1499</v>
      </c>
      <c r="D1294">
        <v>2</v>
      </c>
      <c r="E1294" s="1" t="s">
        <v>22</v>
      </c>
      <c r="F1294">
        <v>3</v>
      </c>
      <c r="G1294" s="1" t="s">
        <v>23</v>
      </c>
      <c r="H1294">
        <v>46028.571428571428</v>
      </c>
      <c r="I1294">
        <v>47550</v>
      </c>
      <c r="J1294">
        <v>45400</v>
      </c>
      <c r="K1294">
        <v>46500</v>
      </c>
      <c r="L1294">
        <v>48150</v>
      </c>
      <c r="M1294">
        <v>0</v>
      </c>
      <c r="N1294">
        <v>129.93020000000001</v>
      </c>
      <c r="O1294">
        <v>0.37079896400000001</v>
      </c>
      <c r="P1294">
        <v>15647</v>
      </c>
      <c r="Q1294">
        <v>26.92</v>
      </c>
      <c r="R1294">
        <v>3.32</v>
      </c>
      <c r="S1294">
        <v>83.98</v>
      </c>
      <c r="T1294">
        <v>8</v>
      </c>
      <c r="U1294" s="1" t="s">
        <v>25</v>
      </c>
      <c r="V1294">
        <v>0</v>
      </c>
    </row>
    <row r="1295" spans="1:22" x14ac:dyDescent="0.3">
      <c r="A1295" s="2">
        <v>45331</v>
      </c>
      <c r="B1295">
        <v>45400</v>
      </c>
      <c r="C1295">
        <v>1500</v>
      </c>
      <c r="D1295">
        <v>2</v>
      </c>
      <c r="E1295" s="1" t="s">
        <v>22</v>
      </c>
      <c r="F1295">
        <v>4</v>
      </c>
      <c r="G1295" s="1" t="s">
        <v>23</v>
      </c>
      <c r="H1295">
        <v>45871.428571428572</v>
      </c>
      <c r="I1295">
        <v>47458.333333333336</v>
      </c>
      <c r="J1295">
        <v>45400</v>
      </c>
      <c r="K1295">
        <v>46500</v>
      </c>
      <c r="L1295">
        <v>48150</v>
      </c>
      <c r="M1295">
        <v>0</v>
      </c>
      <c r="N1295">
        <v>129.93020000000001</v>
      </c>
      <c r="O1295">
        <v>0.37079896400000001</v>
      </c>
      <c r="P1295">
        <v>15660.299800000001</v>
      </c>
      <c r="Q1295">
        <v>26.86</v>
      </c>
      <c r="R1295">
        <v>6.59</v>
      </c>
      <c r="S1295">
        <v>86.67</v>
      </c>
      <c r="T1295">
        <v>9</v>
      </c>
      <c r="U1295" s="1" t="s">
        <v>25</v>
      </c>
      <c r="V1295">
        <v>0</v>
      </c>
    </row>
    <row r="1296" spans="1:22" x14ac:dyDescent="0.3">
      <c r="A1296" s="2">
        <v>45332</v>
      </c>
      <c r="B1296">
        <v>45400</v>
      </c>
      <c r="C1296">
        <v>1501</v>
      </c>
      <c r="D1296">
        <v>2</v>
      </c>
      <c r="E1296" s="1" t="s">
        <v>22</v>
      </c>
      <c r="F1296">
        <v>5</v>
      </c>
      <c r="G1296" s="1" t="s">
        <v>44</v>
      </c>
      <c r="H1296">
        <v>45714.285714285717</v>
      </c>
      <c r="I1296">
        <v>47375</v>
      </c>
      <c r="J1296">
        <v>45400</v>
      </c>
      <c r="K1296">
        <v>46500</v>
      </c>
      <c r="L1296">
        <v>47900</v>
      </c>
      <c r="M1296">
        <v>0</v>
      </c>
      <c r="N1296">
        <v>129.93020000000001</v>
      </c>
      <c r="O1296">
        <v>0.37079896400000001</v>
      </c>
      <c r="P1296">
        <v>15660.299800000001</v>
      </c>
      <c r="Q1296">
        <v>27</v>
      </c>
      <c r="R1296">
        <v>1.78</v>
      </c>
      <c r="S1296">
        <v>84.77</v>
      </c>
      <c r="T1296">
        <v>10</v>
      </c>
      <c r="U1296" s="1" t="s">
        <v>25</v>
      </c>
      <c r="V1296">
        <v>0</v>
      </c>
    </row>
    <row r="1297" spans="1:22" x14ac:dyDescent="0.3">
      <c r="A1297" s="2">
        <v>45333</v>
      </c>
      <c r="B1297">
        <v>45400</v>
      </c>
      <c r="C1297">
        <v>1502</v>
      </c>
      <c r="D1297">
        <v>2</v>
      </c>
      <c r="E1297" s="1" t="s">
        <v>22</v>
      </c>
      <c r="F1297">
        <v>6</v>
      </c>
      <c r="G1297" s="1" t="s">
        <v>23</v>
      </c>
      <c r="H1297">
        <v>45557.142857142855</v>
      </c>
      <c r="I1297">
        <v>47271.666666666664</v>
      </c>
      <c r="J1297">
        <v>45400</v>
      </c>
      <c r="K1297">
        <v>46500</v>
      </c>
      <c r="L1297">
        <v>48500</v>
      </c>
      <c r="M1297">
        <v>0</v>
      </c>
      <c r="N1297">
        <v>129.93020000000001</v>
      </c>
      <c r="O1297">
        <v>0.37079896400000001</v>
      </c>
      <c r="P1297">
        <v>15660.299800000001</v>
      </c>
      <c r="Q1297">
        <v>26.92</v>
      </c>
      <c r="R1297">
        <v>13.66</v>
      </c>
      <c r="S1297">
        <v>87.83</v>
      </c>
      <c r="T1297">
        <v>11</v>
      </c>
      <c r="U1297" s="1" t="s">
        <v>25</v>
      </c>
      <c r="V1297">
        <v>0</v>
      </c>
    </row>
    <row r="1298" spans="1:22" x14ac:dyDescent="0.3">
      <c r="A1298" s="2">
        <v>45334</v>
      </c>
      <c r="B1298">
        <v>41750</v>
      </c>
      <c r="C1298">
        <v>1503</v>
      </c>
      <c r="D1298">
        <v>2</v>
      </c>
      <c r="E1298" s="1" t="s">
        <v>22</v>
      </c>
      <c r="F1298">
        <v>0</v>
      </c>
      <c r="G1298" s="1" t="s">
        <v>23</v>
      </c>
      <c r="H1298">
        <v>44950</v>
      </c>
      <c r="I1298">
        <v>47046.666666666664</v>
      </c>
      <c r="J1298">
        <v>45400</v>
      </c>
      <c r="K1298">
        <v>46000</v>
      </c>
      <c r="L1298">
        <v>48500</v>
      </c>
      <c r="M1298">
        <v>-3650</v>
      </c>
      <c r="N1298">
        <v>129.93020000000001</v>
      </c>
      <c r="O1298">
        <v>0.37079896400000001</v>
      </c>
      <c r="P1298">
        <v>15598</v>
      </c>
      <c r="Q1298">
        <v>26.74</v>
      </c>
      <c r="R1298">
        <v>9.39</v>
      </c>
      <c r="S1298">
        <v>86.85</v>
      </c>
      <c r="T1298">
        <v>12</v>
      </c>
      <c r="U1298" s="1" t="s">
        <v>106</v>
      </c>
      <c r="V1298">
        <v>-8.0399999999999991</v>
      </c>
    </row>
    <row r="1299" spans="1:22" x14ac:dyDescent="0.3">
      <c r="A1299" s="2">
        <v>45335</v>
      </c>
      <c r="B1299">
        <v>42900</v>
      </c>
      <c r="C1299">
        <v>1504</v>
      </c>
      <c r="D1299">
        <v>2</v>
      </c>
      <c r="E1299" s="1" t="s">
        <v>22</v>
      </c>
      <c r="F1299">
        <v>1</v>
      </c>
      <c r="G1299" s="1" t="s">
        <v>23</v>
      </c>
      <c r="H1299">
        <v>44521.428571428572</v>
      </c>
      <c r="I1299">
        <v>46860</v>
      </c>
      <c r="J1299">
        <v>41750</v>
      </c>
      <c r="K1299">
        <v>45900</v>
      </c>
      <c r="L1299">
        <v>48500</v>
      </c>
      <c r="M1299">
        <v>1150</v>
      </c>
      <c r="N1299">
        <v>129.93020000000001</v>
      </c>
      <c r="O1299">
        <v>0.37079896400000001</v>
      </c>
      <c r="P1299">
        <v>15579.5</v>
      </c>
      <c r="Q1299">
        <v>26.92</v>
      </c>
      <c r="R1299">
        <v>9.51</v>
      </c>
      <c r="S1299">
        <v>85.53</v>
      </c>
      <c r="T1299">
        <v>13</v>
      </c>
      <c r="U1299" s="1" t="s">
        <v>75</v>
      </c>
      <c r="V1299">
        <v>2.75</v>
      </c>
    </row>
    <row r="1300" spans="1:22" x14ac:dyDescent="0.3">
      <c r="A1300" s="2">
        <v>45336</v>
      </c>
      <c r="B1300">
        <v>42900</v>
      </c>
      <c r="C1300">
        <v>1505</v>
      </c>
      <c r="D1300">
        <v>2</v>
      </c>
      <c r="E1300" s="1" t="s">
        <v>22</v>
      </c>
      <c r="F1300">
        <v>2</v>
      </c>
      <c r="G1300" s="1" t="s">
        <v>23</v>
      </c>
      <c r="H1300">
        <v>44164.285714285717</v>
      </c>
      <c r="I1300">
        <v>46631.666666666664</v>
      </c>
      <c r="J1300">
        <v>42900</v>
      </c>
      <c r="K1300">
        <v>45400</v>
      </c>
      <c r="L1300">
        <v>49750</v>
      </c>
      <c r="M1300">
        <v>0</v>
      </c>
      <c r="N1300">
        <v>129.93020000000001</v>
      </c>
      <c r="O1300">
        <v>0.37079896400000001</v>
      </c>
      <c r="P1300">
        <v>15661.5</v>
      </c>
      <c r="Q1300">
        <v>27.07</v>
      </c>
      <c r="R1300">
        <v>3.67</v>
      </c>
      <c r="S1300">
        <v>86.62</v>
      </c>
      <c r="T1300">
        <v>14</v>
      </c>
      <c r="U1300" s="1" t="s">
        <v>25</v>
      </c>
      <c r="V1300">
        <v>0</v>
      </c>
    </row>
    <row r="1301" spans="1:22" x14ac:dyDescent="0.3">
      <c r="A1301" s="2">
        <v>45337</v>
      </c>
      <c r="B1301">
        <v>42400</v>
      </c>
      <c r="C1301">
        <v>1506</v>
      </c>
      <c r="D1301">
        <v>2</v>
      </c>
      <c r="E1301" s="1" t="s">
        <v>22</v>
      </c>
      <c r="F1301">
        <v>3</v>
      </c>
      <c r="G1301" s="1" t="s">
        <v>23</v>
      </c>
      <c r="H1301">
        <v>43735.714285714283</v>
      </c>
      <c r="I1301">
        <v>46386.666666666664</v>
      </c>
      <c r="J1301">
        <v>42900</v>
      </c>
      <c r="K1301">
        <v>45400</v>
      </c>
      <c r="L1301">
        <v>49750</v>
      </c>
      <c r="M1301">
        <v>-500</v>
      </c>
      <c r="N1301">
        <v>129.93020000000001</v>
      </c>
      <c r="O1301">
        <v>0.37079896400000001</v>
      </c>
      <c r="P1301">
        <v>15553.099609999999</v>
      </c>
      <c r="Q1301">
        <v>26.62</v>
      </c>
      <c r="R1301">
        <v>0.55000000000000004</v>
      </c>
      <c r="S1301">
        <v>78.8</v>
      </c>
      <c r="T1301">
        <v>15</v>
      </c>
      <c r="U1301" s="1" t="s">
        <v>24</v>
      </c>
      <c r="V1301">
        <v>-1.17</v>
      </c>
    </row>
    <row r="1302" spans="1:22" x14ac:dyDescent="0.3">
      <c r="A1302" s="2">
        <v>45338</v>
      </c>
      <c r="B1302">
        <v>42400</v>
      </c>
      <c r="C1302">
        <v>1507</v>
      </c>
      <c r="D1302">
        <v>2</v>
      </c>
      <c r="E1302" s="1" t="s">
        <v>22</v>
      </c>
      <c r="F1302">
        <v>4</v>
      </c>
      <c r="G1302" s="1" t="s">
        <v>23</v>
      </c>
      <c r="H1302">
        <v>43307.142857142855</v>
      </c>
      <c r="I1302">
        <v>46161.666666666664</v>
      </c>
      <c r="J1302">
        <v>42400</v>
      </c>
      <c r="K1302">
        <v>45400</v>
      </c>
      <c r="L1302">
        <v>49150</v>
      </c>
      <c r="M1302">
        <v>0</v>
      </c>
      <c r="N1302">
        <v>129.93020000000001</v>
      </c>
      <c r="O1302">
        <v>0.37079896400000001</v>
      </c>
      <c r="P1302">
        <v>15672</v>
      </c>
      <c r="Q1302">
        <v>26.1</v>
      </c>
      <c r="R1302">
        <v>0.01</v>
      </c>
      <c r="S1302">
        <v>77.23</v>
      </c>
      <c r="T1302">
        <v>16</v>
      </c>
      <c r="U1302" s="1" t="s">
        <v>25</v>
      </c>
      <c r="V1302">
        <v>0</v>
      </c>
    </row>
    <row r="1303" spans="1:22" x14ac:dyDescent="0.3">
      <c r="A1303" s="2">
        <v>45339</v>
      </c>
      <c r="B1303">
        <v>42400</v>
      </c>
      <c r="C1303">
        <v>1508</v>
      </c>
      <c r="D1303">
        <v>2</v>
      </c>
      <c r="E1303" s="1" t="s">
        <v>22</v>
      </c>
      <c r="F1303">
        <v>5</v>
      </c>
      <c r="G1303" s="1" t="s">
        <v>23</v>
      </c>
      <c r="H1303">
        <v>42878.571428571428</v>
      </c>
      <c r="I1303">
        <v>45936.666666666664</v>
      </c>
      <c r="J1303">
        <v>42400</v>
      </c>
      <c r="K1303">
        <v>45400</v>
      </c>
      <c r="L1303">
        <v>49150</v>
      </c>
      <c r="M1303">
        <v>0</v>
      </c>
      <c r="N1303">
        <v>129.93020000000001</v>
      </c>
      <c r="O1303">
        <v>0.37079896400000001</v>
      </c>
      <c r="P1303">
        <v>15672</v>
      </c>
      <c r="Q1303">
        <v>26.28</v>
      </c>
      <c r="R1303">
        <v>0.02</v>
      </c>
      <c r="S1303">
        <v>80.319999999999993</v>
      </c>
      <c r="T1303">
        <v>17</v>
      </c>
      <c r="U1303" s="1" t="s">
        <v>25</v>
      </c>
      <c r="V1303">
        <v>0</v>
      </c>
    </row>
    <row r="1304" spans="1:22" x14ac:dyDescent="0.3">
      <c r="A1304" s="2">
        <v>45340</v>
      </c>
      <c r="B1304">
        <v>42400</v>
      </c>
      <c r="C1304">
        <v>1509</v>
      </c>
      <c r="D1304">
        <v>2</v>
      </c>
      <c r="E1304" s="1" t="s">
        <v>22</v>
      </c>
      <c r="F1304">
        <v>6</v>
      </c>
      <c r="G1304" s="1" t="s">
        <v>23</v>
      </c>
      <c r="H1304">
        <v>42450</v>
      </c>
      <c r="I1304">
        <v>45711.666666666664</v>
      </c>
      <c r="J1304">
        <v>42400</v>
      </c>
      <c r="K1304">
        <v>45400</v>
      </c>
      <c r="L1304">
        <v>49150</v>
      </c>
      <c r="M1304">
        <v>0</v>
      </c>
      <c r="N1304">
        <v>129.93020000000001</v>
      </c>
      <c r="O1304">
        <v>0.37079896400000001</v>
      </c>
      <c r="P1304">
        <v>15672</v>
      </c>
      <c r="Q1304">
        <v>26.47</v>
      </c>
      <c r="R1304">
        <v>0.03</v>
      </c>
      <c r="S1304">
        <v>81.58</v>
      </c>
      <c r="T1304">
        <v>18</v>
      </c>
      <c r="U1304" s="1" t="s">
        <v>25</v>
      </c>
      <c r="V1304">
        <v>0</v>
      </c>
    </row>
    <row r="1305" spans="1:22" x14ac:dyDescent="0.3">
      <c r="A1305" s="2">
        <v>45341</v>
      </c>
      <c r="B1305">
        <v>42250</v>
      </c>
      <c r="C1305">
        <v>1510</v>
      </c>
      <c r="D1305">
        <v>2</v>
      </c>
      <c r="E1305" s="1" t="s">
        <v>22</v>
      </c>
      <c r="F1305">
        <v>0</v>
      </c>
      <c r="G1305" s="1" t="s">
        <v>23</v>
      </c>
      <c r="H1305">
        <v>42521.428571428572</v>
      </c>
      <c r="I1305">
        <v>45481.666666666664</v>
      </c>
      <c r="J1305">
        <v>42400</v>
      </c>
      <c r="K1305">
        <v>41750</v>
      </c>
      <c r="L1305">
        <v>49150</v>
      </c>
      <c r="M1305">
        <v>-150</v>
      </c>
      <c r="N1305">
        <v>129.93020000000001</v>
      </c>
      <c r="O1305">
        <v>0.37079896400000001</v>
      </c>
      <c r="P1305">
        <v>15628.599609999999</v>
      </c>
      <c r="Q1305">
        <v>26.79</v>
      </c>
      <c r="R1305">
        <v>1.76</v>
      </c>
      <c r="S1305">
        <v>85.22</v>
      </c>
      <c r="T1305">
        <v>19</v>
      </c>
      <c r="U1305" s="1" t="s">
        <v>101</v>
      </c>
      <c r="V1305">
        <v>-0.35</v>
      </c>
    </row>
    <row r="1306" spans="1:22" x14ac:dyDescent="0.3">
      <c r="A1306" s="2">
        <v>45342</v>
      </c>
      <c r="B1306">
        <v>42750</v>
      </c>
      <c r="C1306">
        <v>1511</v>
      </c>
      <c r="D1306">
        <v>2</v>
      </c>
      <c r="E1306" s="1" t="s">
        <v>22</v>
      </c>
      <c r="F1306">
        <v>1</v>
      </c>
      <c r="G1306" s="1" t="s">
        <v>23</v>
      </c>
      <c r="H1306">
        <v>42500</v>
      </c>
      <c r="I1306">
        <v>45268.333333333336</v>
      </c>
      <c r="J1306">
        <v>42250</v>
      </c>
      <c r="K1306">
        <v>42900</v>
      </c>
      <c r="L1306">
        <v>49150</v>
      </c>
      <c r="M1306">
        <v>500</v>
      </c>
      <c r="N1306">
        <v>129.93020000000001</v>
      </c>
      <c r="O1306">
        <v>0.37079896400000001</v>
      </c>
      <c r="P1306">
        <v>15634</v>
      </c>
      <c r="Q1306">
        <v>26.86</v>
      </c>
      <c r="R1306">
        <v>0.9</v>
      </c>
      <c r="S1306">
        <v>83.95</v>
      </c>
      <c r="T1306">
        <v>20</v>
      </c>
      <c r="U1306" s="1" t="s">
        <v>26</v>
      </c>
      <c r="V1306">
        <v>1.18</v>
      </c>
    </row>
    <row r="1307" spans="1:22" x14ac:dyDescent="0.3">
      <c r="A1307" s="2">
        <v>45343</v>
      </c>
      <c r="B1307">
        <v>43500</v>
      </c>
      <c r="C1307">
        <v>1512</v>
      </c>
      <c r="D1307">
        <v>2</v>
      </c>
      <c r="E1307" s="1" t="s">
        <v>22</v>
      </c>
      <c r="F1307">
        <v>2</v>
      </c>
      <c r="G1307" s="1" t="s">
        <v>23</v>
      </c>
      <c r="H1307">
        <v>42585.714285714283</v>
      </c>
      <c r="I1307">
        <v>45105</v>
      </c>
      <c r="J1307">
        <v>42750</v>
      </c>
      <c r="K1307">
        <v>42900</v>
      </c>
      <c r="L1307">
        <v>48400</v>
      </c>
      <c r="M1307">
        <v>750</v>
      </c>
      <c r="N1307">
        <v>129.93020000000001</v>
      </c>
      <c r="O1307">
        <v>0.37079896400000001</v>
      </c>
      <c r="P1307">
        <v>15661</v>
      </c>
      <c r="Q1307">
        <v>27.09</v>
      </c>
      <c r="R1307">
        <v>0.37</v>
      </c>
      <c r="S1307">
        <v>85.46</v>
      </c>
      <c r="T1307">
        <v>21</v>
      </c>
      <c r="U1307" s="1" t="s">
        <v>52</v>
      </c>
      <c r="V1307">
        <v>1.75</v>
      </c>
    </row>
    <row r="1308" spans="1:22" x14ac:dyDescent="0.3">
      <c r="A1308" s="2">
        <v>45344</v>
      </c>
      <c r="B1308">
        <v>43650</v>
      </c>
      <c r="C1308">
        <v>1513</v>
      </c>
      <c r="D1308">
        <v>2</v>
      </c>
      <c r="E1308" s="1" t="s">
        <v>22</v>
      </c>
      <c r="F1308">
        <v>3</v>
      </c>
      <c r="G1308" s="1" t="s">
        <v>23</v>
      </c>
      <c r="H1308">
        <v>42764.285714285717</v>
      </c>
      <c r="I1308">
        <v>44963.333333333336</v>
      </c>
      <c r="J1308">
        <v>43500</v>
      </c>
      <c r="K1308">
        <v>42400</v>
      </c>
      <c r="L1308">
        <v>47900</v>
      </c>
      <c r="M1308">
        <v>150</v>
      </c>
      <c r="N1308">
        <v>129.93020000000001</v>
      </c>
      <c r="O1308">
        <v>0.37079896400000001</v>
      </c>
      <c r="P1308">
        <v>15642</v>
      </c>
      <c r="Q1308">
        <v>27.15</v>
      </c>
      <c r="R1308">
        <v>0.48</v>
      </c>
      <c r="S1308">
        <v>85.41</v>
      </c>
      <c r="T1308">
        <v>22</v>
      </c>
      <c r="U1308" s="1" t="s">
        <v>66</v>
      </c>
      <c r="V1308">
        <v>0.34</v>
      </c>
    </row>
    <row r="1309" spans="1:22" x14ac:dyDescent="0.3">
      <c r="A1309" s="2">
        <v>45345</v>
      </c>
      <c r="B1309">
        <v>42400</v>
      </c>
      <c r="C1309">
        <v>1514</v>
      </c>
      <c r="D1309">
        <v>2</v>
      </c>
      <c r="E1309" s="1" t="s">
        <v>22</v>
      </c>
      <c r="F1309">
        <v>4</v>
      </c>
      <c r="G1309" s="1" t="s">
        <v>23</v>
      </c>
      <c r="H1309">
        <v>42764.285714285717</v>
      </c>
      <c r="I1309">
        <v>44805</v>
      </c>
      <c r="J1309">
        <v>43650</v>
      </c>
      <c r="K1309">
        <v>42400</v>
      </c>
      <c r="L1309">
        <v>47150</v>
      </c>
      <c r="M1309">
        <v>-1250</v>
      </c>
      <c r="N1309">
        <v>129.93020000000001</v>
      </c>
      <c r="O1309">
        <v>0.37079896400000001</v>
      </c>
      <c r="P1309">
        <v>15588</v>
      </c>
      <c r="Q1309">
        <v>27.06</v>
      </c>
      <c r="R1309">
        <v>7.0000000000000007E-2</v>
      </c>
      <c r="S1309">
        <v>81.44</v>
      </c>
      <c r="T1309">
        <v>23</v>
      </c>
      <c r="U1309" s="1" t="s">
        <v>40</v>
      </c>
      <c r="V1309">
        <v>-2.86</v>
      </c>
    </row>
    <row r="1310" spans="1:22" x14ac:dyDescent="0.3">
      <c r="A1310" s="2">
        <v>45346</v>
      </c>
      <c r="B1310">
        <v>42400</v>
      </c>
      <c r="C1310">
        <v>1515</v>
      </c>
      <c r="D1310">
        <v>2</v>
      </c>
      <c r="E1310" s="1" t="s">
        <v>22</v>
      </c>
      <c r="F1310">
        <v>5</v>
      </c>
      <c r="G1310" s="1" t="s">
        <v>23</v>
      </c>
      <c r="H1310">
        <v>42764.285714285717</v>
      </c>
      <c r="I1310">
        <v>44655</v>
      </c>
      <c r="J1310">
        <v>42400</v>
      </c>
      <c r="K1310">
        <v>42400</v>
      </c>
      <c r="L1310">
        <v>46900</v>
      </c>
      <c r="M1310">
        <v>0</v>
      </c>
      <c r="N1310">
        <v>129.93020000000001</v>
      </c>
      <c r="O1310">
        <v>0.37079896400000001</v>
      </c>
      <c r="P1310">
        <v>15588</v>
      </c>
      <c r="Q1310">
        <v>26.74</v>
      </c>
      <c r="R1310">
        <v>0.12</v>
      </c>
      <c r="S1310">
        <v>84.33</v>
      </c>
      <c r="T1310">
        <v>24</v>
      </c>
      <c r="U1310" s="1" t="s">
        <v>40</v>
      </c>
      <c r="V1310">
        <v>-2.86</v>
      </c>
    </row>
    <row r="1311" spans="1:22" x14ac:dyDescent="0.3">
      <c r="A1311" s="2">
        <v>45348</v>
      </c>
      <c r="B1311">
        <v>42900</v>
      </c>
      <c r="C1311">
        <v>1517</v>
      </c>
      <c r="D1311">
        <v>2</v>
      </c>
      <c r="E1311" s="1" t="s">
        <v>22</v>
      </c>
      <c r="F1311">
        <v>0</v>
      </c>
      <c r="G1311" s="1" t="s">
        <v>23</v>
      </c>
      <c r="K1311">
        <v>42250</v>
      </c>
      <c r="L1311">
        <v>46900</v>
      </c>
      <c r="N1311">
        <v>129.93020000000001</v>
      </c>
      <c r="O1311">
        <v>0.37079896400000001</v>
      </c>
      <c r="P1311">
        <v>15586.099609999999</v>
      </c>
      <c r="Q1311">
        <v>26.97</v>
      </c>
      <c r="R1311">
        <v>0.06</v>
      </c>
      <c r="S1311">
        <v>81.06</v>
      </c>
      <c r="T1311">
        <v>26</v>
      </c>
      <c r="U1311" s="1" t="s">
        <v>26</v>
      </c>
      <c r="V1311">
        <v>1.18</v>
      </c>
    </row>
    <row r="1312" spans="1:22" x14ac:dyDescent="0.3">
      <c r="A1312" s="2">
        <v>45349</v>
      </c>
      <c r="B1312">
        <v>44150</v>
      </c>
      <c r="C1312">
        <v>1518</v>
      </c>
      <c r="D1312">
        <v>2</v>
      </c>
      <c r="E1312" s="1" t="s">
        <v>22</v>
      </c>
      <c r="F1312">
        <v>1</v>
      </c>
      <c r="G1312" s="1" t="s">
        <v>23</v>
      </c>
      <c r="J1312">
        <v>42900</v>
      </c>
      <c r="K1312">
        <v>42750</v>
      </c>
      <c r="L1312">
        <v>46900</v>
      </c>
      <c r="M1312">
        <v>1250</v>
      </c>
      <c r="N1312">
        <v>129.93020000000001</v>
      </c>
      <c r="O1312">
        <v>0.37079896400000001</v>
      </c>
      <c r="P1312">
        <v>15638.5</v>
      </c>
      <c r="Q1312">
        <v>26.74</v>
      </c>
      <c r="R1312">
        <v>2.23</v>
      </c>
      <c r="S1312">
        <v>86.76</v>
      </c>
      <c r="T1312">
        <v>27</v>
      </c>
      <c r="U1312" s="1" t="s">
        <v>36</v>
      </c>
      <c r="V1312">
        <v>2.91</v>
      </c>
    </row>
    <row r="1313" spans="1:22" x14ac:dyDescent="0.3">
      <c r="A1313" s="2">
        <v>45350</v>
      </c>
      <c r="B1313">
        <v>44150</v>
      </c>
      <c r="C1313">
        <v>1519</v>
      </c>
      <c r="D1313">
        <v>2</v>
      </c>
      <c r="E1313" s="1" t="s">
        <v>22</v>
      </c>
      <c r="F1313">
        <v>2</v>
      </c>
      <c r="G1313" s="1" t="s">
        <v>23</v>
      </c>
      <c r="J1313">
        <v>44150</v>
      </c>
      <c r="K1313">
        <v>43500</v>
      </c>
      <c r="L1313">
        <v>47150</v>
      </c>
      <c r="M1313">
        <v>0</v>
      </c>
      <c r="N1313">
        <v>129.93020000000001</v>
      </c>
      <c r="O1313">
        <v>0.37079896400000001</v>
      </c>
      <c r="P1313">
        <v>15653</v>
      </c>
      <c r="Q1313">
        <v>26.48</v>
      </c>
      <c r="R1313">
        <v>8.76</v>
      </c>
      <c r="S1313">
        <v>87.54</v>
      </c>
      <c r="T1313">
        <v>28</v>
      </c>
      <c r="U1313" s="1" t="s">
        <v>25</v>
      </c>
      <c r="V1313">
        <v>0</v>
      </c>
    </row>
    <row r="1314" spans="1:22" x14ac:dyDescent="0.3">
      <c r="A1314" s="2">
        <v>45351</v>
      </c>
      <c r="B1314">
        <v>44650</v>
      </c>
      <c r="C1314">
        <v>1520</v>
      </c>
      <c r="D1314">
        <v>2</v>
      </c>
      <c r="E1314" s="1" t="s">
        <v>22</v>
      </c>
      <c r="F1314">
        <v>3</v>
      </c>
      <c r="G1314" s="1" t="s">
        <v>23</v>
      </c>
      <c r="J1314">
        <v>44150</v>
      </c>
      <c r="K1314">
        <v>43650</v>
      </c>
      <c r="L1314">
        <v>46400</v>
      </c>
      <c r="M1314">
        <v>500</v>
      </c>
      <c r="N1314">
        <v>129.93020000000001</v>
      </c>
      <c r="O1314">
        <v>0.37079896400000001</v>
      </c>
      <c r="P1314">
        <v>15712.200199999999</v>
      </c>
      <c r="Q1314">
        <v>27.12</v>
      </c>
      <c r="R1314">
        <v>1.62</v>
      </c>
      <c r="S1314">
        <v>87.68</v>
      </c>
      <c r="T1314">
        <v>29</v>
      </c>
      <c r="U1314" s="1" t="s">
        <v>26</v>
      </c>
      <c r="V1314">
        <v>1.1299999999999999</v>
      </c>
    </row>
    <row r="1315" spans="1:22" x14ac:dyDescent="0.3">
      <c r="A1315" s="2">
        <v>45352</v>
      </c>
      <c r="B1315">
        <v>40750</v>
      </c>
      <c r="C1315">
        <v>1521</v>
      </c>
      <c r="D1315">
        <v>3</v>
      </c>
      <c r="E1315" s="1" t="s">
        <v>22</v>
      </c>
      <c r="F1315">
        <v>4</v>
      </c>
      <c r="G1315" s="1" t="s">
        <v>23</v>
      </c>
      <c r="J1315">
        <v>44650</v>
      </c>
      <c r="K1315">
        <v>42400</v>
      </c>
      <c r="L1315">
        <v>46400</v>
      </c>
      <c r="M1315">
        <v>-3900</v>
      </c>
      <c r="N1315">
        <v>130.607</v>
      </c>
      <c r="O1315">
        <v>0.52089506500000005</v>
      </c>
      <c r="P1315">
        <v>15704</v>
      </c>
      <c r="Q1315">
        <v>27.23</v>
      </c>
      <c r="R1315">
        <v>5.54</v>
      </c>
      <c r="S1315">
        <v>87.38</v>
      </c>
      <c r="T1315">
        <v>1</v>
      </c>
      <c r="U1315" s="1" t="s">
        <v>107</v>
      </c>
      <c r="V1315">
        <v>-8.73</v>
      </c>
    </row>
    <row r="1316" spans="1:22" x14ac:dyDescent="0.3">
      <c r="A1316" s="2">
        <v>45353</v>
      </c>
      <c r="B1316">
        <v>40750</v>
      </c>
      <c r="C1316">
        <v>1522</v>
      </c>
      <c r="D1316">
        <v>3</v>
      </c>
      <c r="E1316" s="1" t="s">
        <v>22</v>
      </c>
      <c r="F1316">
        <v>5</v>
      </c>
      <c r="G1316" s="1" t="s">
        <v>23</v>
      </c>
      <c r="J1316">
        <v>40750</v>
      </c>
      <c r="K1316">
        <v>42400</v>
      </c>
      <c r="L1316">
        <v>46500</v>
      </c>
      <c r="M1316">
        <v>0</v>
      </c>
      <c r="N1316">
        <v>130.607</v>
      </c>
      <c r="O1316">
        <v>0.52089506500000005</v>
      </c>
      <c r="P1316">
        <v>15704</v>
      </c>
      <c r="Q1316">
        <v>27.04</v>
      </c>
      <c r="R1316">
        <v>25.12</v>
      </c>
      <c r="S1316">
        <v>89.2</v>
      </c>
      <c r="T1316">
        <v>2</v>
      </c>
      <c r="U1316" s="1" t="s">
        <v>107</v>
      </c>
      <c r="V1316">
        <v>-8.73</v>
      </c>
    </row>
    <row r="1317" spans="1:22" x14ac:dyDescent="0.3">
      <c r="A1317" s="2">
        <v>45354</v>
      </c>
      <c r="B1317">
        <v>40750</v>
      </c>
      <c r="C1317">
        <v>1523</v>
      </c>
      <c r="D1317">
        <v>3</v>
      </c>
      <c r="E1317" s="1" t="s">
        <v>22</v>
      </c>
      <c r="F1317">
        <v>6</v>
      </c>
      <c r="G1317" s="1" t="s">
        <v>23</v>
      </c>
      <c r="H1317">
        <v>42585.714285714283</v>
      </c>
      <c r="J1317">
        <v>40750</v>
      </c>
      <c r="L1317">
        <v>46500</v>
      </c>
      <c r="M1317">
        <v>0</v>
      </c>
      <c r="N1317">
        <v>130.607</v>
      </c>
      <c r="O1317">
        <v>0.52089506500000005</v>
      </c>
      <c r="P1317">
        <v>15704</v>
      </c>
      <c r="Q1317">
        <v>26.89</v>
      </c>
      <c r="R1317">
        <v>14.46</v>
      </c>
      <c r="S1317">
        <v>85.04</v>
      </c>
      <c r="T1317">
        <v>3</v>
      </c>
      <c r="U1317" s="1" t="s">
        <v>107</v>
      </c>
      <c r="V1317">
        <v>-8.73</v>
      </c>
    </row>
    <row r="1318" spans="1:22" x14ac:dyDescent="0.3">
      <c r="A1318" s="2">
        <v>45355</v>
      </c>
      <c r="B1318">
        <v>40150</v>
      </c>
      <c r="C1318">
        <v>1524</v>
      </c>
      <c r="D1318">
        <v>3</v>
      </c>
      <c r="E1318" s="1" t="s">
        <v>22</v>
      </c>
      <c r="F1318">
        <v>0</v>
      </c>
      <c r="G1318" s="1" t="s">
        <v>23</v>
      </c>
      <c r="H1318">
        <v>42192.857142857145</v>
      </c>
      <c r="J1318">
        <v>40750</v>
      </c>
      <c r="K1318">
        <v>42900</v>
      </c>
      <c r="L1318">
        <v>46500</v>
      </c>
      <c r="M1318">
        <v>-600</v>
      </c>
      <c r="N1318">
        <v>130.607</v>
      </c>
      <c r="O1318">
        <v>0.52089506500000005</v>
      </c>
      <c r="P1318">
        <v>15691.900390000001</v>
      </c>
      <c r="Q1318">
        <v>26.74</v>
      </c>
      <c r="R1318">
        <v>12.56</v>
      </c>
      <c r="S1318">
        <v>87.83</v>
      </c>
      <c r="T1318">
        <v>4</v>
      </c>
      <c r="U1318" s="1" t="s">
        <v>62</v>
      </c>
      <c r="V1318">
        <v>-1.47</v>
      </c>
    </row>
    <row r="1319" spans="1:22" x14ac:dyDescent="0.3">
      <c r="A1319" s="2">
        <v>45356</v>
      </c>
      <c r="B1319">
        <v>40150</v>
      </c>
      <c r="C1319">
        <v>1525</v>
      </c>
      <c r="D1319">
        <v>3</v>
      </c>
      <c r="E1319" s="1" t="s">
        <v>22</v>
      </c>
      <c r="F1319">
        <v>1</v>
      </c>
      <c r="G1319" s="1" t="s">
        <v>23</v>
      </c>
      <c r="H1319">
        <v>41621.428571428572</v>
      </c>
      <c r="J1319">
        <v>40150</v>
      </c>
      <c r="K1319">
        <v>44150</v>
      </c>
      <c r="L1319">
        <v>46500</v>
      </c>
      <c r="M1319">
        <v>0</v>
      </c>
      <c r="N1319">
        <v>130.607</v>
      </c>
      <c r="O1319">
        <v>0.52089506500000005</v>
      </c>
      <c r="P1319">
        <v>15766</v>
      </c>
      <c r="Q1319">
        <v>26.99</v>
      </c>
      <c r="R1319">
        <v>5.7</v>
      </c>
      <c r="S1319">
        <v>88.27</v>
      </c>
      <c r="T1319">
        <v>5</v>
      </c>
      <c r="U1319" s="1" t="s">
        <v>25</v>
      </c>
      <c r="V1319">
        <v>0</v>
      </c>
    </row>
    <row r="1320" spans="1:22" x14ac:dyDescent="0.3">
      <c r="A1320" s="2">
        <v>45357</v>
      </c>
      <c r="B1320">
        <v>40150</v>
      </c>
      <c r="C1320">
        <v>1526</v>
      </c>
      <c r="D1320">
        <v>3</v>
      </c>
      <c r="E1320" s="1" t="s">
        <v>22</v>
      </c>
      <c r="F1320">
        <v>2</v>
      </c>
      <c r="G1320" s="1" t="s">
        <v>23</v>
      </c>
      <c r="H1320">
        <v>41050</v>
      </c>
      <c r="J1320">
        <v>40150</v>
      </c>
      <c r="K1320">
        <v>44150</v>
      </c>
      <c r="L1320">
        <v>46000</v>
      </c>
      <c r="M1320">
        <v>0</v>
      </c>
      <c r="N1320">
        <v>130.607</v>
      </c>
      <c r="O1320">
        <v>0.52089506500000005</v>
      </c>
      <c r="P1320">
        <v>15751.5</v>
      </c>
      <c r="Q1320">
        <v>27.16</v>
      </c>
      <c r="R1320">
        <v>10.14</v>
      </c>
      <c r="S1320">
        <v>88.23</v>
      </c>
      <c r="T1320">
        <v>6</v>
      </c>
      <c r="U1320" s="1" t="s">
        <v>25</v>
      </c>
      <c r="V1320">
        <v>0</v>
      </c>
    </row>
    <row r="1321" spans="1:22" x14ac:dyDescent="0.3">
      <c r="A1321" s="2">
        <v>45358</v>
      </c>
      <c r="B1321">
        <v>39650</v>
      </c>
      <c r="C1321">
        <v>1527</v>
      </c>
      <c r="D1321">
        <v>3</v>
      </c>
      <c r="E1321" s="1" t="s">
        <v>22</v>
      </c>
      <c r="F1321">
        <v>3</v>
      </c>
      <c r="G1321" s="1" t="s">
        <v>23</v>
      </c>
      <c r="H1321">
        <v>40335.714285714283</v>
      </c>
      <c r="J1321">
        <v>40150</v>
      </c>
      <c r="K1321">
        <v>44650</v>
      </c>
      <c r="L1321">
        <v>45900</v>
      </c>
      <c r="M1321">
        <v>-500</v>
      </c>
      <c r="N1321">
        <v>130.607</v>
      </c>
      <c r="O1321">
        <v>0.52089506500000005</v>
      </c>
      <c r="P1321">
        <v>15668</v>
      </c>
      <c r="Q1321">
        <v>27.08</v>
      </c>
      <c r="R1321">
        <v>5.83</v>
      </c>
      <c r="S1321">
        <v>89.34</v>
      </c>
      <c r="T1321">
        <v>7</v>
      </c>
      <c r="U1321" s="1" t="s">
        <v>24</v>
      </c>
      <c r="V1321">
        <v>-1.25</v>
      </c>
    </row>
    <row r="1322" spans="1:22" x14ac:dyDescent="0.3">
      <c r="A1322" s="2">
        <v>45359</v>
      </c>
      <c r="B1322">
        <v>39650</v>
      </c>
      <c r="C1322">
        <v>1528</v>
      </c>
      <c r="D1322">
        <v>3</v>
      </c>
      <c r="E1322" s="1" t="s">
        <v>22</v>
      </c>
      <c r="F1322">
        <v>4</v>
      </c>
      <c r="G1322" s="1" t="s">
        <v>23</v>
      </c>
      <c r="H1322">
        <v>40178.571428571428</v>
      </c>
      <c r="J1322">
        <v>39650</v>
      </c>
      <c r="K1322">
        <v>40750</v>
      </c>
      <c r="L1322">
        <v>45400</v>
      </c>
      <c r="M1322">
        <v>0</v>
      </c>
      <c r="N1322">
        <v>130.607</v>
      </c>
      <c r="O1322">
        <v>0.52089506500000005</v>
      </c>
      <c r="P1322">
        <v>15621</v>
      </c>
      <c r="Q1322">
        <v>26.73</v>
      </c>
      <c r="R1322">
        <v>0.28999999999999998</v>
      </c>
      <c r="S1322">
        <v>80.52</v>
      </c>
      <c r="T1322">
        <v>8</v>
      </c>
      <c r="U1322" s="1" t="s">
        <v>25</v>
      </c>
      <c r="V1322">
        <v>0</v>
      </c>
    </row>
    <row r="1323" spans="1:22" x14ac:dyDescent="0.3">
      <c r="A1323" s="2">
        <v>45360</v>
      </c>
      <c r="B1323">
        <v>39650</v>
      </c>
      <c r="C1323">
        <v>1529</v>
      </c>
      <c r="D1323">
        <v>3</v>
      </c>
      <c r="E1323" s="1" t="s">
        <v>22</v>
      </c>
      <c r="F1323">
        <v>5</v>
      </c>
      <c r="G1323" s="1" t="s">
        <v>23</v>
      </c>
      <c r="H1323">
        <v>40021.428571428572</v>
      </c>
      <c r="J1323">
        <v>39650</v>
      </c>
      <c r="K1323">
        <v>40750</v>
      </c>
      <c r="L1323">
        <v>45400</v>
      </c>
      <c r="M1323">
        <v>0</v>
      </c>
      <c r="N1323">
        <v>130.607</v>
      </c>
      <c r="O1323">
        <v>0.52089506500000005</v>
      </c>
      <c r="P1323">
        <v>15621</v>
      </c>
      <c r="Q1323">
        <v>26.52</v>
      </c>
      <c r="R1323">
        <v>3.53</v>
      </c>
      <c r="S1323">
        <v>83.46</v>
      </c>
      <c r="T1323">
        <v>9</v>
      </c>
      <c r="U1323" s="1" t="s">
        <v>25</v>
      </c>
      <c r="V1323">
        <v>0</v>
      </c>
    </row>
    <row r="1324" spans="1:22" x14ac:dyDescent="0.3">
      <c r="A1324" s="2">
        <v>45361</v>
      </c>
      <c r="B1324">
        <v>39650</v>
      </c>
      <c r="C1324">
        <v>1530</v>
      </c>
      <c r="D1324">
        <v>3</v>
      </c>
      <c r="E1324" s="1" t="s">
        <v>22</v>
      </c>
      <c r="F1324">
        <v>6</v>
      </c>
      <c r="G1324" s="1" t="s">
        <v>23</v>
      </c>
      <c r="H1324">
        <v>39864.285714285717</v>
      </c>
      <c r="J1324">
        <v>39650</v>
      </c>
      <c r="K1324">
        <v>40750</v>
      </c>
      <c r="L1324">
        <v>45400</v>
      </c>
      <c r="M1324">
        <v>0</v>
      </c>
      <c r="N1324">
        <v>130.607</v>
      </c>
      <c r="O1324">
        <v>0.52089506500000005</v>
      </c>
      <c r="P1324">
        <v>15621</v>
      </c>
      <c r="Q1324">
        <v>26.66</v>
      </c>
      <c r="R1324">
        <v>2.09</v>
      </c>
      <c r="S1324">
        <v>81.34</v>
      </c>
      <c r="T1324">
        <v>10</v>
      </c>
      <c r="U1324" s="1" t="s">
        <v>25</v>
      </c>
      <c r="V1324">
        <v>0</v>
      </c>
    </row>
    <row r="1325" spans="1:22" x14ac:dyDescent="0.3">
      <c r="A1325" s="2">
        <v>45362</v>
      </c>
      <c r="B1325">
        <v>39650</v>
      </c>
      <c r="C1325">
        <v>1531</v>
      </c>
      <c r="D1325">
        <v>3</v>
      </c>
      <c r="E1325" s="1" t="s">
        <v>22</v>
      </c>
      <c r="F1325">
        <v>0</v>
      </c>
      <c r="G1325" s="1" t="s">
        <v>44</v>
      </c>
      <c r="H1325">
        <v>39792.857142857145</v>
      </c>
      <c r="J1325">
        <v>39650</v>
      </c>
      <c r="K1325">
        <v>40150</v>
      </c>
      <c r="L1325">
        <v>45400</v>
      </c>
      <c r="M1325">
        <v>0</v>
      </c>
      <c r="N1325">
        <v>130.607</v>
      </c>
      <c r="O1325">
        <v>0.52089506500000005</v>
      </c>
      <c r="P1325">
        <v>15536.299800000001</v>
      </c>
      <c r="Q1325">
        <v>26.65</v>
      </c>
      <c r="R1325">
        <v>1.18</v>
      </c>
      <c r="S1325">
        <v>83.98</v>
      </c>
      <c r="T1325">
        <v>11</v>
      </c>
      <c r="U1325" s="1" t="s">
        <v>25</v>
      </c>
      <c r="V1325">
        <v>0</v>
      </c>
    </row>
    <row r="1326" spans="1:22" x14ac:dyDescent="0.3">
      <c r="A1326" s="2">
        <v>45363</v>
      </c>
      <c r="B1326">
        <v>39650</v>
      </c>
      <c r="C1326">
        <v>1532</v>
      </c>
      <c r="D1326">
        <v>3</v>
      </c>
      <c r="E1326" s="1" t="s">
        <v>22</v>
      </c>
      <c r="F1326">
        <v>1</v>
      </c>
      <c r="G1326" s="1" t="s">
        <v>23</v>
      </c>
      <c r="H1326">
        <v>39721.428571428572</v>
      </c>
      <c r="J1326">
        <v>39650</v>
      </c>
      <c r="K1326">
        <v>40150</v>
      </c>
      <c r="L1326">
        <v>45400</v>
      </c>
      <c r="M1326">
        <v>0</v>
      </c>
      <c r="N1326">
        <v>130.607</v>
      </c>
      <c r="O1326">
        <v>0.52089506500000005</v>
      </c>
      <c r="P1326">
        <v>15518</v>
      </c>
      <c r="Q1326">
        <v>26.55</v>
      </c>
      <c r="R1326">
        <v>0.2</v>
      </c>
      <c r="S1326">
        <v>85.17</v>
      </c>
      <c r="T1326">
        <v>12</v>
      </c>
      <c r="U1326" s="1" t="s">
        <v>25</v>
      </c>
      <c r="V1326">
        <v>0</v>
      </c>
    </row>
    <row r="1327" spans="1:22" x14ac:dyDescent="0.3">
      <c r="A1327" s="2">
        <v>45364</v>
      </c>
      <c r="B1327">
        <v>38900</v>
      </c>
      <c r="C1327">
        <v>1533</v>
      </c>
      <c r="D1327">
        <v>3</v>
      </c>
      <c r="E1327" s="1" t="s">
        <v>22</v>
      </c>
      <c r="F1327">
        <v>2</v>
      </c>
      <c r="G1327" s="1" t="s">
        <v>23</v>
      </c>
      <c r="H1327">
        <v>39542.857142857145</v>
      </c>
      <c r="J1327">
        <v>39650</v>
      </c>
      <c r="K1327">
        <v>40150</v>
      </c>
      <c r="L1327">
        <v>41750</v>
      </c>
      <c r="M1327">
        <v>-750</v>
      </c>
      <c r="N1327">
        <v>130.607</v>
      </c>
      <c r="O1327">
        <v>0.52089506500000005</v>
      </c>
      <c r="P1327">
        <v>15546</v>
      </c>
      <c r="Q1327">
        <v>26.81</v>
      </c>
      <c r="R1327">
        <v>4.0999999999999996</v>
      </c>
      <c r="S1327">
        <v>86.66</v>
      </c>
      <c r="T1327">
        <v>13</v>
      </c>
      <c r="U1327" s="1" t="s">
        <v>42</v>
      </c>
      <c r="V1327">
        <v>-1.89</v>
      </c>
    </row>
    <row r="1328" spans="1:22" x14ac:dyDescent="0.3">
      <c r="A1328" s="2">
        <v>45365</v>
      </c>
      <c r="B1328">
        <v>38900</v>
      </c>
      <c r="C1328">
        <v>1534</v>
      </c>
      <c r="D1328">
        <v>3</v>
      </c>
      <c r="E1328" s="1" t="s">
        <v>22</v>
      </c>
      <c r="F1328">
        <v>3</v>
      </c>
      <c r="G1328" s="1" t="s">
        <v>23</v>
      </c>
      <c r="H1328">
        <v>39435.714285714283</v>
      </c>
      <c r="J1328">
        <v>38900</v>
      </c>
      <c r="K1328">
        <v>39650</v>
      </c>
      <c r="L1328">
        <v>42900</v>
      </c>
      <c r="M1328">
        <v>0</v>
      </c>
      <c r="N1328">
        <v>130.607</v>
      </c>
      <c r="O1328">
        <v>0.52089506500000005</v>
      </c>
      <c r="P1328">
        <v>15574</v>
      </c>
      <c r="Q1328">
        <v>27.06</v>
      </c>
      <c r="R1328">
        <v>1.29</v>
      </c>
      <c r="S1328">
        <v>84.76</v>
      </c>
      <c r="T1328">
        <v>14</v>
      </c>
      <c r="U1328" s="1" t="s">
        <v>25</v>
      </c>
      <c r="V1328">
        <v>0</v>
      </c>
    </row>
    <row r="1329" spans="1:22" x14ac:dyDescent="0.3">
      <c r="A1329" s="2">
        <v>45366</v>
      </c>
      <c r="B1329">
        <v>39650</v>
      </c>
      <c r="C1329">
        <v>1535</v>
      </c>
      <c r="D1329">
        <v>3</v>
      </c>
      <c r="E1329" s="1" t="s">
        <v>22</v>
      </c>
      <c r="F1329">
        <v>4</v>
      </c>
      <c r="G1329" s="1" t="s">
        <v>23</v>
      </c>
      <c r="H1329">
        <v>39435.714285714283</v>
      </c>
      <c r="J1329">
        <v>38900</v>
      </c>
      <c r="K1329">
        <v>39650</v>
      </c>
      <c r="L1329">
        <v>42900</v>
      </c>
      <c r="M1329">
        <v>750</v>
      </c>
      <c r="N1329">
        <v>130.607</v>
      </c>
      <c r="O1329">
        <v>0.52089506500000005</v>
      </c>
      <c r="P1329">
        <v>15630</v>
      </c>
      <c r="Q1329">
        <v>26.9</v>
      </c>
      <c r="R1329">
        <v>2.93</v>
      </c>
      <c r="S1329">
        <v>84.75</v>
      </c>
      <c r="T1329">
        <v>15</v>
      </c>
      <c r="U1329" s="1" t="s">
        <v>52</v>
      </c>
      <c r="V1329">
        <v>1.93</v>
      </c>
    </row>
    <row r="1330" spans="1:22" x14ac:dyDescent="0.3">
      <c r="A1330" s="2">
        <v>45367</v>
      </c>
      <c r="B1330">
        <v>39650</v>
      </c>
      <c r="C1330">
        <v>1536</v>
      </c>
      <c r="D1330">
        <v>3</v>
      </c>
      <c r="E1330" s="1" t="s">
        <v>22</v>
      </c>
      <c r="F1330">
        <v>5</v>
      </c>
      <c r="G1330" s="1" t="s">
        <v>23</v>
      </c>
      <c r="H1330">
        <v>39435.714285714283</v>
      </c>
      <c r="J1330">
        <v>39650</v>
      </c>
      <c r="K1330">
        <v>39650</v>
      </c>
      <c r="L1330">
        <v>42400</v>
      </c>
      <c r="M1330">
        <v>0</v>
      </c>
      <c r="N1330">
        <v>130.607</v>
      </c>
      <c r="O1330">
        <v>0.52089506500000005</v>
      </c>
      <c r="P1330">
        <v>15630</v>
      </c>
      <c r="Q1330">
        <v>26.81</v>
      </c>
      <c r="R1330">
        <v>2.85</v>
      </c>
      <c r="S1330">
        <v>85.17</v>
      </c>
      <c r="T1330">
        <v>16</v>
      </c>
      <c r="U1330" s="1" t="s">
        <v>52</v>
      </c>
      <c r="V1330">
        <v>1.93</v>
      </c>
    </row>
    <row r="1331" spans="1:22" x14ac:dyDescent="0.3">
      <c r="A1331" s="2">
        <v>45368</v>
      </c>
      <c r="B1331">
        <v>39650</v>
      </c>
      <c r="C1331">
        <v>1537</v>
      </c>
      <c r="D1331">
        <v>3</v>
      </c>
      <c r="E1331" s="1" t="s">
        <v>22</v>
      </c>
      <c r="F1331">
        <v>6</v>
      </c>
      <c r="G1331" s="1" t="s">
        <v>23</v>
      </c>
      <c r="H1331">
        <v>39435.714285714283</v>
      </c>
      <c r="J1331">
        <v>39650</v>
      </c>
      <c r="K1331">
        <v>39650</v>
      </c>
      <c r="L1331">
        <v>42400</v>
      </c>
      <c r="M1331">
        <v>0</v>
      </c>
      <c r="N1331">
        <v>130.607</v>
      </c>
      <c r="O1331">
        <v>0.52089506500000005</v>
      </c>
      <c r="P1331">
        <v>15630</v>
      </c>
      <c r="Q1331">
        <v>26.87</v>
      </c>
      <c r="R1331">
        <v>0.31</v>
      </c>
      <c r="S1331">
        <v>80.42</v>
      </c>
      <c r="T1331">
        <v>17</v>
      </c>
      <c r="U1331" s="1" t="s">
        <v>52</v>
      </c>
      <c r="V1331">
        <v>1.93</v>
      </c>
    </row>
    <row r="1332" spans="1:22" x14ac:dyDescent="0.3">
      <c r="A1332" s="2">
        <v>45369</v>
      </c>
      <c r="B1332">
        <v>39900</v>
      </c>
      <c r="C1332">
        <v>1538</v>
      </c>
      <c r="D1332">
        <v>3</v>
      </c>
      <c r="E1332" s="1" t="s">
        <v>22</v>
      </c>
      <c r="F1332">
        <v>0</v>
      </c>
      <c r="G1332" s="1" t="s">
        <v>23</v>
      </c>
      <c r="H1332">
        <v>39471.428571428572</v>
      </c>
      <c r="J1332">
        <v>39650</v>
      </c>
      <c r="K1332">
        <v>39650</v>
      </c>
      <c r="L1332">
        <v>42400</v>
      </c>
      <c r="M1332">
        <v>250</v>
      </c>
      <c r="N1332">
        <v>130.607</v>
      </c>
      <c r="O1332">
        <v>0.52089506500000005</v>
      </c>
      <c r="P1332">
        <v>15639.299800000001</v>
      </c>
      <c r="Q1332">
        <v>26.93</v>
      </c>
      <c r="R1332">
        <v>0.22</v>
      </c>
      <c r="S1332">
        <v>84.13</v>
      </c>
      <c r="T1332">
        <v>18</v>
      </c>
      <c r="U1332" s="1" t="s">
        <v>34</v>
      </c>
      <c r="V1332">
        <v>0.63</v>
      </c>
    </row>
    <row r="1333" spans="1:22" x14ac:dyDescent="0.3">
      <c r="A1333" s="2">
        <v>45370</v>
      </c>
      <c r="B1333">
        <v>38650</v>
      </c>
      <c r="C1333">
        <v>1539</v>
      </c>
      <c r="D1333">
        <v>3</v>
      </c>
      <c r="E1333" s="1" t="s">
        <v>22</v>
      </c>
      <c r="F1333">
        <v>1</v>
      </c>
      <c r="G1333" s="1" t="s">
        <v>23</v>
      </c>
      <c r="H1333">
        <v>39328.571428571428</v>
      </c>
      <c r="J1333">
        <v>39900</v>
      </c>
      <c r="K1333">
        <v>39650</v>
      </c>
      <c r="L1333">
        <v>42400</v>
      </c>
      <c r="M1333">
        <v>-1250</v>
      </c>
      <c r="N1333">
        <v>130.607</v>
      </c>
      <c r="O1333">
        <v>0.52089506500000005</v>
      </c>
      <c r="P1333">
        <v>15743</v>
      </c>
      <c r="Q1333">
        <v>26.69</v>
      </c>
      <c r="R1333">
        <v>0.06</v>
      </c>
      <c r="S1333">
        <v>80.17</v>
      </c>
      <c r="T1333">
        <v>19</v>
      </c>
      <c r="U1333" s="1" t="s">
        <v>40</v>
      </c>
      <c r="V1333">
        <v>-3.13</v>
      </c>
    </row>
    <row r="1334" spans="1:22" x14ac:dyDescent="0.3">
      <c r="A1334" s="2">
        <v>45371</v>
      </c>
      <c r="B1334">
        <v>38650</v>
      </c>
      <c r="C1334">
        <v>1540</v>
      </c>
      <c r="D1334">
        <v>3</v>
      </c>
      <c r="E1334" s="1" t="s">
        <v>22</v>
      </c>
      <c r="F1334">
        <v>2</v>
      </c>
      <c r="G1334" s="1" t="s">
        <v>23</v>
      </c>
      <c r="H1334">
        <v>39292.857142857145</v>
      </c>
      <c r="J1334">
        <v>38650</v>
      </c>
      <c r="K1334">
        <v>38900</v>
      </c>
      <c r="L1334">
        <v>42250</v>
      </c>
      <c r="M1334">
        <v>0</v>
      </c>
      <c r="N1334">
        <v>130.607</v>
      </c>
      <c r="O1334">
        <v>0.52089506500000005</v>
      </c>
      <c r="P1334">
        <v>15718</v>
      </c>
      <c r="Q1334">
        <v>26.67</v>
      </c>
      <c r="R1334">
        <v>0.2</v>
      </c>
      <c r="S1334">
        <v>83.52</v>
      </c>
      <c r="T1334">
        <v>20</v>
      </c>
      <c r="U1334" s="1" t="s">
        <v>25</v>
      </c>
      <c r="V1334">
        <v>0</v>
      </c>
    </row>
    <row r="1335" spans="1:22" x14ac:dyDescent="0.3">
      <c r="A1335" s="2">
        <v>45372</v>
      </c>
      <c r="B1335">
        <v>39250</v>
      </c>
      <c r="C1335">
        <v>1541</v>
      </c>
      <c r="D1335">
        <v>3</v>
      </c>
      <c r="E1335" s="1" t="s">
        <v>22</v>
      </c>
      <c r="F1335">
        <v>3</v>
      </c>
      <c r="G1335" s="1" t="s">
        <v>23</v>
      </c>
      <c r="H1335">
        <v>39342.857142857145</v>
      </c>
      <c r="J1335">
        <v>38650</v>
      </c>
      <c r="K1335">
        <v>38900</v>
      </c>
      <c r="L1335">
        <v>42750</v>
      </c>
      <c r="M1335">
        <v>600</v>
      </c>
      <c r="N1335">
        <v>130.607</v>
      </c>
      <c r="O1335">
        <v>0.52089506500000005</v>
      </c>
      <c r="P1335">
        <v>15687</v>
      </c>
      <c r="Q1335">
        <v>26.93</v>
      </c>
      <c r="R1335">
        <v>1.18</v>
      </c>
      <c r="S1335">
        <v>84.33</v>
      </c>
      <c r="T1335">
        <v>21</v>
      </c>
      <c r="U1335" s="1" t="s">
        <v>64</v>
      </c>
      <c r="V1335">
        <v>1.55</v>
      </c>
    </row>
    <row r="1336" spans="1:22" x14ac:dyDescent="0.3">
      <c r="A1336" s="2">
        <v>45373</v>
      </c>
      <c r="B1336">
        <v>39250</v>
      </c>
      <c r="C1336">
        <v>1542</v>
      </c>
      <c r="D1336">
        <v>3</v>
      </c>
      <c r="E1336" s="1" t="s">
        <v>22</v>
      </c>
      <c r="F1336">
        <v>4</v>
      </c>
      <c r="G1336" s="1" t="s">
        <v>23</v>
      </c>
      <c r="H1336">
        <v>39285.714285714283</v>
      </c>
      <c r="J1336">
        <v>39250</v>
      </c>
      <c r="K1336">
        <v>39650</v>
      </c>
      <c r="L1336">
        <v>43500</v>
      </c>
      <c r="M1336">
        <v>0</v>
      </c>
      <c r="N1336">
        <v>130.607</v>
      </c>
      <c r="O1336">
        <v>0.52089506500000005</v>
      </c>
      <c r="P1336">
        <v>15723.5</v>
      </c>
      <c r="Q1336">
        <v>27.03</v>
      </c>
      <c r="R1336">
        <v>1.24</v>
      </c>
      <c r="S1336">
        <v>82.79</v>
      </c>
      <c r="T1336">
        <v>22</v>
      </c>
      <c r="U1336" s="1" t="s">
        <v>25</v>
      </c>
      <c r="V1336">
        <v>0</v>
      </c>
    </row>
    <row r="1337" spans="1:22" x14ac:dyDescent="0.3">
      <c r="A1337" s="2">
        <v>45374</v>
      </c>
      <c r="B1337">
        <v>39250</v>
      </c>
      <c r="C1337">
        <v>1543</v>
      </c>
      <c r="D1337">
        <v>3</v>
      </c>
      <c r="E1337" s="1" t="s">
        <v>22</v>
      </c>
      <c r="F1337">
        <v>5</v>
      </c>
      <c r="G1337" s="1" t="s">
        <v>23</v>
      </c>
      <c r="H1337">
        <v>39228.571428571428</v>
      </c>
      <c r="J1337">
        <v>39250</v>
      </c>
      <c r="K1337">
        <v>39650</v>
      </c>
      <c r="L1337">
        <v>43650</v>
      </c>
      <c r="M1337">
        <v>0</v>
      </c>
      <c r="N1337">
        <v>130.607</v>
      </c>
      <c r="O1337">
        <v>0.52089506500000005</v>
      </c>
      <c r="P1337">
        <v>15723.5</v>
      </c>
      <c r="Q1337">
        <v>26.95</v>
      </c>
      <c r="R1337">
        <v>1.52</v>
      </c>
      <c r="S1337">
        <v>85.11</v>
      </c>
      <c r="T1337">
        <v>23</v>
      </c>
      <c r="U1337" s="1" t="s">
        <v>25</v>
      </c>
      <c r="V1337">
        <v>0</v>
      </c>
    </row>
    <row r="1338" spans="1:22" x14ac:dyDescent="0.3">
      <c r="A1338" s="2">
        <v>45375</v>
      </c>
      <c r="B1338">
        <v>39250</v>
      </c>
      <c r="C1338">
        <v>1544</v>
      </c>
      <c r="D1338">
        <v>3</v>
      </c>
      <c r="E1338" s="1" t="s">
        <v>22</v>
      </c>
      <c r="F1338">
        <v>6</v>
      </c>
      <c r="G1338" s="1" t="s">
        <v>23</v>
      </c>
      <c r="H1338">
        <v>39171.428571428572</v>
      </c>
      <c r="J1338">
        <v>39250</v>
      </c>
      <c r="K1338">
        <v>39650</v>
      </c>
      <c r="L1338">
        <v>42400</v>
      </c>
      <c r="M1338">
        <v>0</v>
      </c>
      <c r="N1338">
        <v>130.607</v>
      </c>
      <c r="O1338">
        <v>0.52089506500000005</v>
      </c>
      <c r="P1338">
        <v>15723.5</v>
      </c>
      <c r="Q1338">
        <v>27.16</v>
      </c>
      <c r="R1338">
        <v>0.59</v>
      </c>
      <c r="S1338">
        <v>82.57</v>
      </c>
      <c r="T1338">
        <v>24</v>
      </c>
      <c r="U1338" s="1" t="s">
        <v>25</v>
      </c>
      <c r="V1338">
        <v>0</v>
      </c>
    </row>
    <row r="1339" spans="1:22" x14ac:dyDescent="0.3">
      <c r="A1339" s="2">
        <v>45376</v>
      </c>
      <c r="B1339">
        <v>39250</v>
      </c>
      <c r="C1339">
        <v>1545</v>
      </c>
      <c r="D1339">
        <v>3</v>
      </c>
      <c r="E1339" s="1" t="s">
        <v>22</v>
      </c>
      <c r="F1339">
        <v>0</v>
      </c>
      <c r="G1339" s="1" t="s">
        <v>23</v>
      </c>
      <c r="H1339">
        <v>39078.571428571428</v>
      </c>
      <c r="J1339">
        <v>39250</v>
      </c>
      <c r="K1339">
        <v>39900</v>
      </c>
      <c r="L1339">
        <v>42400</v>
      </c>
      <c r="M1339">
        <v>0</v>
      </c>
      <c r="N1339">
        <v>130.607</v>
      </c>
      <c r="O1339">
        <v>0.52089506500000005</v>
      </c>
      <c r="P1339">
        <v>15802.599609999999</v>
      </c>
      <c r="Q1339">
        <v>27.15</v>
      </c>
      <c r="R1339">
        <v>1.24</v>
      </c>
      <c r="S1339">
        <v>84.67</v>
      </c>
      <c r="T1339">
        <v>25</v>
      </c>
      <c r="U1339" s="1" t="s">
        <v>25</v>
      </c>
      <c r="V1339">
        <v>0</v>
      </c>
    </row>
    <row r="1340" spans="1:22" x14ac:dyDescent="0.3">
      <c r="A1340" s="2">
        <v>45377</v>
      </c>
      <c r="B1340">
        <v>39150</v>
      </c>
      <c r="C1340">
        <v>1546</v>
      </c>
      <c r="D1340">
        <v>3</v>
      </c>
      <c r="E1340" s="1" t="s">
        <v>22</v>
      </c>
      <c r="F1340">
        <v>1</v>
      </c>
      <c r="G1340" s="1" t="s">
        <v>23</v>
      </c>
      <c r="H1340">
        <v>39150</v>
      </c>
      <c r="I1340">
        <v>40193.333333333336</v>
      </c>
      <c r="J1340">
        <v>39250</v>
      </c>
      <c r="K1340">
        <v>38650</v>
      </c>
      <c r="M1340">
        <v>-100</v>
      </c>
      <c r="N1340">
        <v>130.607</v>
      </c>
      <c r="O1340">
        <v>0.52089506500000005</v>
      </c>
      <c r="P1340">
        <v>15784</v>
      </c>
      <c r="Q1340">
        <v>27</v>
      </c>
      <c r="R1340">
        <v>2.79</v>
      </c>
      <c r="S1340">
        <v>87.01</v>
      </c>
      <c r="T1340">
        <v>26</v>
      </c>
      <c r="U1340" s="1" t="s">
        <v>74</v>
      </c>
      <c r="V1340">
        <v>-0.25</v>
      </c>
    </row>
    <row r="1341" spans="1:22" x14ac:dyDescent="0.3">
      <c r="A1341" s="2">
        <v>45378</v>
      </c>
      <c r="B1341">
        <v>39150</v>
      </c>
      <c r="C1341">
        <v>1547</v>
      </c>
      <c r="D1341">
        <v>3</v>
      </c>
      <c r="E1341" s="1" t="s">
        <v>22</v>
      </c>
      <c r="F1341">
        <v>2</v>
      </c>
      <c r="G1341" s="1" t="s">
        <v>23</v>
      </c>
      <c r="H1341">
        <v>39221.428571428572</v>
      </c>
      <c r="I1341">
        <v>40068.333333333336</v>
      </c>
      <c r="J1341">
        <v>39150</v>
      </c>
      <c r="K1341">
        <v>38650</v>
      </c>
      <c r="L1341">
        <v>42900</v>
      </c>
      <c r="M1341">
        <v>0</v>
      </c>
      <c r="N1341">
        <v>130.607</v>
      </c>
      <c r="O1341">
        <v>0.52089506500000005</v>
      </c>
      <c r="P1341">
        <v>15828</v>
      </c>
      <c r="Q1341">
        <v>26.93</v>
      </c>
      <c r="R1341">
        <v>17.059999999999999</v>
      </c>
      <c r="S1341">
        <v>86.96</v>
      </c>
      <c r="T1341">
        <v>27</v>
      </c>
      <c r="U1341" s="1" t="s">
        <v>25</v>
      </c>
      <c r="V1341">
        <v>0</v>
      </c>
    </row>
    <row r="1342" spans="1:22" x14ac:dyDescent="0.3">
      <c r="A1342" s="2">
        <v>45379</v>
      </c>
      <c r="B1342">
        <v>39750</v>
      </c>
      <c r="C1342">
        <v>1548</v>
      </c>
      <c r="D1342">
        <v>3</v>
      </c>
      <c r="E1342" s="1" t="s">
        <v>22</v>
      </c>
      <c r="F1342">
        <v>3</v>
      </c>
      <c r="G1342" s="1" t="s">
        <v>23</v>
      </c>
      <c r="H1342">
        <v>39292.857142857145</v>
      </c>
      <c r="I1342">
        <v>39921.666666666664</v>
      </c>
      <c r="J1342">
        <v>39150</v>
      </c>
      <c r="K1342">
        <v>39250</v>
      </c>
      <c r="L1342">
        <v>44150</v>
      </c>
      <c r="M1342">
        <v>600</v>
      </c>
      <c r="N1342">
        <v>130.607</v>
      </c>
      <c r="O1342">
        <v>0.52089506500000005</v>
      </c>
      <c r="P1342">
        <v>15877</v>
      </c>
      <c r="Q1342">
        <v>27.06</v>
      </c>
      <c r="R1342">
        <v>14.04</v>
      </c>
      <c r="S1342">
        <v>84.07</v>
      </c>
      <c r="T1342">
        <v>28</v>
      </c>
      <c r="U1342" s="1" t="s">
        <v>64</v>
      </c>
      <c r="V1342">
        <v>1.53</v>
      </c>
    </row>
    <row r="1343" spans="1:22" x14ac:dyDescent="0.3">
      <c r="A1343" s="2">
        <v>45380</v>
      </c>
      <c r="B1343">
        <v>39750</v>
      </c>
      <c r="C1343">
        <v>1549</v>
      </c>
      <c r="D1343">
        <v>3</v>
      </c>
      <c r="E1343" s="1" t="s">
        <v>22</v>
      </c>
      <c r="F1343">
        <v>4</v>
      </c>
      <c r="G1343" s="1" t="s">
        <v>44</v>
      </c>
      <c r="H1343">
        <v>39364.285714285717</v>
      </c>
      <c r="I1343">
        <v>39775</v>
      </c>
      <c r="J1343">
        <v>39750</v>
      </c>
      <c r="K1343">
        <v>39250</v>
      </c>
      <c r="L1343">
        <v>44150</v>
      </c>
      <c r="M1343">
        <v>0</v>
      </c>
      <c r="N1343">
        <v>130.607</v>
      </c>
      <c r="O1343">
        <v>0.52089506500000005</v>
      </c>
      <c r="P1343">
        <v>15877</v>
      </c>
      <c r="Q1343">
        <v>27.45</v>
      </c>
      <c r="R1343">
        <v>4.95</v>
      </c>
      <c r="S1343">
        <v>80.03</v>
      </c>
      <c r="T1343">
        <v>29</v>
      </c>
      <c r="U1343" s="1" t="s">
        <v>25</v>
      </c>
      <c r="V1343">
        <v>0</v>
      </c>
    </row>
    <row r="1344" spans="1:22" x14ac:dyDescent="0.3">
      <c r="A1344" s="2">
        <v>45381</v>
      </c>
      <c r="B1344">
        <v>39750</v>
      </c>
      <c r="C1344">
        <v>1550</v>
      </c>
      <c r="D1344">
        <v>3</v>
      </c>
      <c r="E1344" s="1" t="s">
        <v>22</v>
      </c>
      <c r="F1344">
        <v>5</v>
      </c>
      <c r="G1344" s="1" t="s">
        <v>23</v>
      </c>
      <c r="H1344">
        <v>39435.714285714283</v>
      </c>
      <c r="I1344">
        <v>39611.666666666664</v>
      </c>
      <c r="J1344">
        <v>39750</v>
      </c>
      <c r="K1344">
        <v>39250</v>
      </c>
      <c r="L1344">
        <v>44650</v>
      </c>
      <c r="M1344">
        <v>0</v>
      </c>
      <c r="N1344">
        <v>130.607</v>
      </c>
      <c r="O1344">
        <v>0.52089506500000005</v>
      </c>
      <c r="P1344">
        <v>15877</v>
      </c>
      <c r="Q1344">
        <v>27.06</v>
      </c>
      <c r="R1344">
        <v>2.02</v>
      </c>
      <c r="S1344">
        <v>86.64</v>
      </c>
      <c r="T1344">
        <v>30</v>
      </c>
      <c r="U1344" s="1" t="s">
        <v>25</v>
      </c>
      <c r="V1344">
        <v>0</v>
      </c>
    </row>
    <row r="1345" spans="1:22" x14ac:dyDescent="0.3">
      <c r="A1345" s="2">
        <v>45382</v>
      </c>
      <c r="B1345">
        <v>39750</v>
      </c>
      <c r="C1345">
        <v>1551</v>
      </c>
      <c r="D1345">
        <v>3</v>
      </c>
      <c r="E1345" s="1" t="s">
        <v>22</v>
      </c>
      <c r="F1345">
        <v>6</v>
      </c>
      <c r="G1345" s="1" t="s">
        <v>23</v>
      </c>
      <c r="H1345">
        <v>39507.142857142855</v>
      </c>
      <c r="I1345">
        <v>39578.333333333336</v>
      </c>
      <c r="J1345">
        <v>39750</v>
      </c>
      <c r="K1345">
        <v>39250</v>
      </c>
      <c r="L1345">
        <v>40750</v>
      </c>
      <c r="M1345">
        <v>0</v>
      </c>
      <c r="N1345">
        <v>130.607</v>
      </c>
      <c r="O1345">
        <v>0.52089506500000005</v>
      </c>
      <c r="P1345">
        <v>15877</v>
      </c>
      <c r="Q1345">
        <v>27.53</v>
      </c>
      <c r="R1345">
        <v>9.66</v>
      </c>
      <c r="S1345">
        <v>85.2</v>
      </c>
      <c r="T1345">
        <v>31</v>
      </c>
      <c r="U1345" s="1" t="s">
        <v>25</v>
      </c>
      <c r="V1345">
        <v>0</v>
      </c>
    </row>
    <row r="1346" spans="1:22" x14ac:dyDescent="0.3">
      <c r="A1346" s="2">
        <v>45383</v>
      </c>
      <c r="B1346">
        <v>39150</v>
      </c>
      <c r="C1346">
        <v>1552</v>
      </c>
      <c r="D1346">
        <v>4</v>
      </c>
      <c r="E1346" s="1" t="s">
        <v>43</v>
      </c>
      <c r="F1346">
        <v>0</v>
      </c>
      <c r="G1346" s="1" t="s">
        <v>44</v>
      </c>
      <c r="H1346">
        <v>39492.857142857145</v>
      </c>
      <c r="I1346">
        <v>39525</v>
      </c>
      <c r="J1346">
        <v>39750</v>
      </c>
      <c r="K1346">
        <v>39250</v>
      </c>
      <c r="L1346">
        <v>40750</v>
      </c>
      <c r="M1346">
        <v>-600</v>
      </c>
      <c r="N1346">
        <v>130.9393</v>
      </c>
      <c r="O1346">
        <v>0.25442740400000002</v>
      </c>
      <c r="P1346">
        <v>15848</v>
      </c>
      <c r="Q1346">
        <v>27.41</v>
      </c>
      <c r="R1346">
        <v>10.56</v>
      </c>
      <c r="S1346">
        <v>79.78</v>
      </c>
      <c r="T1346">
        <v>1</v>
      </c>
      <c r="U1346" s="1" t="s">
        <v>62</v>
      </c>
      <c r="V1346">
        <v>-1.51</v>
      </c>
    </row>
    <row r="1347" spans="1:22" x14ac:dyDescent="0.3">
      <c r="A1347" s="2">
        <v>45384</v>
      </c>
      <c r="B1347">
        <v>40250</v>
      </c>
      <c r="C1347">
        <v>1553</v>
      </c>
      <c r="D1347">
        <v>4</v>
      </c>
      <c r="E1347" s="1" t="s">
        <v>43</v>
      </c>
      <c r="F1347">
        <v>1</v>
      </c>
      <c r="G1347" s="1" t="s">
        <v>23</v>
      </c>
      <c r="H1347">
        <v>39650</v>
      </c>
      <c r="I1347">
        <v>39508.333333333336</v>
      </c>
      <c r="J1347">
        <v>39150</v>
      </c>
      <c r="K1347">
        <v>39150</v>
      </c>
      <c r="L1347">
        <v>40750</v>
      </c>
      <c r="M1347">
        <v>1100</v>
      </c>
      <c r="N1347">
        <v>130.9393</v>
      </c>
      <c r="O1347">
        <v>0.25442740400000002</v>
      </c>
      <c r="P1347">
        <v>15945.799800000001</v>
      </c>
      <c r="Q1347">
        <v>27.21</v>
      </c>
      <c r="R1347">
        <v>11.74</v>
      </c>
      <c r="S1347">
        <v>82.11</v>
      </c>
      <c r="T1347">
        <v>2</v>
      </c>
      <c r="U1347" s="1" t="s">
        <v>89</v>
      </c>
      <c r="V1347">
        <v>2.81</v>
      </c>
    </row>
    <row r="1348" spans="1:22" x14ac:dyDescent="0.3">
      <c r="A1348" s="2">
        <v>45385</v>
      </c>
      <c r="B1348">
        <v>40000</v>
      </c>
      <c r="C1348">
        <v>1554</v>
      </c>
      <c r="D1348">
        <v>4</v>
      </c>
      <c r="E1348" s="1" t="s">
        <v>43</v>
      </c>
      <c r="F1348">
        <v>2</v>
      </c>
      <c r="G1348" s="1" t="s">
        <v>23</v>
      </c>
      <c r="H1348">
        <v>39771.428571428572</v>
      </c>
      <c r="I1348">
        <v>39503.333333333336</v>
      </c>
      <c r="J1348">
        <v>40250</v>
      </c>
      <c r="K1348">
        <v>39150</v>
      </c>
      <c r="L1348">
        <v>40150</v>
      </c>
      <c r="M1348">
        <v>-250</v>
      </c>
      <c r="N1348">
        <v>130.9393</v>
      </c>
      <c r="O1348">
        <v>0.25442740400000002</v>
      </c>
      <c r="P1348">
        <v>15955</v>
      </c>
      <c r="Q1348">
        <v>27.15</v>
      </c>
      <c r="R1348">
        <v>4.5</v>
      </c>
      <c r="S1348">
        <v>84.19</v>
      </c>
      <c r="T1348">
        <v>3</v>
      </c>
      <c r="U1348" s="1" t="s">
        <v>35</v>
      </c>
      <c r="V1348">
        <v>-0.62</v>
      </c>
    </row>
    <row r="1349" spans="1:22" x14ac:dyDescent="0.3">
      <c r="A1349" s="2">
        <v>45386</v>
      </c>
      <c r="B1349">
        <v>40000</v>
      </c>
      <c r="C1349">
        <v>1555</v>
      </c>
      <c r="D1349">
        <v>4</v>
      </c>
      <c r="E1349" s="1" t="s">
        <v>43</v>
      </c>
      <c r="F1349">
        <v>3</v>
      </c>
      <c r="G1349" s="1" t="s">
        <v>23</v>
      </c>
      <c r="H1349">
        <v>39807.142857142855</v>
      </c>
      <c r="I1349">
        <v>39498.333333333336</v>
      </c>
      <c r="J1349">
        <v>40000</v>
      </c>
      <c r="K1349">
        <v>39750</v>
      </c>
      <c r="L1349">
        <v>40150</v>
      </c>
      <c r="M1349">
        <v>0</v>
      </c>
      <c r="N1349">
        <v>130.9393</v>
      </c>
      <c r="O1349">
        <v>0.25442740400000002</v>
      </c>
      <c r="P1349">
        <v>15936</v>
      </c>
      <c r="Q1349">
        <v>26.94</v>
      </c>
      <c r="R1349">
        <v>5.23</v>
      </c>
      <c r="S1349">
        <v>84.73</v>
      </c>
      <c r="T1349">
        <v>4</v>
      </c>
      <c r="U1349" s="1" t="s">
        <v>25</v>
      </c>
      <c r="V1349">
        <v>0</v>
      </c>
    </row>
    <row r="1350" spans="1:22" x14ac:dyDescent="0.3">
      <c r="A1350" s="2">
        <v>45387</v>
      </c>
      <c r="B1350">
        <v>40500</v>
      </c>
      <c r="C1350">
        <v>1556</v>
      </c>
      <c r="D1350">
        <v>4</v>
      </c>
      <c r="E1350" s="1" t="s">
        <v>43</v>
      </c>
      <c r="F1350">
        <v>4</v>
      </c>
      <c r="G1350" s="1" t="s">
        <v>23</v>
      </c>
      <c r="H1350">
        <v>39914.285714285717</v>
      </c>
      <c r="I1350">
        <v>39510</v>
      </c>
      <c r="J1350">
        <v>40000</v>
      </c>
      <c r="K1350">
        <v>39750</v>
      </c>
      <c r="L1350">
        <v>40150</v>
      </c>
      <c r="M1350">
        <v>500</v>
      </c>
      <c r="N1350">
        <v>130.9393</v>
      </c>
      <c r="O1350">
        <v>0.25442740400000002</v>
      </c>
      <c r="P1350">
        <v>15904.5</v>
      </c>
      <c r="Q1350">
        <v>26.59</v>
      </c>
      <c r="R1350">
        <v>11.57</v>
      </c>
      <c r="S1350">
        <v>85.88</v>
      </c>
      <c r="T1350">
        <v>5</v>
      </c>
      <c r="U1350" s="1" t="s">
        <v>26</v>
      </c>
      <c r="V1350">
        <v>1.25</v>
      </c>
    </row>
    <row r="1351" spans="1:22" x14ac:dyDescent="0.3">
      <c r="A1351" s="2">
        <v>45388</v>
      </c>
      <c r="B1351">
        <v>40500</v>
      </c>
      <c r="C1351">
        <v>1557</v>
      </c>
      <c r="D1351">
        <v>4</v>
      </c>
      <c r="E1351" s="1" t="s">
        <v>43</v>
      </c>
      <c r="F1351">
        <v>5</v>
      </c>
      <c r="G1351" s="1" t="s">
        <v>23</v>
      </c>
      <c r="H1351">
        <v>40021.428571428572</v>
      </c>
      <c r="I1351">
        <v>39538.333333333336</v>
      </c>
      <c r="J1351">
        <v>40500</v>
      </c>
      <c r="K1351">
        <v>39750</v>
      </c>
      <c r="L1351">
        <v>39650</v>
      </c>
      <c r="M1351">
        <v>0</v>
      </c>
      <c r="N1351">
        <v>130.9393</v>
      </c>
      <c r="O1351">
        <v>0.25442740400000002</v>
      </c>
      <c r="P1351">
        <v>15904.5</v>
      </c>
      <c r="Q1351">
        <v>27.16</v>
      </c>
      <c r="R1351">
        <v>28.31</v>
      </c>
      <c r="S1351">
        <v>88.18</v>
      </c>
      <c r="T1351">
        <v>6</v>
      </c>
      <c r="U1351" s="1" t="s">
        <v>26</v>
      </c>
      <c r="V1351">
        <v>1.25</v>
      </c>
    </row>
    <row r="1352" spans="1:22" x14ac:dyDescent="0.3">
      <c r="A1352" s="2">
        <v>45389</v>
      </c>
      <c r="B1352">
        <v>40500</v>
      </c>
      <c r="C1352">
        <v>1558</v>
      </c>
      <c r="D1352">
        <v>4</v>
      </c>
      <c r="E1352" s="1" t="s">
        <v>43</v>
      </c>
      <c r="F1352">
        <v>6</v>
      </c>
      <c r="G1352" s="1" t="s">
        <v>23</v>
      </c>
      <c r="H1352">
        <v>40128.571428571428</v>
      </c>
      <c r="I1352">
        <v>39566.666666666664</v>
      </c>
      <c r="J1352">
        <v>40500</v>
      </c>
      <c r="K1352">
        <v>39750</v>
      </c>
      <c r="L1352">
        <v>39650</v>
      </c>
      <c r="M1352">
        <v>0</v>
      </c>
      <c r="N1352">
        <v>130.9393</v>
      </c>
      <c r="O1352">
        <v>0.25442740400000002</v>
      </c>
      <c r="P1352">
        <v>15904.5</v>
      </c>
      <c r="Q1352">
        <v>27.16</v>
      </c>
      <c r="R1352">
        <v>36.85</v>
      </c>
      <c r="S1352">
        <v>86.41</v>
      </c>
      <c r="T1352">
        <v>7</v>
      </c>
      <c r="U1352" s="1" t="s">
        <v>26</v>
      </c>
      <c r="V1352">
        <v>1.25</v>
      </c>
    </row>
    <row r="1353" spans="1:22" x14ac:dyDescent="0.3">
      <c r="A1353" s="2">
        <v>45390</v>
      </c>
      <c r="B1353">
        <v>40500</v>
      </c>
      <c r="C1353">
        <v>1559</v>
      </c>
      <c r="D1353">
        <v>4</v>
      </c>
      <c r="E1353" s="1" t="s">
        <v>43</v>
      </c>
      <c r="F1353">
        <v>0</v>
      </c>
      <c r="G1353" s="1" t="s">
        <v>23</v>
      </c>
      <c r="H1353">
        <v>40321.428571428572</v>
      </c>
      <c r="I1353">
        <v>39595</v>
      </c>
      <c r="J1353">
        <v>40500</v>
      </c>
      <c r="K1353">
        <v>39150</v>
      </c>
      <c r="L1353">
        <v>39650</v>
      </c>
      <c r="M1353">
        <v>0</v>
      </c>
      <c r="N1353">
        <v>130.9393</v>
      </c>
      <c r="O1353">
        <v>0.25442740400000002</v>
      </c>
      <c r="P1353">
        <v>15881</v>
      </c>
      <c r="Q1353">
        <v>26.91</v>
      </c>
      <c r="R1353">
        <v>12.05</v>
      </c>
      <c r="S1353">
        <v>86.06</v>
      </c>
      <c r="T1353">
        <v>8</v>
      </c>
      <c r="U1353" s="1"/>
      <c r="V1353">
        <v>0</v>
      </c>
    </row>
    <row r="1354" spans="1:22" x14ac:dyDescent="0.3">
      <c r="A1354" s="2">
        <v>45391</v>
      </c>
      <c r="B1354">
        <v>40500</v>
      </c>
      <c r="C1354">
        <v>1560</v>
      </c>
      <c r="D1354">
        <v>4</v>
      </c>
      <c r="E1354" s="1" t="s">
        <v>43</v>
      </c>
      <c r="F1354">
        <v>1</v>
      </c>
      <c r="G1354" s="1" t="s">
        <v>23</v>
      </c>
      <c r="H1354">
        <v>40357.142857142855</v>
      </c>
      <c r="I1354">
        <v>39623.333333333336</v>
      </c>
      <c r="J1354">
        <v>40500</v>
      </c>
      <c r="K1354">
        <v>40250</v>
      </c>
      <c r="L1354">
        <v>39650</v>
      </c>
      <c r="M1354">
        <v>0</v>
      </c>
      <c r="N1354">
        <v>130.9393</v>
      </c>
      <c r="O1354">
        <v>0.25442740400000002</v>
      </c>
      <c r="P1354">
        <v>15918</v>
      </c>
      <c r="Q1354">
        <v>26.98</v>
      </c>
      <c r="R1354">
        <v>0.54</v>
      </c>
      <c r="S1354">
        <v>83.24</v>
      </c>
      <c r="T1354">
        <v>9</v>
      </c>
      <c r="U1354" s="1" t="s">
        <v>25</v>
      </c>
      <c r="V1354">
        <v>0</v>
      </c>
    </row>
    <row r="1355" spans="1:22" x14ac:dyDescent="0.3">
      <c r="A1355" s="2">
        <v>45392</v>
      </c>
      <c r="B1355">
        <v>40500</v>
      </c>
      <c r="C1355">
        <v>1561</v>
      </c>
      <c r="D1355">
        <v>4</v>
      </c>
      <c r="E1355" s="1" t="s">
        <v>43</v>
      </c>
      <c r="F1355">
        <v>2</v>
      </c>
      <c r="G1355" s="1" t="s">
        <v>44</v>
      </c>
      <c r="H1355">
        <v>40428.571428571428</v>
      </c>
      <c r="I1355">
        <v>39651.666666666664</v>
      </c>
      <c r="J1355">
        <v>40500</v>
      </c>
      <c r="K1355">
        <v>40000</v>
      </c>
      <c r="L1355">
        <v>39650</v>
      </c>
      <c r="M1355">
        <v>0</v>
      </c>
      <c r="N1355">
        <v>130.9393</v>
      </c>
      <c r="O1355">
        <v>0.25442740400000002</v>
      </c>
      <c r="P1355">
        <v>15892.299800000001</v>
      </c>
      <c r="Q1355">
        <v>27.01</v>
      </c>
      <c r="R1355">
        <v>0.16</v>
      </c>
      <c r="S1355">
        <v>81</v>
      </c>
      <c r="T1355">
        <v>10</v>
      </c>
      <c r="U1355" s="1" t="s">
        <v>25</v>
      </c>
      <c r="V1355">
        <v>0</v>
      </c>
    </row>
    <row r="1356" spans="1:22" x14ac:dyDescent="0.3">
      <c r="A1356" s="2">
        <v>45393</v>
      </c>
      <c r="B1356">
        <v>40500</v>
      </c>
      <c r="C1356">
        <v>1562</v>
      </c>
      <c r="D1356">
        <v>4</v>
      </c>
      <c r="E1356" s="1" t="s">
        <v>43</v>
      </c>
      <c r="F1356">
        <v>3</v>
      </c>
      <c r="G1356" s="1" t="s">
        <v>44</v>
      </c>
      <c r="H1356">
        <v>40500</v>
      </c>
      <c r="I1356">
        <v>39680</v>
      </c>
      <c r="J1356">
        <v>40500</v>
      </c>
      <c r="K1356">
        <v>40000</v>
      </c>
      <c r="L1356">
        <v>39650</v>
      </c>
      <c r="M1356">
        <v>0</v>
      </c>
      <c r="N1356">
        <v>130.9393</v>
      </c>
      <c r="O1356">
        <v>0.25442740400000002</v>
      </c>
      <c r="P1356">
        <v>15998.200199999999</v>
      </c>
      <c r="Q1356">
        <v>26.97</v>
      </c>
      <c r="R1356">
        <v>0.3</v>
      </c>
      <c r="S1356">
        <v>82.6</v>
      </c>
      <c r="T1356">
        <v>11</v>
      </c>
      <c r="U1356" s="1" t="s">
        <v>25</v>
      </c>
      <c r="V1356">
        <v>0</v>
      </c>
    </row>
    <row r="1357" spans="1:22" x14ac:dyDescent="0.3">
      <c r="A1357" s="2">
        <v>45394</v>
      </c>
      <c r="B1357">
        <v>40500</v>
      </c>
      <c r="C1357">
        <v>1563</v>
      </c>
      <c r="D1357">
        <v>4</v>
      </c>
      <c r="E1357" s="1" t="s">
        <v>43</v>
      </c>
      <c r="F1357">
        <v>4</v>
      </c>
      <c r="G1357" s="1" t="s">
        <v>23</v>
      </c>
      <c r="H1357">
        <v>40500</v>
      </c>
      <c r="I1357">
        <v>39733.333333333336</v>
      </c>
      <c r="J1357">
        <v>40500</v>
      </c>
      <c r="K1357">
        <v>40500</v>
      </c>
      <c r="L1357">
        <v>38900</v>
      </c>
      <c r="M1357">
        <v>0</v>
      </c>
      <c r="N1357">
        <v>130.9393</v>
      </c>
      <c r="O1357">
        <v>0.25442740400000002</v>
      </c>
      <c r="P1357">
        <v>16007</v>
      </c>
      <c r="Q1357">
        <v>27.42</v>
      </c>
      <c r="R1357">
        <v>0.11</v>
      </c>
      <c r="S1357">
        <v>80.39</v>
      </c>
      <c r="T1357">
        <v>12</v>
      </c>
      <c r="U1357" s="1" t="s">
        <v>25</v>
      </c>
      <c r="V1357">
        <v>0</v>
      </c>
    </row>
    <row r="1358" spans="1:22" x14ac:dyDescent="0.3">
      <c r="A1358" s="2">
        <v>45397</v>
      </c>
      <c r="B1358">
        <v>40500</v>
      </c>
      <c r="C1358">
        <v>1566</v>
      </c>
      <c r="D1358">
        <v>4</v>
      </c>
      <c r="E1358" s="1" t="s">
        <v>43</v>
      </c>
      <c r="F1358">
        <v>0</v>
      </c>
      <c r="G1358" s="1" t="s">
        <v>23</v>
      </c>
      <c r="K1358">
        <v>40500</v>
      </c>
      <c r="L1358">
        <v>39650</v>
      </c>
      <c r="N1358">
        <v>130.9393</v>
      </c>
      <c r="O1358">
        <v>0.25442740400000002</v>
      </c>
      <c r="P1358">
        <v>16111</v>
      </c>
      <c r="Q1358">
        <v>27.38</v>
      </c>
      <c r="R1358">
        <v>0.08</v>
      </c>
      <c r="S1358">
        <v>80.349999999999994</v>
      </c>
      <c r="T1358">
        <v>15</v>
      </c>
      <c r="U1358" s="1"/>
      <c r="V1358">
        <v>0</v>
      </c>
    </row>
    <row r="1359" spans="1:22" x14ac:dyDescent="0.3">
      <c r="A1359" s="2">
        <v>45398</v>
      </c>
      <c r="B1359">
        <v>63150</v>
      </c>
      <c r="C1359">
        <v>1567</v>
      </c>
      <c r="D1359">
        <v>4</v>
      </c>
      <c r="E1359" s="1" t="s">
        <v>43</v>
      </c>
      <c r="F1359">
        <v>1</v>
      </c>
      <c r="G1359" s="1" t="s">
        <v>23</v>
      </c>
      <c r="J1359">
        <v>40500</v>
      </c>
      <c r="K1359">
        <v>40500</v>
      </c>
      <c r="L1359">
        <v>39650</v>
      </c>
      <c r="M1359">
        <v>22650</v>
      </c>
      <c r="N1359">
        <v>130.9393</v>
      </c>
      <c r="O1359">
        <v>0.25442740400000002</v>
      </c>
      <c r="P1359">
        <v>16075</v>
      </c>
      <c r="Q1359">
        <v>27.48</v>
      </c>
      <c r="R1359">
        <v>0.11</v>
      </c>
      <c r="S1359">
        <v>77.28</v>
      </c>
      <c r="T1359">
        <v>16</v>
      </c>
      <c r="U1359" s="1" t="s">
        <v>108</v>
      </c>
      <c r="V1359">
        <v>55.93</v>
      </c>
    </row>
    <row r="1360" spans="1:22" x14ac:dyDescent="0.3">
      <c r="A1360" s="2">
        <v>45399</v>
      </c>
      <c r="B1360">
        <v>63150</v>
      </c>
      <c r="C1360">
        <v>1568</v>
      </c>
      <c r="D1360">
        <v>4</v>
      </c>
      <c r="E1360" s="1" t="s">
        <v>43</v>
      </c>
      <c r="F1360">
        <v>2</v>
      </c>
      <c r="G1360" s="1" t="s">
        <v>23</v>
      </c>
      <c r="J1360">
        <v>63150</v>
      </c>
      <c r="K1360">
        <v>40500</v>
      </c>
      <c r="L1360">
        <v>39900</v>
      </c>
      <c r="M1360">
        <v>0</v>
      </c>
      <c r="N1360">
        <v>130.9393</v>
      </c>
      <c r="O1360">
        <v>0.25442740400000002</v>
      </c>
      <c r="P1360">
        <v>16312.200199999999</v>
      </c>
      <c r="Q1360">
        <v>27.64</v>
      </c>
      <c r="R1360">
        <v>1.33</v>
      </c>
      <c r="S1360">
        <v>81.94</v>
      </c>
      <c r="T1360">
        <v>17</v>
      </c>
      <c r="U1360" s="1" t="s">
        <v>25</v>
      </c>
      <c r="V1360">
        <v>0</v>
      </c>
    </row>
    <row r="1361" spans="1:22" x14ac:dyDescent="0.3">
      <c r="A1361" s="2">
        <v>45400</v>
      </c>
      <c r="B1361">
        <v>63150</v>
      </c>
      <c r="C1361">
        <v>1569</v>
      </c>
      <c r="D1361">
        <v>4</v>
      </c>
      <c r="E1361" s="1" t="s">
        <v>43</v>
      </c>
      <c r="F1361">
        <v>3</v>
      </c>
      <c r="G1361" s="1" t="s">
        <v>23</v>
      </c>
      <c r="J1361">
        <v>63150</v>
      </c>
      <c r="K1361">
        <v>40500</v>
      </c>
      <c r="L1361">
        <v>38650</v>
      </c>
      <c r="M1361">
        <v>0</v>
      </c>
      <c r="N1361">
        <v>130.9393</v>
      </c>
      <c r="O1361">
        <v>0.25442740400000002</v>
      </c>
      <c r="P1361">
        <v>16246</v>
      </c>
      <c r="Q1361">
        <v>27.43</v>
      </c>
      <c r="R1361">
        <v>2.23</v>
      </c>
      <c r="S1361">
        <v>84.09</v>
      </c>
      <c r="T1361">
        <v>18</v>
      </c>
      <c r="U1361" s="1" t="s">
        <v>25</v>
      </c>
      <c r="V1361">
        <v>0</v>
      </c>
    </row>
    <row r="1362" spans="1:22" x14ac:dyDescent="0.3">
      <c r="A1362" s="2">
        <v>45401</v>
      </c>
      <c r="B1362">
        <v>63150</v>
      </c>
      <c r="C1362">
        <v>1570</v>
      </c>
      <c r="D1362">
        <v>4</v>
      </c>
      <c r="E1362" s="1" t="s">
        <v>43</v>
      </c>
      <c r="F1362">
        <v>4</v>
      </c>
      <c r="G1362" s="1" t="s">
        <v>23</v>
      </c>
      <c r="J1362">
        <v>63150</v>
      </c>
      <c r="K1362">
        <v>40500</v>
      </c>
      <c r="L1362">
        <v>38650</v>
      </c>
      <c r="M1362">
        <v>0</v>
      </c>
      <c r="N1362">
        <v>130.9393</v>
      </c>
      <c r="O1362">
        <v>0.25442740400000002</v>
      </c>
      <c r="P1362">
        <v>16220</v>
      </c>
      <c r="Q1362">
        <v>27.36</v>
      </c>
      <c r="R1362">
        <v>2.31</v>
      </c>
      <c r="S1362">
        <v>83.89</v>
      </c>
      <c r="T1362">
        <v>19</v>
      </c>
      <c r="U1362" s="1" t="s">
        <v>25</v>
      </c>
      <c r="V1362">
        <v>0</v>
      </c>
    </row>
    <row r="1363" spans="1:22" x14ac:dyDescent="0.3">
      <c r="A1363" s="2">
        <v>45404</v>
      </c>
      <c r="B1363">
        <v>59900</v>
      </c>
      <c r="C1363">
        <v>1573</v>
      </c>
      <c r="D1363">
        <v>4</v>
      </c>
      <c r="E1363" s="1" t="s">
        <v>43</v>
      </c>
      <c r="F1363">
        <v>0</v>
      </c>
      <c r="G1363" s="1" t="s">
        <v>23</v>
      </c>
      <c r="K1363">
        <v>40500</v>
      </c>
      <c r="L1363">
        <v>39250</v>
      </c>
      <c r="N1363">
        <v>130.9393</v>
      </c>
      <c r="O1363">
        <v>0.25442740400000002</v>
      </c>
      <c r="P1363">
        <v>16210.299800000001</v>
      </c>
      <c r="Q1363">
        <v>27.82</v>
      </c>
      <c r="R1363">
        <v>4.3499999999999996</v>
      </c>
      <c r="S1363">
        <v>86.6</v>
      </c>
      <c r="T1363">
        <v>22</v>
      </c>
      <c r="U1363" s="1" t="s">
        <v>46</v>
      </c>
      <c r="V1363">
        <v>-5.15</v>
      </c>
    </row>
    <row r="1364" spans="1:22" x14ac:dyDescent="0.3">
      <c r="A1364" s="2">
        <v>45405</v>
      </c>
      <c r="B1364">
        <v>59900</v>
      </c>
      <c r="C1364">
        <v>1574</v>
      </c>
      <c r="D1364">
        <v>4</v>
      </c>
      <c r="E1364" s="1" t="s">
        <v>43</v>
      </c>
      <c r="F1364">
        <v>1</v>
      </c>
      <c r="G1364" s="1" t="s">
        <v>23</v>
      </c>
      <c r="J1364">
        <v>59900</v>
      </c>
      <c r="K1364">
        <v>63150</v>
      </c>
      <c r="L1364">
        <v>39250</v>
      </c>
      <c r="M1364">
        <v>0</v>
      </c>
      <c r="N1364">
        <v>130.9393</v>
      </c>
      <c r="O1364">
        <v>0.25442740400000002</v>
      </c>
      <c r="P1364">
        <v>16246</v>
      </c>
      <c r="Q1364">
        <v>27.89</v>
      </c>
      <c r="R1364">
        <v>5.23</v>
      </c>
      <c r="S1364">
        <v>81.67</v>
      </c>
      <c r="T1364">
        <v>23</v>
      </c>
      <c r="U1364" s="1" t="s">
        <v>25</v>
      </c>
      <c r="V1364">
        <v>0</v>
      </c>
    </row>
    <row r="1365" spans="1:22" x14ac:dyDescent="0.3">
      <c r="A1365" s="2">
        <v>45406</v>
      </c>
      <c r="B1365">
        <v>59150</v>
      </c>
      <c r="C1365">
        <v>1575</v>
      </c>
      <c r="D1365">
        <v>4</v>
      </c>
      <c r="E1365" s="1" t="s">
        <v>43</v>
      </c>
      <c r="F1365">
        <v>2</v>
      </c>
      <c r="G1365" s="1" t="s">
        <v>23</v>
      </c>
      <c r="J1365">
        <v>59900</v>
      </c>
      <c r="K1365">
        <v>63150</v>
      </c>
      <c r="L1365">
        <v>39250</v>
      </c>
      <c r="M1365">
        <v>-750</v>
      </c>
      <c r="N1365">
        <v>130.9393</v>
      </c>
      <c r="O1365">
        <v>0.25442740400000002</v>
      </c>
      <c r="P1365">
        <v>16140.200199999999</v>
      </c>
      <c r="Q1365">
        <v>27.78</v>
      </c>
      <c r="R1365">
        <v>1.7</v>
      </c>
      <c r="S1365">
        <v>84.47</v>
      </c>
      <c r="T1365">
        <v>24</v>
      </c>
      <c r="U1365" s="1" t="s">
        <v>42</v>
      </c>
      <c r="V1365">
        <v>-1.25</v>
      </c>
    </row>
    <row r="1366" spans="1:22" x14ac:dyDescent="0.3">
      <c r="A1366" s="2">
        <v>45407</v>
      </c>
      <c r="B1366">
        <v>59150</v>
      </c>
      <c r="C1366">
        <v>1576</v>
      </c>
      <c r="D1366">
        <v>4</v>
      </c>
      <c r="E1366" s="1" t="s">
        <v>43</v>
      </c>
      <c r="F1366">
        <v>3</v>
      </c>
      <c r="G1366" s="1" t="s">
        <v>23</v>
      </c>
      <c r="J1366">
        <v>59150</v>
      </c>
      <c r="K1366">
        <v>63150</v>
      </c>
      <c r="L1366">
        <v>39150</v>
      </c>
      <c r="M1366">
        <v>0</v>
      </c>
      <c r="N1366">
        <v>130.9393</v>
      </c>
      <c r="O1366">
        <v>0.25442740400000002</v>
      </c>
      <c r="P1366">
        <v>16220</v>
      </c>
      <c r="Q1366">
        <v>27.9</v>
      </c>
      <c r="R1366">
        <v>0.69</v>
      </c>
      <c r="S1366">
        <v>84.11</v>
      </c>
      <c r="T1366">
        <v>25</v>
      </c>
      <c r="U1366" s="1" t="s">
        <v>25</v>
      </c>
      <c r="V1366">
        <v>0</v>
      </c>
    </row>
    <row r="1367" spans="1:22" x14ac:dyDescent="0.3">
      <c r="A1367" s="2">
        <v>45408</v>
      </c>
      <c r="B1367">
        <v>58900</v>
      </c>
      <c r="C1367">
        <v>1577</v>
      </c>
      <c r="D1367">
        <v>4</v>
      </c>
      <c r="E1367" s="1" t="s">
        <v>43</v>
      </c>
      <c r="F1367">
        <v>4</v>
      </c>
      <c r="G1367" s="1" t="s">
        <v>23</v>
      </c>
      <c r="J1367">
        <v>59150</v>
      </c>
      <c r="K1367">
        <v>63150</v>
      </c>
      <c r="L1367">
        <v>39150</v>
      </c>
      <c r="M1367">
        <v>-250</v>
      </c>
      <c r="N1367">
        <v>130.9393</v>
      </c>
      <c r="O1367">
        <v>0.25442740400000002</v>
      </c>
      <c r="P1367">
        <v>16202</v>
      </c>
      <c r="Q1367">
        <v>27.67</v>
      </c>
      <c r="R1367">
        <v>2.23</v>
      </c>
      <c r="S1367">
        <v>85.6</v>
      </c>
      <c r="T1367">
        <v>26</v>
      </c>
      <c r="U1367" s="1" t="s">
        <v>35</v>
      </c>
      <c r="V1367">
        <v>-0.42</v>
      </c>
    </row>
    <row r="1368" spans="1:22" x14ac:dyDescent="0.3">
      <c r="A1368" s="2">
        <v>45409</v>
      </c>
      <c r="B1368">
        <v>58900</v>
      </c>
      <c r="C1368">
        <v>1578</v>
      </c>
      <c r="D1368">
        <v>4</v>
      </c>
      <c r="E1368" s="1" t="s">
        <v>43</v>
      </c>
      <c r="F1368">
        <v>5</v>
      </c>
      <c r="G1368" s="1" t="s">
        <v>23</v>
      </c>
      <c r="J1368">
        <v>58900</v>
      </c>
      <c r="L1368">
        <v>39750</v>
      </c>
      <c r="M1368">
        <v>0</v>
      </c>
      <c r="N1368">
        <v>130.9393</v>
      </c>
      <c r="O1368">
        <v>0.25442740400000002</v>
      </c>
      <c r="P1368">
        <v>16202</v>
      </c>
      <c r="Q1368">
        <v>27.77</v>
      </c>
      <c r="R1368">
        <v>11.56</v>
      </c>
      <c r="S1368">
        <v>85.11</v>
      </c>
      <c r="T1368">
        <v>27</v>
      </c>
      <c r="U1368" s="1" t="s">
        <v>35</v>
      </c>
      <c r="V1368">
        <v>-0.42</v>
      </c>
    </row>
    <row r="1369" spans="1:22" x14ac:dyDescent="0.3">
      <c r="A1369" s="2">
        <v>45410</v>
      </c>
      <c r="B1369">
        <v>58900</v>
      </c>
      <c r="C1369">
        <v>1579</v>
      </c>
      <c r="D1369">
        <v>4</v>
      </c>
      <c r="E1369" s="1" t="s">
        <v>43</v>
      </c>
      <c r="F1369">
        <v>6</v>
      </c>
      <c r="G1369" s="1" t="s">
        <v>23</v>
      </c>
      <c r="H1369">
        <v>59257.142857142855</v>
      </c>
      <c r="J1369">
        <v>58900</v>
      </c>
      <c r="L1369">
        <v>39750</v>
      </c>
      <c r="M1369">
        <v>0</v>
      </c>
      <c r="N1369">
        <v>130.9393</v>
      </c>
      <c r="O1369">
        <v>0.25442740400000002</v>
      </c>
      <c r="P1369">
        <v>16202</v>
      </c>
      <c r="Q1369">
        <v>27.73</v>
      </c>
      <c r="R1369">
        <v>7.1</v>
      </c>
      <c r="S1369">
        <v>85.41</v>
      </c>
      <c r="T1369">
        <v>28</v>
      </c>
      <c r="U1369" s="1" t="s">
        <v>35</v>
      </c>
      <c r="V1369">
        <v>-0.42</v>
      </c>
    </row>
    <row r="1370" spans="1:22" x14ac:dyDescent="0.3">
      <c r="A1370" s="2">
        <v>45411</v>
      </c>
      <c r="B1370">
        <v>58900</v>
      </c>
      <c r="C1370">
        <v>1580</v>
      </c>
      <c r="D1370">
        <v>4</v>
      </c>
      <c r="E1370" s="1" t="s">
        <v>43</v>
      </c>
      <c r="F1370">
        <v>0</v>
      </c>
      <c r="G1370" s="1" t="s">
        <v>23</v>
      </c>
      <c r="H1370">
        <v>59114.285714285717</v>
      </c>
      <c r="J1370">
        <v>58900</v>
      </c>
      <c r="K1370">
        <v>59900</v>
      </c>
      <c r="L1370">
        <v>39750</v>
      </c>
      <c r="M1370">
        <v>0</v>
      </c>
      <c r="N1370">
        <v>130.9393</v>
      </c>
      <c r="O1370">
        <v>0.25442740400000002</v>
      </c>
      <c r="P1370">
        <v>16203</v>
      </c>
      <c r="Q1370">
        <v>27.54</v>
      </c>
      <c r="R1370">
        <v>8.34</v>
      </c>
      <c r="S1370">
        <v>86.54</v>
      </c>
      <c r="T1370">
        <v>29</v>
      </c>
      <c r="U1370" s="1" t="s">
        <v>25</v>
      </c>
      <c r="V1370">
        <v>0</v>
      </c>
    </row>
    <row r="1371" spans="1:22" x14ac:dyDescent="0.3">
      <c r="A1371" s="2">
        <v>45412</v>
      </c>
      <c r="B1371">
        <v>60650</v>
      </c>
      <c r="C1371">
        <v>1581</v>
      </c>
      <c r="D1371">
        <v>4</v>
      </c>
      <c r="E1371" s="1" t="s">
        <v>43</v>
      </c>
      <c r="F1371">
        <v>1</v>
      </c>
      <c r="G1371" s="1" t="s">
        <v>23</v>
      </c>
      <c r="H1371">
        <v>59221.428571428572</v>
      </c>
      <c r="J1371">
        <v>58900</v>
      </c>
      <c r="K1371">
        <v>59900</v>
      </c>
      <c r="L1371">
        <v>39750</v>
      </c>
      <c r="M1371">
        <v>1750</v>
      </c>
      <c r="N1371">
        <v>130.9393</v>
      </c>
      <c r="O1371">
        <v>0.25442740400000002</v>
      </c>
      <c r="P1371">
        <v>16246</v>
      </c>
      <c r="Q1371">
        <v>27.22</v>
      </c>
      <c r="R1371">
        <v>31.38</v>
      </c>
      <c r="S1371">
        <v>84.07</v>
      </c>
      <c r="T1371">
        <v>30</v>
      </c>
      <c r="U1371" s="1" t="s">
        <v>41</v>
      </c>
      <c r="V1371">
        <v>2.97</v>
      </c>
    </row>
    <row r="1372" spans="1:22" x14ac:dyDescent="0.3">
      <c r="A1372" s="2">
        <v>45413</v>
      </c>
      <c r="B1372">
        <v>58400</v>
      </c>
      <c r="C1372">
        <v>1582</v>
      </c>
      <c r="D1372">
        <v>5</v>
      </c>
      <c r="E1372" s="1" t="s">
        <v>43</v>
      </c>
      <c r="F1372">
        <v>2</v>
      </c>
      <c r="G1372" s="1" t="s">
        <v>44</v>
      </c>
      <c r="H1372">
        <v>59114.285714285717</v>
      </c>
      <c r="J1372">
        <v>60650</v>
      </c>
      <c r="K1372">
        <v>59150</v>
      </c>
      <c r="L1372">
        <v>39150</v>
      </c>
      <c r="M1372">
        <v>-2250</v>
      </c>
      <c r="N1372">
        <v>130.9024</v>
      </c>
      <c r="O1372">
        <v>-2.8180996999999999E-2</v>
      </c>
      <c r="P1372">
        <v>16273</v>
      </c>
      <c r="Q1372">
        <v>27.67</v>
      </c>
      <c r="R1372">
        <v>5.1100000000000003</v>
      </c>
      <c r="S1372">
        <v>83.15</v>
      </c>
      <c r="T1372">
        <v>1</v>
      </c>
      <c r="U1372" s="1" t="s">
        <v>38</v>
      </c>
      <c r="V1372">
        <v>-3.71</v>
      </c>
    </row>
    <row r="1373" spans="1:22" x14ac:dyDescent="0.3">
      <c r="A1373" s="2">
        <v>45414</v>
      </c>
      <c r="B1373">
        <v>59150</v>
      </c>
      <c r="C1373">
        <v>1583</v>
      </c>
      <c r="D1373">
        <v>5</v>
      </c>
      <c r="E1373" s="1" t="s">
        <v>43</v>
      </c>
      <c r="F1373">
        <v>3</v>
      </c>
      <c r="G1373" s="1" t="s">
        <v>23</v>
      </c>
      <c r="H1373">
        <v>59114.285714285717</v>
      </c>
      <c r="J1373">
        <v>58400</v>
      </c>
      <c r="K1373">
        <v>59150</v>
      </c>
      <c r="L1373">
        <v>40250</v>
      </c>
      <c r="M1373">
        <v>750</v>
      </c>
      <c r="N1373">
        <v>130.9024</v>
      </c>
      <c r="O1373">
        <v>-2.8180996999999999E-2</v>
      </c>
      <c r="P1373">
        <v>16190.400390000001</v>
      </c>
      <c r="Q1373">
        <v>27.52</v>
      </c>
      <c r="R1373">
        <v>7.27</v>
      </c>
      <c r="S1373">
        <v>85.05</v>
      </c>
      <c r="T1373">
        <v>2</v>
      </c>
      <c r="U1373" s="1" t="s">
        <v>52</v>
      </c>
      <c r="V1373">
        <v>1.28</v>
      </c>
    </row>
    <row r="1374" spans="1:22" x14ac:dyDescent="0.3">
      <c r="A1374" s="2">
        <v>45415</v>
      </c>
      <c r="B1374">
        <v>58250</v>
      </c>
      <c r="C1374">
        <v>1584</v>
      </c>
      <c r="D1374">
        <v>5</v>
      </c>
      <c r="E1374" s="1" t="s">
        <v>43</v>
      </c>
      <c r="F1374">
        <v>4</v>
      </c>
      <c r="G1374" s="1" t="s">
        <v>23</v>
      </c>
      <c r="H1374">
        <v>59021.428571428572</v>
      </c>
      <c r="J1374">
        <v>59150</v>
      </c>
      <c r="K1374">
        <v>58900</v>
      </c>
      <c r="L1374">
        <v>40000</v>
      </c>
      <c r="M1374">
        <v>-900</v>
      </c>
      <c r="N1374">
        <v>130.9024</v>
      </c>
      <c r="O1374">
        <v>-2.8180996999999999E-2</v>
      </c>
      <c r="P1374">
        <v>16097</v>
      </c>
      <c r="Q1374">
        <v>27.8</v>
      </c>
      <c r="R1374">
        <v>11.27</v>
      </c>
      <c r="S1374">
        <v>85.49</v>
      </c>
      <c r="T1374">
        <v>3</v>
      </c>
      <c r="U1374" s="1" t="s">
        <v>67</v>
      </c>
      <c r="V1374">
        <v>-1.52</v>
      </c>
    </row>
    <row r="1375" spans="1:22" x14ac:dyDescent="0.3">
      <c r="A1375" s="2">
        <v>45416</v>
      </c>
      <c r="B1375">
        <v>58250</v>
      </c>
      <c r="C1375">
        <v>1585</v>
      </c>
      <c r="D1375">
        <v>5</v>
      </c>
      <c r="E1375" s="1" t="s">
        <v>43</v>
      </c>
      <c r="F1375">
        <v>5</v>
      </c>
      <c r="G1375" s="1" t="s">
        <v>23</v>
      </c>
      <c r="H1375">
        <v>58928.571428571428</v>
      </c>
      <c r="J1375">
        <v>58250</v>
      </c>
      <c r="K1375">
        <v>58900</v>
      </c>
      <c r="L1375">
        <v>40000</v>
      </c>
      <c r="M1375">
        <v>0</v>
      </c>
      <c r="N1375">
        <v>130.9024</v>
      </c>
      <c r="O1375">
        <v>-2.8180996999999999E-2</v>
      </c>
      <c r="P1375">
        <v>16097</v>
      </c>
      <c r="Q1375">
        <v>27.85</v>
      </c>
      <c r="R1375">
        <v>1.32</v>
      </c>
      <c r="S1375">
        <v>83.73</v>
      </c>
      <c r="T1375">
        <v>4</v>
      </c>
      <c r="U1375" s="1" t="s">
        <v>67</v>
      </c>
      <c r="V1375">
        <v>-1.52</v>
      </c>
    </row>
    <row r="1376" spans="1:22" x14ac:dyDescent="0.3">
      <c r="A1376" s="2">
        <v>45417</v>
      </c>
      <c r="B1376">
        <v>58250</v>
      </c>
      <c r="C1376">
        <v>1586</v>
      </c>
      <c r="D1376">
        <v>5</v>
      </c>
      <c r="E1376" s="1" t="s">
        <v>43</v>
      </c>
      <c r="F1376">
        <v>6</v>
      </c>
      <c r="G1376" s="1" t="s">
        <v>23</v>
      </c>
      <c r="H1376">
        <v>58835.714285714283</v>
      </c>
      <c r="J1376">
        <v>58250</v>
      </c>
      <c r="K1376">
        <v>58900</v>
      </c>
      <c r="L1376">
        <v>40500</v>
      </c>
      <c r="M1376">
        <v>0</v>
      </c>
      <c r="N1376">
        <v>130.9024</v>
      </c>
      <c r="O1376">
        <v>-2.8180996999999999E-2</v>
      </c>
      <c r="P1376">
        <v>16097</v>
      </c>
      <c r="Q1376">
        <v>27.34</v>
      </c>
      <c r="R1376">
        <v>3.52</v>
      </c>
      <c r="S1376">
        <v>85.82</v>
      </c>
      <c r="T1376">
        <v>5</v>
      </c>
      <c r="U1376" s="1" t="s">
        <v>67</v>
      </c>
      <c r="V1376">
        <v>-1.52</v>
      </c>
    </row>
    <row r="1377" spans="1:22" x14ac:dyDescent="0.3">
      <c r="A1377" s="2">
        <v>45418</v>
      </c>
      <c r="B1377">
        <v>55650</v>
      </c>
      <c r="C1377">
        <v>1587</v>
      </c>
      <c r="D1377">
        <v>5</v>
      </c>
      <c r="E1377" s="1" t="s">
        <v>43</v>
      </c>
      <c r="F1377">
        <v>0</v>
      </c>
      <c r="G1377" s="1" t="s">
        <v>23</v>
      </c>
      <c r="H1377">
        <v>58371.428571428572</v>
      </c>
      <c r="J1377">
        <v>58250</v>
      </c>
      <c r="K1377">
        <v>58900</v>
      </c>
      <c r="L1377">
        <v>40500</v>
      </c>
      <c r="M1377">
        <v>-2600</v>
      </c>
      <c r="N1377">
        <v>130.9024</v>
      </c>
      <c r="O1377">
        <v>-2.8180996999999999E-2</v>
      </c>
      <c r="P1377">
        <v>16077</v>
      </c>
      <c r="Q1377">
        <v>27.57</v>
      </c>
      <c r="R1377">
        <v>4.03</v>
      </c>
      <c r="S1377">
        <v>81.98</v>
      </c>
      <c r="T1377">
        <v>6</v>
      </c>
      <c r="U1377" s="1" t="s">
        <v>109</v>
      </c>
      <c r="V1377">
        <v>-4.46</v>
      </c>
    </row>
    <row r="1378" spans="1:22" x14ac:dyDescent="0.3">
      <c r="A1378" s="2">
        <v>45419</v>
      </c>
      <c r="B1378">
        <v>55000</v>
      </c>
      <c r="C1378">
        <v>1588</v>
      </c>
      <c r="D1378">
        <v>5</v>
      </c>
      <c r="E1378" s="1" t="s">
        <v>43</v>
      </c>
      <c r="F1378">
        <v>1</v>
      </c>
      <c r="G1378" s="1" t="s">
        <v>23</v>
      </c>
      <c r="H1378">
        <v>57564.285714285717</v>
      </c>
      <c r="J1378">
        <v>55650</v>
      </c>
      <c r="K1378">
        <v>60650</v>
      </c>
      <c r="L1378">
        <v>40500</v>
      </c>
      <c r="M1378">
        <v>-650</v>
      </c>
      <c r="N1378">
        <v>130.9024</v>
      </c>
      <c r="O1378">
        <v>-2.8180996999999999E-2</v>
      </c>
      <c r="P1378">
        <v>16034</v>
      </c>
      <c r="Q1378">
        <v>27.74</v>
      </c>
      <c r="R1378">
        <v>3.12</v>
      </c>
      <c r="S1378">
        <v>81.319999999999993</v>
      </c>
      <c r="T1378">
        <v>7</v>
      </c>
      <c r="U1378" s="1" t="s">
        <v>72</v>
      </c>
      <c r="V1378">
        <v>-1.17</v>
      </c>
    </row>
    <row r="1379" spans="1:22" x14ac:dyDescent="0.3">
      <c r="A1379" s="2">
        <v>45420</v>
      </c>
      <c r="B1379">
        <v>53500</v>
      </c>
      <c r="C1379">
        <v>1589</v>
      </c>
      <c r="D1379">
        <v>5</v>
      </c>
      <c r="E1379" s="1" t="s">
        <v>43</v>
      </c>
      <c r="F1379">
        <v>2</v>
      </c>
      <c r="G1379" s="1" t="s">
        <v>23</v>
      </c>
      <c r="H1379">
        <v>56864.285714285717</v>
      </c>
      <c r="J1379">
        <v>55000</v>
      </c>
      <c r="K1379">
        <v>58400</v>
      </c>
      <c r="L1379">
        <v>40500</v>
      </c>
      <c r="M1379">
        <v>-1500</v>
      </c>
      <c r="N1379">
        <v>130.9024</v>
      </c>
      <c r="O1379">
        <v>-2.8180996999999999E-2</v>
      </c>
      <c r="P1379">
        <v>16073</v>
      </c>
      <c r="Q1379">
        <v>27.76</v>
      </c>
      <c r="R1379">
        <v>2.42</v>
      </c>
      <c r="S1379">
        <v>81.25</v>
      </c>
      <c r="T1379">
        <v>8</v>
      </c>
      <c r="U1379" s="1" t="s">
        <v>37</v>
      </c>
      <c r="V1379">
        <v>-2.73</v>
      </c>
    </row>
    <row r="1380" spans="1:22" x14ac:dyDescent="0.3">
      <c r="A1380" s="2">
        <v>45421</v>
      </c>
      <c r="B1380">
        <v>53500</v>
      </c>
      <c r="C1380">
        <v>1590</v>
      </c>
      <c r="D1380">
        <v>5</v>
      </c>
      <c r="E1380" s="1" t="s">
        <v>43</v>
      </c>
      <c r="F1380">
        <v>3</v>
      </c>
      <c r="G1380" s="1" t="s">
        <v>23</v>
      </c>
      <c r="H1380">
        <v>56057.142857142855</v>
      </c>
      <c r="J1380">
        <v>53500</v>
      </c>
      <c r="K1380">
        <v>59150</v>
      </c>
      <c r="L1380">
        <v>40500</v>
      </c>
      <c r="M1380">
        <v>0</v>
      </c>
      <c r="N1380">
        <v>130.9024</v>
      </c>
      <c r="O1380">
        <v>-2.8180996999999999E-2</v>
      </c>
      <c r="P1380">
        <v>16074</v>
      </c>
      <c r="Q1380">
        <v>27.84</v>
      </c>
      <c r="R1380">
        <v>8.5500000000000007</v>
      </c>
      <c r="S1380">
        <v>78.97</v>
      </c>
      <c r="T1380">
        <v>9</v>
      </c>
      <c r="U1380" s="1" t="s">
        <v>25</v>
      </c>
      <c r="V1380">
        <v>0</v>
      </c>
    </row>
    <row r="1381" spans="1:22" x14ac:dyDescent="0.3">
      <c r="A1381" s="2">
        <v>45422</v>
      </c>
      <c r="B1381">
        <v>53500</v>
      </c>
      <c r="C1381">
        <v>1591</v>
      </c>
      <c r="D1381">
        <v>5</v>
      </c>
      <c r="E1381" s="1" t="s">
        <v>43</v>
      </c>
      <c r="F1381">
        <v>4</v>
      </c>
      <c r="G1381" s="1" t="s">
        <v>23</v>
      </c>
      <c r="H1381">
        <v>55378.571428571428</v>
      </c>
      <c r="J1381">
        <v>53500</v>
      </c>
      <c r="K1381">
        <v>58250</v>
      </c>
      <c r="L1381">
        <v>40500</v>
      </c>
      <c r="M1381">
        <v>0</v>
      </c>
      <c r="N1381">
        <v>130.9024</v>
      </c>
      <c r="O1381">
        <v>-2.8180996999999999E-2</v>
      </c>
      <c r="P1381">
        <v>16030</v>
      </c>
      <c r="Q1381">
        <v>27.79</v>
      </c>
      <c r="R1381">
        <v>0.15</v>
      </c>
      <c r="S1381">
        <v>82.38</v>
      </c>
      <c r="T1381">
        <v>10</v>
      </c>
      <c r="U1381" s="1" t="s">
        <v>25</v>
      </c>
      <c r="V1381">
        <v>0</v>
      </c>
    </row>
    <row r="1382" spans="1:22" x14ac:dyDescent="0.3">
      <c r="A1382" s="2">
        <v>45423</v>
      </c>
      <c r="B1382">
        <v>53500</v>
      </c>
      <c r="C1382">
        <v>1592</v>
      </c>
      <c r="D1382">
        <v>5</v>
      </c>
      <c r="E1382" s="1" t="s">
        <v>43</v>
      </c>
      <c r="F1382">
        <v>5</v>
      </c>
      <c r="G1382" s="1" t="s">
        <v>23</v>
      </c>
      <c r="H1382">
        <v>54700</v>
      </c>
      <c r="J1382">
        <v>53500</v>
      </c>
      <c r="K1382">
        <v>58250</v>
      </c>
      <c r="L1382">
        <v>40500</v>
      </c>
      <c r="M1382">
        <v>0</v>
      </c>
      <c r="N1382">
        <v>130.9024</v>
      </c>
      <c r="O1382">
        <v>-2.8180996999999999E-2</v>
      </c>
      <c r="P1382">
        <v>16030</v>
      </c>
      <c r="Q1382">
        <v>28.12</v>
      </c>
      <c r="R1382">
        <v>0.32</v>
      </c>
      <c r="S1382">
        <v>80.89</v>
      </c>
      <c r="T1382">
        <v>11</v>
      </c>
      <c r="U1382" s="1" t="s">
        <v>25</v>
      </c>
      <c r="V1382">
        <v>0</v>
      </c>
    </row>
    <row r="1383" spans="1:22" x14ac:dyDescent="0.3">
      <c r="A1383" s="2">
        <v>45424</v>
      </c>
      <c r="B1383">
        <v>53500</v>
      </c>
      <c r="C1383">
        <v>1593</v>
      </c>
      <c r="D1383">
        <v>5</v>
      </c>
      <c r="E1383" s="1" t="s">
        <v>43</v>
      </c>
      <c r="F1383">
        <v>6</v>
      </c>
      <c r="G1383" s="1" t="s">
        <v>23</v>
      </c>
      <c r="H1383">
        <v>54021.428571428572</v>
      </c>
      <c r="J1383">
        <v>53500</v>
      </c>
      <c r="K1383">
        <v>58250</v>
      </c>
      <c r="L1383">
        <v>40500</v>
      </c>
      <c r="M1383">
        <v>0</v>
      </c>
      <c r="N1383">
        <v>130.9024</v>
      </c>
      <c r="O1383">
        <v>-2.8180996999999999E-2</v>
      </c>
      <c r="P1383">
        <v>16030</v>
      </c>
      <c r="Q1383">
        <v>28.21</v>
      </c>
      <c r="R1383">
        <v>3.86</v>
      </c>
      <c r="S1383">
        <v>79.41</v>
      </c>
      <c r="T1383">
        <v>12</v>
      </c>
      <c r="U1383" s="1" t="s">
        <v>25</v>
      </c>
      <c r="V1383">
        <v>0</v>
      </c>
    </row>
    <row r="1384" spans="1:22" x14ac:dyDescent="0.3">
      <c r="A1384" s="2">
        <v>45425</v>
      </c>
      <c r="B1384">
        <v>52900</v>
      </c>
      <c r="C1384">
        <v>1594</v>
      </c>
      <c r="D1384">
        <v>5</v>
      </c>
      <c r="E1384" s="1" t="s">
        <v>43</v>
      </c>
      <c r="F1384">
        <v>0</v>
      </c>
      <c r="G1384" s="1" t="s">
        <v>23</v>
      </c>
      <c r="H1384">
        <v>53628.571428571428</v>
      </c>
      <c r="J1384">
        <v>53500</v>
      </c>
      <c r="K1384">
        <v>55650</v>
      </c>
      <c r="M1384">
        <v>-600</v>
      </c>
      <c r="N1384">
        <v>130.9024</v>
      </c>
      <c r="O1384">
        <v>-2.8180996999999999E-2</v>
      </c>
      <c r="P1384">
        <v>16038</v>
      </c>
      <c r="Q1384">
        <v>27.91</v>
      </c>
      <c r="R1384">
        <v>0.63</v>
      </c>
      <c r="S1384">
        <v>77.61</v>
      </c>
      <c r="T1384">
        <v>13</v>
      </c>
      <c r="U1384" s="1" t="s">
        <v>62</v>
      </c>
      <c r="V1384">
        <v>-1.1200000000000001</v>
      </c>
    </row>
    <row r="1385" spans="1:22" x14ac:dyDescent="0.3">
      <c r="A1385" s="2">
        <v>45426</v>
      </c>
      <c r="B1385">
        <v>51000</v>
      </c>
      <c r="C1385">
        <v>1595</v>
      </c>
      <c r="D1385">
        <v>5</v>
      </c>
      <c r="E1385" s="1" t="s">
        <v>43</v>
      </c>
      <c r="F1385">
        <v>1</v>
      </c>
      <c r="G1385" s="1" t="s">
        <v>23</v>
      </c>
      <c r="H1385">
        <v>53057.142857142855</v>
      </c>
      <c r="J1385">
        <v>52900</v>
      </c>
      <c r="K1385">
        <v>55000</v>
      </c>
      <c r="M1385">
        <v>-1900</v>
      </c>
      <c r="N1385">
        <v>130.9024</v>
      </c>
      <c r="O1385">
        <v>-2.8180996999999999E-2</v>
      </c>
      <c r="P1385">
        <v>16121</v>
      </c>
      <c r="Q1385">
        <v>28.57</v>
      </c>
      <c r="R1385">
        <v>11.84</v>
      </c>
      <c r="S1385">
        <v>75.849999999999994</v>
      </c>
      <c r="T1385">
        <v>14</v>
      </c>
      <c r="U1385" s="1" t="s">
        <v>86</v>
      </c>
      <c r="V1385">
        <v>-3.59</v>
      </c>
    </row>
    <row r="1386" spans="1:22" x14ac:dyDescent="0.3">
      <c r="A1386" s="2">
        <v>45427</v>
      </c>
      <c r="B1386">
        <v>51650</v>
      </c>
      <c r="C1386">
        <v>1596</v>
      </c>
      <c r="D1386">
        <v>5</v>
      </c>
      <c r="E1386" s="1" t="s">
        <v>43</v>
      </c>
      <c r="F1386">
        <v>2</v>
      </c>
      <c r="G1386" s="1" t="s">
        <v>23</v>
      </c>
      <c r="H1386">
        <v>52792.857142857145</v>
      </c>
      <c r="J1386">
        <v>51000</v>
      </c>
      <c r="K1386">
        <v>53500</v>
      </c>
      <c r="L1386">
        <v>40500</v>
      </c>
      <c r="M1386">
        <v>650</v>
      </c>
      <c r="N1386">
        <v>130.9024</v>
      </c>
      <c r="O1386">
        <v>-2.8180996999999999E-2</v>
      </c>
      <c r="P1386">
        <v>16102</v>
      </c>
      <c r="Q1386">
        <v>28.17</v>
      </c>
      <c r="R1386">
        <v>3.2</v>
      </c>
      <c r="S1386">
        <v>80.8</v>
      </c>
      <c r="T1386">
        <v>15</v>
      </c>
      <c r="U1386" s="1" t="s">
        <v>73</v>
      </c>
      <c r="V1386">
        <v>1.27</v>
      </c>
    </row>
    <row r="1387" spans="1:22" x14ac:dyDescent="0.3">
      <c r="A1387" s="2">
        <v>45428</v>
      </c>
      <c r="B1387">
        <v>51650</v>
      </c>
      <c r="C1387">
        <v>1597</v>
      </c>
      <c r="D1387">
        <v>5</v>
      </c>
      <c r="E1387" s="1" t="s">
        <v>43</v>
      </c>
      <c r="F1387">
        <v>3</v>
      </c>
      <c r="G1387" s="1" t="s">
        <v>23</v>
      </c>
      <c r="H1387">
        <v>52528.571428571428</v>
      </c>
      <c r="J1387">
        <v>51650</v>
      </c>
      <c r="K1387">
        <v>53500</v>
      </c>
      <c r="L1387">
        <v>63150</v>
      </c>
      <c r="M1387">
        <v>0</v>
      </c>
      <c r="N1387">
        <v>130.9024</v>
      </c>
      <c r="O1387">
        <v>-2.8180996999999999E-2</v>
      </c>
      <c r="P1387">
        <v>15914</v>
      </c>
      <c r="Q1387">
        <v>28.12</v>
      </c>
      <c r="R1387">
        <v>2.85</v>
      </c>
      <c r="S1387">
        <v>79.599999999999994</v>
      </c>
      <c r="T1387">
        <v>16</v>
      </c>
      <c r="U1387" s="1" t="s">
        <v>25</v>
      </c>
      <c r="V1387">
        <v>0</v>
      </c>
    </row>
    <row r="1388" spans="1:22" x14ac:dyDescent="0.3">
      <c r="A1388" s="2">
        <v>45429</v>
      </c>
      <c r="B1388">
        <v>50150</v>
      </c>
      <c r="C1388">
        <v>1598</v>
      </c>
      <c r="D1388">
        <v>5</v>
      </c>
      <c r="E1388" s="1" t="s">
        <v>43</v>
      </c>
      <c r="F1388">
        <v>4</v>
      </c>
      <c r="G1388" s="1" t="s">
        <v>23</v>
      </c>
      <c r="H1388">
        <v>52050</v>
      </c>
      <c r="J1388">
        <v>51650</v>
      </c>
      <c r="K1388">
        <v>53500</v>
      </c>
      <c r="L1388">
        <v>63150</v>
      </c>
      <c r="M1388">
        <v>-1500</v>
      </c>
      <c r="N1388">
        <v>130.9024</v>
      </c>
      <c r="O1388">
        <v>-2.8180996999999999E-2</v>
      </c>
      <c r="P1388">
        <v>15930.799800000001</v>
      </c>
      <c r="Q1388">
        <v>27.94</v>
      </c>
      <c r="R1388">
        <v>5.59</v>
      </c>
      <c r="S1388">
        <v>82.88</v>
      </c>
      <c r="T1388">
        <v>17</v>
      </c>
      <c r="U1388" s="1" t="s">
        <v>37</v>
      </c>
      <c r="V1388">
        <v>-2.9</v>
      </c>
    </row>
    <row r="1389" spans="1:22" x14ac:dyDescent="0.3">
      <c r="A1389" s="2">
        <v>45432</v>
      </c>
      <c r="B1389">
        <v>51400</v>
      </c>
      <c r="C1389">
        <v>1601</v>
      </c>
      <c r="D1389">
        <v>5</v>
      </c>
      <c r="E1389" s="1" t="s">
        <v>43</v>
      </c>
      <c r="F1389">
        <v>0</v>
      </c>
      <c r="G1389" s="1" t="s">
        <v>23</v>
      </c>
      <c r="K1389">
        <v>52900</v>
      </c>
      <c r="N1389">
        <v>130.9024</v>
      </c>
      <c r="O1389">
        <v>-2.8180996999999999E-2</v>
      </c>
      <c r="P1389">
        <v>15958</v>
      </c>
      <c r="Q1389">
        <v>28.44</v>
      </c>
      <c r="R1389">
        <v>0.34</v>
      </c>
      <c r="S1389">
        <v>80.98</v>
      </c>
      <c r="T1389">
        <v>20</v>
      </c>
      <c r="U1389" s="1" t="s">
        <v>36</v>
      </c>
      <c r="V1389">
        <v>2.4900000000000002</v>
      </c>
    </row>
    <row r="1390" spans="1:22" x14ac:dyDescent="0.3">
      <c r="A1390" s="2">
        <v>45433</v>
      </c>
      <c r="B1390">
        <v>50150</v>
      </c>
      <c r="C1390">
        <v>1602</v>
      </c>
      <c r="D1390">
        <v>5</v>
      </c>
      <c r="E1390" s="1" t="s">
        <v>43</v>
      </c>
      <c r="F1390">
        <v>1</v>
      </c>
      <c r="G1390" s="1" t="s">
        <v>23</v>
      </c>
      <c r="J1390">
        <v>51400</v>
      </c>
      <c r="K1390">
        <v>51000</v>
      </c>
      <c r="M1390">
        <v>-1250</v>
      </c>
      <c r="N1390">
        <v>130.9024</v>
      </c>
      <c r="O1390">
        <v>-2.8180996999999999E-2</v>
      </c>
      <c r="P1390">
        <v>16031</v>
      </c>
      <c r="Q1390">
        <v>28.35</v>
      </c>
      <c r="R1390">
        <v>1.58</v>
      </c>
      <c r="S1390">
        <v>82.13</v>
      </c>
      <c r="T1390">
        <v>21</v>
      </c>
      <c r="U1390" s="1" t="s">
        <v>40</v>
      </c>
      <c r="V1390">
        <v>-2.4300000000000002</v>
      </c>
    </row>
    <row r="1391" spans="1:22" x14ac:dyDescent="0.3">
      <c r="A1391" s="2">
        <v>45434</v>
      </c>
      <c r="B1391">
        <v>50150</v>
      </c>
      <c r="C1391">
        <v>1603</v>
      </c>
      <c r="D1391">
        <v>5</v>
      </c>
      <c r="E1391" s="1" t="s">
        <v>43</v>
      </c>
      <c r="F1391">
        <v>2</v>
      </c>
      <c r="G1391" s="1" t="s">
        <v>23</v>
      </c>
      <c r="J1391">
        <v>50150</v>
      </c>
      <c r="K1391">
        <v>51650</v>
      </c>
      <c r="L1391">
        <v>59900</v>
      </c>
      <c r="M1391">
        <v>0</v>
      </c>
      <c r="N1391">
        <v>130.9024</v>
      </c>
      <c r="O1391">
        <v>-2.8180996999999999E-2</v>
      </c>
      <c r="P1391">
        <v>16005</v>
      </c>
      <c r="Q1391">
        <v>28.32</v>
      </c>
      <c r="R1391">
        <v>2.48</v>
      </c>
      <c r="S1391">
        <v>83.31</v>
      </c>
      <c r="T1391">
        <v>22</v>
      </c>
      <c r="U1391" s="1" t="s">
        <v>25</v>
      </c>
      <c r="V1391">
        <v>0</v>
      </c>
    </row>
    <row r="1392" spans="1:22" x14ac:dyDescent="0.3">
      <c r="A1392" s="2">
        <v>45435</v>
      </c>
      <c r="B1392">
        <v>50150</v>
      </c>
      <c r="C1392">
        <v>1604</v>
      </c>
      <c r="D1392">
        <v>5</v>
      </c>
      <c r="E1392" s="1" t="s">
        <v>43</v>
      </c>
      <c r="F1392">
        <v>3</v>
      </c>
      <c r="G1392" s="1" t="s">
        <v>44</v>
      </c>
      <c r="J1392">
        <v>50150</v>
      </c>
      <c r="K1392">
        <v>51650</v>
      </c>
      <c r="L1392">
        <v>59900</v>
      </c>
      <c r="M1392">
        <v>0</v>
      </c>
      <c r="N1392">
        <v>130.9024</v>
      </c>
      <c r="O1392">
        <v>-2.8180996999999999E-2</v>
      </c>
      <c r="P1392">
        <v>16040.700199999999</v>
      </c>
      <c r="Q1392">
        <v>28.53</v>
      </c>
      <c r="R1392">
        <v>0.6</v>
      </c>
      <c r="S1392">
        <v>80.489999999999995</v>
      </c>
      <c r="T1392">
        <v>23</v>
      </c>
      <c r="U1392" s="1" t="s">
        <v>25</v>
      </c>
      <c r="V1392">
        <v>0</v>
      </c>
    </row>
    <row r="1393" spans="1:22" x14ac:dyDescent="0.3">
      <c r="A1393" s="2">
        <v>45436</v>
      </c>
      <c r="B1393">
        <v>50150</v>
      </c>
      <c r="C1393">
        <v>1605</v>
      </c>
      <c r="D1393">
        <v>5</v>
      </c>
      <c r="E1393" s="1" t="s">
        <v>43</v>
      </c>
      <c r="F1393">
        <v>4</v>
      </c>
      <c r="G1393" s="1" t="s">
        <v>23</v>
      </c>
      <c r="J1393">
        <v>50150</v>
      </c>
      <c r="K1393">
        <v>50150</v>
      </c>
      <c r="L1393">
        <v>59150</v>
      </c>
      <c r="M1393">
        <v>0</v>
      </c>
      <c r="N1393">
        <v>130.9024</v>
      </c>
      <c r="O1393">
        <v>-2.8180996999999999E-2</v>
      </c>
      <c r="P1393">
        <v>16095</v>
      </c>
      <c r="Q1393">
        <v>28.38</v>
      </c>
      <c r="R1393">
        <v>2.66</v>
      </c>
      <c r="S1393">
        <v>83.04</v>
      </c>
      <c r="T1393">
        <v>24</v>
      </c>
      <c r="U1393" s="1" t="s">
        <v>25</v>
      </c>
      <c r="V1393">
        <v>0</v>
      </c>
    </row>
    <row r="1394" spans="1:22" x14ac:dyDescent="0.3">
      <c r="A1394" s="2">
        <v>45439</v>
      </c>
      <c r="B1394">
        <v>50250</v>
      </c>
      <c r="C1394">
        <v>1608</v>
      </c>
      <c r="D1394">
        <v>5</v>
      </c>
      <c r="E1394" s="1" t="s">
        <v>43</v>
      </c>
      <c r="F1394">
        <v>0</v>
      </c>
      <c r="G1394" s="1" t="s">
        <v>23</v>
      </c>
      <c r="K1394">
        <v>51400</v>
      </c>
      <c r="L1394">
        <v>58900</v>
      </c>
      <c r="N1394">
        <v>130.9024</v>
      </c>
      <c r="O1394">
        <v>-2.8180996999999999E-2</v>
      </c>
      <c r="P1394">
        <v>16038</v>
      </c>
      <c r="Q1394">
        <v>27.48</v>
      </c>
      <c r="R1394">
        <v>7.66</v>
      </c>
      <c r="S1394">
        <v>79.319999999999993</v>
      </c>
      <c r="T1394">
        <v>27</v>
      </c>
      <c r="U1394" s="1" t="s">
        <v>65</v>
      </c>
      <c r="V1394">
        <v>0.2</v>
      </c>
    </row>
    <row r="1395" spans="1:22" x14ac:dyDescent="0.3">
      <c r="A1395" s="2">
        <v>45440</v>
      </c>
      <c r="B1395">
        <v>50000</v>
      </c>
      <c r="C1395">
        <v>1609</v>
      </c>
      <c r="D1395">
        <v>5</v>
      </c>
      <c r="E1395" s="1" t="s">
        <v>43</v>
      </c>
      <c r="F1395">
        <v>1</v>
      </c>
      <c r="G1395" s="1" t="s">
        <v>23</v>
      </c>
      <c r="J1395">
        <v>50250</v>
      </c>
      <c r="K1395">
        <v>50150</v>
      </c>
      <c r="L1395">
        <v>58900</v>
      </c>
      <c r="M1395">
        <v>-250</v>
      </c>
      <c r="N1395">
        <v>130.9024</v>
      </c>
      <c r="O1395">
        <v>-2.8180996999999999E-2</v>
      </c>
      <c r="P1395">
        <v>16071</v>
      </c>
      <c r="Q1395">
        <v>27.64</v>
      </c>
      <c r="R1395">
        <v>2.88</v>
      </c>
      <c r="S1395">
        <v>81.41</v>
      </c>
      <c r="T1395">
        <v>28</v>
      </c>
      <c r="U1395" s="1" t="s">
        <v>35</v>
      </c>
      <c r="V1395">
        <v>-0.5</v>
      </c>
    </row>
    <row r="1396" spans="1:22" x14ac:dyDescent="0.3">
      <c r="A1396" s="2">
        <v>45441</v>
      </c>
      <c r="B1396">
        <v>50000</v>
      </c>
      <c r="C1396">
        <v>1610</v>
      </c>
      <c r="D1396">
        <v>5</v>
      </c>
      <c r="E1396" s="1" t="s">
        <v>43</v>
      </c>
      <c r="F1396">
        <v>2</v>
      </c>
      <c r="G1396" s="1" t="s">
        <v>23</v>
      </c>
      <c r="J1396">
        <v>50000</v>
      </c>
      <c r="K1396">
        <v>50150</v>
      </c>
      <c r="L1396">
        <v>58900</v>
      </c>
      <c r="M1396">
        <v>0</v>
      </c>
      <c r="N1396">
        <v>130.9024</v>
      </c>
      <c r="O1396">
        <v>-2.8180996999999999E-2</v>
      </c>
      <c r="P1396">
        <v>16117</v>
      </c>
      <c r="Q1396">
        <v>28.11</v>
      </c>
      <c r="R1396">
        <v>0.92</v>
      </c>
      <c r="S1396">
        <v>82.02</v>
      </c>
      <c r="T1396">
        <v>29</v>
      </c>
      <c r="U1396" s="1" t="s">
        <v>25</v>
      </c>
      <c r="V1396">
        <v>0</v>
      </c>
    </row>
    <row r="1397" spans="1:22" x14ac:dyDescent="0.3">
      <c r="A1397" s="2">
        <v>45442</v>
      </c>
      <c r="B1397">
        <v>50400</v>
      </c>
      <c r="C1397">
        <v>1611</v>
      </c>
      <c r="D1397">
        <v>5</v>
      </c>
      <c r="E1397" s="1" t="s">
        <v>43</v>
      </c>
      <c r="F1397">
        <v>3</v>
      </c>
      <c r="G1397" s="1" t="s">
        <v>23</v>
      </c>
      <c r="J1397">
        <v>50000</v>
      </c>
      <c r="K1397">
        <v>50150</v>
      </c>
      <c r="L1397">
        <v>60650</v>
      </c>
      <c r="M1397">
        <v>400</v>
      </c>
      <c r="N1397">
        <v>130.9024</v>
      </c>
      <c r="O1397">
        <v>-2.8180996999999999E-2</v>
      </c>
      <c r="P1397">
        <v>16232.099609999999</v>
      </c>
      <c r="Q1397">
        <v>28.1</v>
      </c>
      <c r="R1397">
        <v>1.91</v>
      </c>
      <c r="S1397">
        <v>82.4</v>
      </c>
      <c r="T1397">
        <v>30</v>
      </c>
      <c r="U1397" s="1" t="s">
        <v>70</v>
      </c>
      <c r="V1397">
        <v>0.8</v>
      </c>
    </row>
    <row r="1398" spans="1:22" x14ac:dyDescent="0.3">
      <c r="A1398" s="2">
        <v>45443</v>
      </c>
      <c r="B1398">
        <v>50400</v>
      </c>
      <c r="C1398">
        <v>1612</v>
      </c>
      <c r="D1398">
        <v>5</v>
      </c>
      <c r="E1398" s="1" t="s">
        <v>43</v>
      </c>
      <c r="F1398">
        <v>4</v>
      </c>
      <c r="G1398" s="1" t="s">
        <v>23</v>
      </c>
      <c r="J1398">
        <v>50400</v>
      </c>
      <c r="K1398">
        <v>50150</v>
      </c>
      <c r="L1398">
        <v>58400</v>
      </c>
      <c r="M1398">
        <v>0</v>
      </c>
      <c r="N1398">
        <v>130.9024</v>
      </c>
      <c r="O1398">
        <v>-2.8180996999999999E-2</v>
      </c>
      <c r="P1398">
        <v>16228</v>
      </c>
      <c r="Q1398">
        <v>27.69</v>
      </c>
      <c r="R1398">
        <v>4.6500000000000004</v>
      </c>
      <c r="S1398">
        <v>87.41</v>
      </c>
      <c r="T1398">
        <v>31</v>
      </c>
      <c r="U1398" s="1" t="s">
        <v>25</v>
      </c>
      <c r="V1398">
        <v>0</v>
      </c>
    </row>
    <row r="1399" spans="1:22" x14ac:dyDescent="0.3">
      <c r="A1399" s="2">
        <v>45444</v>
      </c>
      <c r="B1399">
        <v>50400</v>
      </c>
      <c r="C1399">
        <v>1613</v>
      </c>
      <c r="D1399">
        <v>6</v>
      </c>
      <c r="E1399" s="1" t="s">
        <v>43</v>
      </c>
      <c r="F1399">
        <v>5</v>
      </c>
      <c r="G1399" s="1" t="s">
        <v>44</v>
      </c>
      <c r="J1399">
        <v>50400</v>
      </c>
      <c r="L1399">
        <v>59150</v>
      </c>
      <c r="M1399">
        <v>0</v>
      </c>
      <c r="N1399">
        <v>130.79159999999999</v>
      </c>
      <c r="O1399">
        <v>-8.4643214999999994E-2</v>
      </c>
      <c r="P1399">
        <v>16228</v>
      </c>
      <c r="Q1399">
        <v>27.86</v>
      </c>
      <c r="R1399">
        <v>5.49</v>
      </c>
      <c r="S1399">
        <v>85.49</v>
      </c>
      <c r="T1399">
        <v>1</v>
      </c>
      <c r="U1399" s="1" t="s">
        <v>25</v>
      </c>
      <c r="V1399">
        <v>0</v>
      </c>
    </row>
    <row r="1400" spans="1:22" x14ac:dyDescent="0.3">
      <c r="A1400" s="2">
        <v>45445</v>
      </c>
      <c r="B1400">
        <v>50400</v>
      </c>
      <c r="C1400">
        <v>1614</v>
      </c>
      <c r="D1400">
        <v>6</v>
      </c>
      <c r="E1400" s="1" t="s">
        <v>43</v>
      </c>
      <c r="F1400">
        <v>6</v>
      </c>
      <c r="G1400" s="1" t="s">
        <v>23</v>
      </c>
      <c r="H1400">
        <v>50264.285714285717</v>
      </c>
      <c r="J1400">
        <v>50400</v>
      </c>
      <c r="L1400">
        <v>58250</v>
      </c>
      <c r="M1400">
        <v>0</v>
      </c>
      <c r="N1400">
        <v>130.79159999999999</v>
      </c>
      <c r="O1400">
        <v>-8.4643214999999994E-2</v>
      </c>
      <c r="P1400">
        <v>16228</v>
      </c>
      <c r="Q1400">
        <v>27.89</v>
      </c>
      <c r="R1400">
        <v>0.86</v>
      </c>
      <c r="S1400">
        <v>83.2</v>
      </c>
      <c r="T1400">
        <v>2</v>
      </c>
      <c r="U1400" s="1" t="s">
        <v>25</v>
      </c>
      <c r="V1400">
        <v>0</v>
      </c>
    </row>
    <row r="1401" spans="1:22" x14ac:dyDescent="0.3">
      <c r="A1401" s="2">
        <v>45446</v>
      </c>
      <c r="B1401">
        <v>53150</v>
      </c>
      <c r="C1401">
        <v>1615</v>
      </c>
      <c r="D1401">
        <v>6</v>
      </c>
      <c r="E1401" s="1" t="s">
        <v>43</v>
      </c>
      <c r="F1401">
        <v>0</v>
      </c>
      <c r="G1401" s="1" t="s">
        <v>23</v>
      </c>
      <c r="H1401">
        <v>50678.571428571428</v>
      </c>
      <c r="J1401">
        <v>50400</v>
      </c>
      <c r="K1401">
        <v>50250</v>
      </c>
      <c r="L1401">
        <v>58250</v>
      </c>
      <c r="M1401">
        <v>2750</v>
      </c>
      <c r="N1401">
        <v>130.79159999999999</v>
      </c>
      <c r="O1401">
        <v>-8.4643214999999994E-2</v>
      </c>
      <c r="P1401">
        <v>16243</v>
      </c>
      <c r="Q1401">
        <v>28.31</v>
      </c>
      <c r="R1401">
        <v>1.17</v>
      </c>
      <c r="S1401">
        <v>80.430000000000007</v>
      </c>
      <c r="T1401">
        <v>3</v>
      </c>
      <c r="U1401" s="1" t="s">
        <v>58</v>
      </c>
      <c r="V1401">
        <v>5.46</v>
      </c>
    </row>
    <row r="1402" spans="1:22" x14ac:dyDescent="0.3">
      <c r="A1402" s="2">
        <v>45447</v>
      </c>
      <c r="B1402">
        <v>57650</v>
      </c>
      <c r="C1402">
        <v>1616</v>
      </c>
      <c r="D1402">
        <v>6</v>
      </c>
      <c r="E1402" s="1" t="s">
        <v>43</v>
      </c>
      <c r="F1402">
        <v>1</v>
      </c>
      <c r="G1402" s="1" t="s">
        <v>23</v>
      </c>
      <c r="H1402">
        <v>51771.428571428572</v>
      </c>
      <c r="J1402">
        <v>53150</v>
      </c>
      <c r="K1402">
        <v>50000</v>
      </c>
      <c r="L1402">
        <v>58250</v>
      </c>
      <c r="M1402">
        <v>4500</v>
      </c>
      <c r="N1402">
        <v>130.79159999999999</v>
      </c>
      <c r="O1402">
        <v>-8.4643214999999994E-2</v>
      </c>
      <c r="P1402">
        <v>16203</v>
      </c>
      <c r="Q1402">
        <v>27.62</v>
      </c>
      <c r="R1402">
        <v>20.81</v>
      </c>
      <c r="S1402">
        <v>85.99</v>
      </c>
      <c r="T1402">
        <v>4</v>
      </c>
      <c r="U1402" s="1" t="s">
        <v>57</v>
      </c>
      <c r="V1402">
        <v>8.4700000000000006</v>
      </c>
    </row>
    <row r="1403" spans="1:22" x14ac:dyDescent="0.3">
      <c r="A1403" s="2">
        <v>45448</v>
      </c>
      <c r="B1403">
        <v>57400</v>
      </c>
      <c r="C1403">
        <v>1617</v>
      </c>
      <c r="D1403">
        <v>6</v>
      </c>
      <c r="E1403" s="1" t="s">
        <v>43</v>
      </c>
      <c r="F1403">
        <v>2</v>
      </c>
      <c r="G1403" s="1" t="s">
        <v>23</v>
      </c>
      <c r="H1403">
        <v>52828.571428571428</v>
      </c>
      <c r="J1403">
        <v>57650</v>
      </c>
      <c r="K1403">
        <v>50000</v>
      </c>
      <c r="L1403">
        <v>55650</v>
      </c>
      <c r="M1403">
        <v>-250</v>
      </c>
      <c r="N1403">
        <v>130.79159999999999</v>
      </c>
      <c r="O1403">
        <v>-8.4643214999999994E-2</v>
      </c>
      <c r="P1403">
        <v>16276</v>
      </c>
      <c r="Q1403">
        <v>27.64</v>
      </c>
      <c r="R1403">
        <v>5.24</v>
      </c>
      <c r="S1403">
        <v>82.64</v>
      </c>
      <c r="T1403">
        <v>5</v>
      </c>
      <c r="U1403" s="1" t="s">
        <v>35</v>
      </c>
      <c r="V1403">
        <v>-0.43</v>
      </c>
    </row>
    <row r="1404" spans="1:22" x14ac:dyDescent="0.3">
      <c r="A1404" s="2">
        <v>45449</v>
      </c>
      <c r="B1404">
        <v>56150</v>
      </c>
      <c r="C1404">
        <v>1618</v>
      </c>
      <c r="D1404">
        <v>6</v>
      </c>
      <c r="E1404" s="1" t="s">
        <v>43</v>
      </c>
      <c r="F1404">
        <v>3</v>
      </c>
      <c r="G1404" s="1" t="s">
        <v>23</v>
      </c>
      <c r="H1404">
        <v>53650</v>
      </c>
      <c r="J1404">
        <v>57400</v>
      </c>
      <c r="K1404">
        <v>50400</v>
      </c>
      <c r="L1404">
        <v>55000</v>
      </c>
      <c r="M1404">
        <v>-1250</v>
      </c>
      <c r="N1404">
        <v>130.79159999999999</v>
      </c>
      <c r="O1404">
        <v>-8.4643214999999994E-2</v>
      </c>
      <c r="P1404">
        <v>16315</v>
      </c>
      <c r="Q1404">
        <v>27.08</v>
      </c>
      <c r="R1404">
        <v>9.58</v>
      </c>
      <c r="S1404">
        <v>84.75</v>
      </c>
      <c r="T1404">
        <v>6</v>
      </c>
      <c r="U1404" s="1" t="s">
        <v>40</v>
      </c>
      <c r="V1404">
        <v>-2.1800000000000002</v>
      </c>
    </row>
    <row r="1405" spans="1:22" x14ac:dyDescent="0.3">
      <c r="A1405" s="2">
        <v>45450</v>
      </c>
      <c r="B1405">
        <v>55650</v>
      </c>
      <c r="C1405">
        <v>1619</v>
      </c>
      <c r="D1405">
        <v>6</v>
      </c>
      <c r="E1405" s="1" t="s">
        <v>43</v>
      </c>
      <c r="F1405">
        <v>4</v>
      </c>
      <c r="G1405" s="1" t="s">
        <v>23</v>
      </c>
      <c r="H1405">
        <v>54400</v>
      </c>
      <c r="J1405">
        <v>56150</v>
      </c>
      <c r="K1405">
        <v>50400</v>
      </c>
      <c r="L1405">
        <v>53500</v>
      </c>
      <c r="M1405">
        <v>-500</v>
      </c>
      <c r="N1405">
        <v>130.79159999999999</v>
      </c>
      <c r="O1405">
        <v>-8.4643214999999994E-2</v>
      </c>
      <c r="P1405">
        <v>16241.700199999999</v>
      </c>
      <c r="Q1405">
        <v>27.04</v>
      </c>
      <c r="R1405">
        <v>8.5399999999999991</v>
      </c>
      <c r="S1405">
        <v>81.430000000000007</v>
      </c>
      <c r="T1405">
        <v>7</v>
      </c>
      <c r="U1405" s="1" t="s">
        <v>24</v>
      </c>
      <c r="V1405">
        <v>-0.89</v>
      </c>
    </row>
    <row r="1406" spans="1:22" x14ac:dyDescent="0.3">
      <c r="A1406" s="2">
        <v>45451</v>
      </c>
      <c r="B1406">
        <v>55650</v>
      </c>
      <c r="C1406">
        <v>1620</v>
      </c>
      <c r="D1406">
        <v>6</v>
      </c>
      <c r="E1406" s="1" t="s">
        <v>43</v>
      </c>
      <c r="F1406">
        <v>5</v>
      </c>
      <c r="G1406" s="1" t="s">
        <v>23</v>
      </c>
      <c r="H1406">
        <v>55150</v>
      </c>
      <c r="J1406">
        <v>55650</v>
      </c>
      <c r="K1406">
        <v>50400</v>
      </c>
      <c r="L1406">
        <v>53500</v>
      </c>
      <c r="M1406">
        <v>0</v>
      </c>
      <c r="N1406">
        <v>130.79159999999999</v>
      </c>
      <c r="O1406">
        <v>-8.4643214999999994E-2</v>
      </c>
      <c r="P1406">
        <v>16241.700199999999</v>
      </c>
      <c r="Q1406">
        <v>27.12</v>
      </c>
      <c r="R1406">
        <v>10.7</v>
      </c>
      <c r="S1406">
        <v>84</v>
      </c>
      <c r="T1406">
        <v>8</v>
      </c>
      <c r="U1406" s="1" t="s">
        <v>24</v>
      </c>
      <c r="V1406">
        <v>-0.89</v>
      </c>
    </row>
    <row r="1407" spans="1:22" x14ac:dyDescent="0.3">
      <c r="A1407" s="2">
        <v>45452</v>
      </c>
      <c r="B1407">
        <v>55650</v>
      </c>
      <c r="C1407">
        <v>1621</v>
      </c>
      <c r="D1407">
        <v>6</v>
      </c>
      <c r="E1407" s="1" t="s">
        <v>43</v>
      </c>
      <c r="F1407">
        <v>6</v>
      </c>
      <c r="G1407" s="1" t="s">
        <v>23</v>
      </c>
      <c r="H1407">
        <v>55900</v>
      </c>
      <c r="J1407">
        <v>55650</v>
      </c>
      <c r="K1407">
        <v>50400</v>
      </c>
      <c r="L1407">
        <v>53500</v>
      </c>
      <c r="M1407">
        <v>0</v>
      </c>
      <c r="N1407">
        <v>130.79159999999999</v>
      </c>
      <c r="O1407">
        <v>-8.4643214999999994E-2</v>
      </c>
      <c r="P1407">
        <v>16241.700199999999</v>
      </c>
      <c r="Q1407">
        <v>27.57</v>
      </c>
      <c r="R1407">
        <v>6.32</v>
      </c>
      <c r="S1407">
        <v>83.26</v>
      </c>
      <c r="T1407">
        <v>9</v>
      </c>
      <c r="U1407" s="1" t="s">
        <v>24</v>
      </c>
      <c r="V1407">
        <v>-0.89</v>
      </c>
    </row>
    <row r="1408" spans="1:22" x14ac:dyDescent="0.3">
      <c r="A1408" s="2">
        <v>45453</v>
      </c>
      <c r="B1408">
        <v>53650</v>
      </c>
      <c r="C1408">
        <v>1622</v>
      </c>
      <c r="D1408">
        <v>6</v>
      </c>
      <c r="E1408" s="1" t="s">
        <v>43</v>
      </c>
      <c r="F1408">
        <v>0</v>
      </c>
      <c r="G1408" s="1" t="s">
        <v>23</v>
      </c>
      <c r="H1408">
        <v>55971.428571428572</v>
      </c>
      <c r="J1408">
        <v>55650</v>
      </c>
      <c r="K1408">
        <v>53150</v>
      </c>
      <c r="L1408">
        <v>53500</v>
      </c>
      <c r="M1408">
        <v>-2000</v>
      </c>
      <c r="N1408">
        <v>130.79159999999999</v>
      </c>
      <c r="O1408">
        <v>-8.4643214999999994E-2</v>
      </c>
      <c r="P1408">
        <v>16270</v>
      </c>
      <c r="Q1408">
        <v>27.53</v>
      </c>
      <c r="R1408">
        <v>6.49</v>
      </c>
      <c r="S1408">
        <v>81.27</v>
      </c>
      <c r="T1408">
        <v>10</v>
      </c>
      <c r="U1408" s="1" t="s">
        <v>45</v>
      </c>
      <c r="V1408">
        <v>-3.59</v>
      </c>
    </row>
    <row r="1409" spans="1:22" x14ac:dyDescent="0.3">
      <c r="A1409" s="2">
        <v>45454</v>
      </c>
      <c r="B1409">
        <v>51400</v>
      </c>
      <c r="C1409">
        <v>1623</v>
      </c>
      <c r="D1409">
        <v>6</v>
      </c>
      <c r="E1409" s="1" t="s">
        <v>43</v>
      </c>
      <c r="F1409">
        <v>1</v>
      </c>
      <c r="G1409" s="1" t="s">
        <v>23</v>
      </c>
      <c r="H1409">
        <v>55078.571428571428</v>
      </c>
      <c r="J1409">
        <v>53650</v>
      </c>
      <c r="K1409">
        <v>57650</v>
      </c>
      <c r="L1409">
        <v>53500</v>
      </c>
      <c r="M1409">
        <v>-2250</v>
      </c>
      <c r="N1409">
        <v>130.79159999999999</v>
      </c>
      <c r="O1409">
        <v>-8.4643214999999994E-2</v>
      </c>
      <c r="P1409">
        <v>16312</v>
      </c>
      <c r="Q1409">
        <v>27.35</v>
      </c>
      <c r="R1409">
        <v>3.78</v>
      </c>
      <c r="S1409">
        <v>81.11</v>
      </c>
      <c r="T1409">
        <v>11</v>
      </c>
      <c r="U1409" s="1" t="s">
        <v>38</v>
      </c>
      <c r="V1409">
        <v>-4.1900000000000004</v>
      </c>
    </row>
    <row r="1410" spans="1:22" x14ac:dyDescent="0.3">
      <c r="A1410" s="2">
        <v>45455</v>
      </c>
      <c r="B1410">
        <v>51400</v>
      </c>
      <c r="C1410">
        <v>1624</v>
      </c>
      <c r="D1410">
        <v>6</v>
      </c>
      <c r="E1410" s="1" t="s">
        <v>43</v>
      </c>
      <c r="F1410">
        <v>2</v>
      </c>
      <c r="G1410" s="1" t="s">
        <v>23</v>
      </c>
      <c r="H1410">
        <v>54221.428571428572</v>
      </c>
      <c r="J1410">
        <v>51400</v>
      </c>
      <c r="K1410">
        <v>57400</v>
      </c>
      <c r="L1410">
        <v>52900</v>
      </c>
      <c r="M1410">
        <v>0</v>
      </c>
      <c r="N1410">
        <v>130.79159999999999</v>
      </c>
      <c r="O1410">
        <v>-8.4643214999999994E-2</v>
      </c>
      <c r="P1410">
        <v>16305.400390000001</v>
      </c>
      <c r="Q1410">
        <v>26.97</v>
      </c>
      <c r="R1410">
        <v>3.65</v>
      </c>
      <c r="S1410">
        <v>82.96</v>
      </c>
      <c r="T1410">
        <v>12</v>
      </c>
      <c r="U1410" s="1" t="s">
        <v>25</v>
      </c>
      <c r="V1410">
        <v>0</v>
      </c>
    </row>
    <row r="1411" spans="1:22" x14ac:dyDescent="0.3">
      <c r="A1411" s="2">
        <v>45456</v>
      </c>
      <c r="B1411">
        <v>50900</v>
      </c>
      <c r="C1411">
        <v>1625</v>
      </c>
      <c r="D1411">
        <v>6</v>
      </c>
      <c r="E1411" s="1" t="s">
        <v>43</v>
      </c>
      <c r="F1411">
        <v>3</v>
      </c>
      <c r="G1411" s="1" t="s">
        <v>23</v>
      </c>
      <c r="H1411">
        <v>53471.428571428572</v>
      </c>
      <c r="J1411">
        <v>51400</v>
      </c>
      <c r="K1411">
        <v>56150</v>
      </c>
      <c r="L1411">
        <v>51000</v>
      </c>
      <c r="M1411">
        <v>-500</v>
      </c>
      <c r="N1411">
        <v>130.79159999999999</v>
      </c>
      <c r="O1411">
        <v>-8.4643214999999994E-2</v>
      </c>
      <c r="P1411">
        <v>16230</v>
      </c>
      <c r="Q1411">
        <v>26.97</v>
      </c>
      <c r="R1411">
        <v>23.08</v>
      </c>
      <c r="S1411">
        <v>86.1</v>
      </c>
      <c r="T1411">
        <v>13</v>
      </c>
      <c r="U1411" s="1" t="s">
        <v>24</v>
      </c>
      <c r="V1411">
        <v>-0.97</v>
      </c>
    </row>
    <row r="1412" spans="1:22" x14ac:dyDescent="0.3">
      <c r="A1412" s="2">
        <v>45457</v>
      </c>
      <c r="B1412">
        <v>50250</v>
      </c>
      <c r="C1412">
        <v>1626</v>
      </c>
      <c r="D1412">
        <v>6</v>
      </c>
      <c r="E1412" s="1" t="s">
        <v>43</v>
      </c>
      <c r="F1412">
        <v>4</v>
      </c>
      <c r="G1412" s="1" t="s">
        <v>23</v>
      </c>
      <c r="H1412">
        <v>52700</v>
      </c>
      <c r="J1412">
        <v>50900</v>
      </c>
      <c r="K1412">
        <v>55650</v>
      </c>
      <c r="L1412">
        <v>51650</v>
      </c>
      <c r="M1412">
        <v>-650</v>
      </c>
      <c r="N1412">
        <v>130.79159999999999</v>
      </c>
      <c r="O1412">
        <v>-8.4643214999999994E-2</v>
      </c>
      <c r="P1412">
        <v>16286</v>
      </c>
      <c r="Q1412">
        <v>26.48</v>
      </c>
      <c r="R1412">
        <v>11.34</v>
      </c>
      <c r="S1412">
        <v>84.09</v>
      </c>
      <c r="T1412">
        <v>14</v>
      </c>
      <c r="U1412" s="1" t="s">
        <v>72</v>
      </c>
      <c r="V1412">
        <v>-1.28</v>
      </c>
    </row>
    <row r="1413" spans="1:22" x14ac:dyDescent="0.3">
      <c r="A1413" s="2">
        <v>45458</v>
      </c>
      <c r="B1413">
        <v>50250</v>
      </c>
      <c r="C1413">
        <v>1627</v>
      </c>
      <c r="D1413">
        <v>6</v>
      </c>
      <c r="E1413" s="1" t="s">
        <v>43</v>
      </c>
      <c r="F1413">
        <v>5</v>
      </c>
      <c r="G1413" s="1" t="s">
        <v>23</v>
      </c>
      <c r="H1413">
        <v>51928.571428571428</v>
      </c>
      <c r="J1413">
        <v>50250</v>
      </c>
      <c r="K1413">
        <v>55650</v>
      </c>
      <c r="L1413">
        <v>51650</v>
      </c>
      <c r="M1413">
        <v>0</v>
      </c>
      <c r="N1413">
        <v>130.79159999999999</v>
      </c>
      <c r="O1413">
        <v>-8.4643214999999994E-2</v>
      </c>
      <c r="P1413">
        <v>16286</v>
      </c>
      <c r="Q1413">
        <v>26.11</v>
      </c>
      <c r="R1413">
        <v>4.08</v>
      </c>
      <c r="S1413">
        <v>82.31</v>
      </c>
      <c r="T1413">
        <v>15</v>
      </c>
      <c r="U1413" s="1" t="s">
        <v>72</v>
      </c>
      <c r="V1413">
        <v>-1.28</v>
      </c>
    </row>
    <row r="1414" spans="1:22" x14ac:dyDescent="0.3">
      <c r="A1414" s="2">
        <v>45459</v>
      </c>
      <c r="B1414">
        <v>50250</v>
      </c>
      <c r="C1414">
        <v>1628</v>
      </c>
      <c r="D1414">
        <v>6</v>
      </c>
      <c r="E1414" s="1" t="s">
        <v>43</v>
      </c>
      <c r="F1414">
        <v>6</v>
      </c>
      <c r="G1414" s="1" t="s">
        <v>23</v>
      </c>
      <c r="H1414">
        <v>51157.142857142855</v>
      </c>
      <c r="J1414">
        <v>50250</v>
      </c>
      <c r="K1414">
        <v>55650</v>
      </c>
      <c r="L1414">
        <v>50150</v>
      </c>
      <c r="M1414">
        <v>0</v>
      </c>
      <c r="N1414">
        <v>130.79159999999999</v>
      </c>
      <c r="O1414">
        <v>-8.4643214999999994E-2</v>
      </c>
      <c r="P1414">
        <v>16286</v>
      </c>
      <c r="Q1414">
        <v>26.94</v>
      </c>
      <c r="R1414">
        <v>2.5</v>
      </c>
      <c r="S1414">
        <v>79.91</v>
      </c>
      <c r="T1414">
        <v>16</v>
      </c>
      <c r="U1414" s="1" t="s">
        <v>72</v>
      </c>
      <c r="V1414">
        <v>-1.28</v>
      </c>
    </row>
    <row r="1415" spans="1:22" x14ac:dyDescent="0.3">
      <c r="A1415" s="2">
        <v>45460</v>
      </c>
      <c r="B1415">
        <v>50250</v>
      </c>
      <c r="C1415">
        <v>1629</v>
      </c>
      <c r="D1415">
        <v>6</v>
      </c>
      <c r="E1415" s="1" t="s">
        <v>43</v>
      </c>
      <c r="F1415">
        <v>0</v>
      </c>
      <c r="G1415" s="1" t="s">
        <v>44</v>
      </c>
      <c r="H1415">
        <v>50671.428571428572</v>
      </c>
      <c r="J1415">
        <v>50250</v>
      </c>
      <c r="K1415">
        <v>53650</v>
      </c>
      <c r="M1415">
        <v>0</v>
      </c>
      <c r="N1415">
        <v>130.79159999999999</v>
      </c>
      <c r="O1415">
        <v>-8.4643214999999994E-2</v>
      </c>
      <c r="P1415">
        <v>16479.900389999999</v>
      </c>
      <c r="Q1415">
        <v>26.91</v>
      </c>
      <c r="R1415">
        <v>5.54</v>
      </c>
      <c r="S1415">
        <v>85.63</v>
      </c>
      <c r="T1415">
        <v>17</v>
      </c>
      <c r="U1415" s="1" t="s">
        <v>25</v>
      </c>
      <c r="V1415">
        <v>0</v>
      </c>
    </row>
    <row r="1416" spans="1:22" x14ac:dyDescent="0.3">
      <c r="A1416" s="2">
        <v>45461</v>
      </c>
      <c r="B1416">
        <v>50250</v>
      </c>
      <c r="C1416">
        <v>1630</v>
      </c>
      <c r="D1416">
        <v>6</v>
      </c>
      <c r="E1416" s="1" t="s">
        <v>43</v>
      </c>
      <c r="F1416">
        <v>1</v>
      </c>
      <c r="G1416" s="1" t="s">
        <v>23</v>
      </c>
      <c r="H1416">
        <v>50507.142857142855</v>
      </c>
      <c r="J1416">
        <v>50250</v>
      </c>
      <c r="K1416">
        <v>51400</v>
      </c>
      <c r="M1416">
        <v>0</v>
      </c>
      <c r="N1416">
        <v>130.79159999999999</v>
      </c>
      <c r="O1416">
        <v>-8.4643214999999994E-2</v>
      </c>
      <c r="P1416">
        <v>16479</v>
      </c>
      <c r="Q1416">
        <v>26.71</v>
      </c>
      <c r="R1416">
        <v>5.51</v>
      </c>
      <c r="S1416">
        <v>86.11</v>
      </c>
      <c r="T1416">
        <v>18</v>
      </c>
      <c r="U1416" s="1" t="s">
        <v>25</v>
      </c>
      <c r="V1416">
        <v>0</v>
      </c>
    </row>
    <row r="1417" spans="1:22" x14ac:dyDescent="0.3">
      <c r="A1417" s="2">
        <v>45462</v>
      </c>
      <c r="B1417">
        <v>50000</v>
      </c>
      <c r="C1417">
        <v>1631</v>
      </c>
      <c r="D1417">
        <v>6</v>
      </c>
      <c r="E1417" s="1" t="s">
        <v>43</v>
      </c>
      <c r="F1417">
        <v>2</v>
      </c>
      <c r="G1417" s="1" t="s">
        <v>23</v>
      </c>
      <c r="H1417">
        <v>50307.142857142855</v>
      </c>
      <c r="J1417">
        <v>50250</v>
      </c>
      <c r="K1417">
        <v>51400</v>
      </c>
      <c r="L1417">
        <v>51400</v>
      </c>
      <c r="M1417">
        <v>-250</v>
      </c>
      <c r="N1417">
        <v>130.79159999999999</v>
      </c>
      <c r="O1417">
        <v>-8.4643214999999994E-2</v>
      </c>
      <c r="P1417">
        <v>16379</v>
      </c>
      <c r="Q1417">
        <v>26.51</v>
      </c>
      <c r="R1417">
        <v>23.86</v>
      </c>
      <c r="S1417">
        <v>88.27</v>
      </c>
      <c r="T1417">
        <v>19</v>
      </c>
      <c r="U1417" s="1" t="s">
        <v>35</v>
      </c>
      <c r="V1417">
        <v>-0.5</v>
      </c>
    </row>
    <row r="1418" spans="1:22" x14ac:dyDescent="0.3">
      <c r="A1418" s="2">
        <v>45463</v>
      </c>
      <c r="B1418">
        <v>50000</v>
      </c>
      <c r="C1418">
        <v>1632</v>
      </c>
      <c r="D1418">
        <v>6</v>
      </c>
      <c r="E1418" s="1" t="s">
        <v>43</v>
      </c>
      <c r="F1418">
        <v>3</v>
      </c>
      <c r="G1418" s="1" t="s">
        <v>23</v>
      </c>
      <c r="H1418">
        <v>50178.571428571428</v>
      </c>
      <c r="J1418">
        <v>50000</v>
      </c>
      <c r="K1418">
        <v>50900</v>
      </c>
      <c r="L1418">
        <v>50150</v>
      </c>
      <c r="M1418">
        <v>0</v>
      </c>
      <c r="N1418">
        <v>130.79159999999999</v>
      </c>
      <c r="O1418">
        <v>-8.4643214999999994E-2</v>
      </c>
      <c r="P1418">
        <v>16380.900390000001</v>
      </c>
      <c r="Q1418">
        <v>26.5</v>
      </c>
      <c r="R1418">
        <v>12.17</v>
      </c>
      <c r="S1418">
        <v>84.95</v>
      </c>
      <c r="T1418">
        <v>20</v>
      </c>
      <c r="U1418" s="1" t="s">
        <v>25</v>
      </c>
      <c r="V1418">
        <v>0</v>
      </c>
    </row>
    <row r="1419" spans="1:22" x14ac:dyDescent="0.3">
      <c r="A1419" s="2">
        <v>45464</v>
      </c>
      <c r="B1419">
        <v>49500</v>
      </c>
      <c r="C1419">
        <v>1633</v>
      </c>
      <c r="D1419">
        <v>6</v>
      </c>
      <c r="E1419" s="1" t="s">
        <v>43</v>
      </c>
      <c r="F1419">
        <v>4</v>
      </c>
      <c r="G1419" s="1" t="s">
        <v>23</v>
      </c>
      <c r="H1419">
        <v>50071.428571428572</v>
      </c>
      <c r="J1419">
        <v>50000</v>
      </c>
      <c r="K1419">
        <v>50250</v>
      </c>
      <c r="L1419">
        <v>50150</v>
      </c>
      <c r="M1419">
        <v>-500</v>
      </c>
      <c r="N1419">
        <v>130.79159999999999</v>
      </c>
      <c r="O1419">
        <v>-8.4643214999999994E-2</v>
      </c>
      <c r="P1419">
        <v>16491.900389999999</v>
      </c>
      <c r="Q1419">
        <v>26.35</v>
      </c>
      <c r="R1419">
        <v>6.54</v>
      </c>
      <c r="S1419">
        <v>85.88</v>
      </c>
      <c r="T1419">
        <v>21</v>
      </c>
      <c r="U1419" s="1" t="s">
        <v>24</v>
      </c>
      <c r="V1419">
        <v>-1</v>
      </c>
    </row>
    <row r="1420" spans="1:22" x14ac:dyDescent="0.3">
      <c r="A1420" s="2">
        <v>45465</v>
      </c>
      <c r="B1420">
        <v>49500</v>
      </c>
      <c r="C1420">
        <v>1634</v>
      </c>
      <c r="D1420">
        <v>6</v>
      </c>
      <c r="E1420" s="1" t="s">
        <v>43</v>
      </c>
      <c r="F1420">
        <v>5</v>
      </c>
      <c r="G1420" s="1" t="s">
        <v>23</v>
      </c>
      <c r="H1420">
        <v>49964.285714285717</v>
      </c>
      <c r="J1420">
        <v>49500</v>
      </c>
      <c r="K1420">
        <v>50250</v>
      </c>
      <c r="L1420">
        <v>50150</v>
      </c>
      <c r="M1420">
        <v>0</v>
      </c>
      <c r="N1420">
        <v>130.79159999999999</v>
      </c>
      <c r="O1420">
        <v>-8.4643214999999994E-2</v>
      </c>
      <c r="P1420">
        <v>16491.900389999999</v>
      </c>
      <c r="Q1420">
        <v>26.57</v>
      </c>
      <c r="R1420">
        <v>8.31</v>
      </c>
      <c r="S1420">
        <v>87.25</v>
      </c>
      <c r="T1420">
        <v>22</v>
      </c>
      <c r="U1420" s="1" t="s">
        <v>24</v>
      </c>
      <c r="V1420">
        <v>-1</v>
      </c>
    </row>
    <row r="1421" spans="1:22" x14ac:dyDescent="0.3">
      <c r="A1421" s="2">
        <v>45466</v>
      </c>
      <c r="B1421">
        <v>49500</v>
      </c>
      <c r="C1421">
        <v>1635</v>
      </c>
      <c r="D1421">
        <v>6</v>
      </c>
      <c r="E1421" s="1" t="s">
        <v>43</v>
      </c>
      <c r="F1421">
        <v>6</v>
      </c>
      <c r="G1421" s="1" t="s">
        <v>23</v>
      </c>
      <c r="H1421">
        <v>49857.142857142855</v>
      </c>
      <c r="J1421">
        <v>49500</v>
      </c>
      <c r="K1421">
        <v>50250</v>
      </c>
      <c r="L1421">
        <v>50150</v>
      </c>
      <c r="M1421">
        <v>0</v>
      </c>
      <c r="N1421">
        <v>130.79159999999999</v>
      </c>
      <c r="O1421">
        <v>-8.4643214999999994E-2</v>
      </c>
      <c r="P1421">
        <v>16491.900389999999</v>
      </c>
      <c r="Q1421">
        <v>26.63</v>
      </c>
      <c r="R1421">
        <v>13.22</v>
      </c>
      <c r="S1421">
        <v>83.9</v>
      </c>
      <c r="T1421">
        <v>23</v>
      </c>
      <c r="U1421" s="1" t="s">
        <v>24</v>
      </c>
      <c r="V1421">
        <v>-1</v>
      </c>
    </row>
    <row r="1422" spans="1:22" x14ac:dyDescent="0.3">
      <c r="A1422" s="2">
        <v>45467</v>
      </c>
      <c r="B1422">
        <v>48000</v>
      </c>
      <c r="C1422">
        <v>1636</v>
      </c>
      <c r="D1422">
        <v>6</v>
      </c>
      <c r="E1422" s="1" t="s">
        <v>43</v>
      </c>
      <c r="F1422">
        <v>0</v>
      </c>
      <c r="G1422" s="1" t="s">
        <v>23</v>
      </c>
      <c r="H1422">
        <v>49535.714285714283</v>
      </c>
      <c r="J1422">
        <v>49500</v>
      </c>
      <c r="K1422">
        <v>50250</v>
      </c>
      <c r="M1422">
        <v>-1500</v>
      </c>
      <c r="N1422">
        <v>130.79159999999999</v>
      </c>
      <c r="O1422">
        <v>-8.4643214999999994E-2</v>
      </c>
      <c r="P1422">
        <v>16443</v>
      </c>
      <c r="Q1422">
        <v>26.92</v>
      </c>
      <c r="R1422">
        <v>32.58</v>
      </c>
      <c r="S1422">
        <v>83.73</v>
      </c>
      <c r="T1422">
        <v>24</v>
      </c>
      <c r="U1422" s="1" t="s">
        <v>37</v>
      </c>
      <c r="V1422">
        <v>-3.03</v>
      </c>
    </row>
    <row r="1423" spans="1:22" x14ac:dyDescent="0.3">
      <c r="A1423" s="2">
        <v>45468</v>
      </c>
      <c r="B1423">
        <v>46250</v>
      </c>
      <c r="C1423">
        <v>1637</v>
      </c>
      <c r="D1423">
        <v>6</v>
      </c>
      <c r="E1423" s="1" t="s">
        <v>43</v>
      </c>
      <c r="F1423">
        <v>1</v>
      </c>
      <c r="G1423" s="1" t="s">
        <v>23</v>
      </c>
      <c r="H1423">
        <v>48964.285714285717</v>
      </c>
      <c r="I1423">
        <v>51483.333333333336</v>
      </c>
      <c r="J1423">
        <v>48000</v>
      </c>
      <c r="K1423">
        <v>50250</v>
      </c>
      <c r="M1423">
        <v>-1750</v>
      </c>
      <c r="N1423">
        <v>130.79159999999999</v>
      </c>
      <c r="O1423">
        <v>-8.4643214999999994E-2</v>
      </c>
      <c r="P1423">
        <v>16394.099610000001</v>
      </c>
      <c r="Q1423">
        <v>26.84</v>
      </c>
      <c r="R1423">
        <v>13.27</v>
      </c>
      <c r="S1423">
        <v>86.71</v>
      </c>
      <c r="T1423">
        <v>25</v>
      </c>
      <c r="U1423" s="1" t="s">
        <v>54</v>
      </c>
      <c r="V1423">
        <v>-3.65</v>
      </c>
    </row>
    <row r="1424" spans="1:22" x14ac:dyDescent="0.3">
      <c r="A1424" s="2">
        <v>45469</v>
      </c>
      <c r="B1424">
        <v>46150</v>
      </c>
      <c r="C1424">
        <v>1638</v>
      </c>
      <c r="D1424">
        <v>6</v>
      </c>
      <c r="E1424" s="1" t="s">
        <v>43</v>
      </c>
      <c r="F1424">
        <v>2</v>
      </c>
      <c r="G1424" s="1" t="s">
        <v>23</v>
      </c>
      <c r="H1424">
        <v>48414.285714285717</v>
      </c>
      <c r="I1424">
        <v>51346.666666666664</v>
      </c>
      <c r="J1424">
        <v>46250</v>
      </c>
      <c r="K1424">
        <v>50000</v>
      </c>
      <c r="L1424">
        <v>50250</v>
      </c>
      <c r="M1424">
        <v>-100</v>
      </c>
      <c r="N1424">
        <v>130.79159999999999</v>
      </c>
      <c r="O1424">
        <v>-8.4643214999999994E-2</v>
      </c>
      <c r="P1424">
        <v>16401</v>
      </c>
      <c r="Q1424">
        <v>26.17</v>
      </c>
      <c r="R1424">
        <v>7.12</v>
      </c>
      <c r="S1424">
        <v>88.81</v>
      </c>
      <c r="T1424">
        <v>26</v>
      </c>
      <c r="U1424" s="1" t="s">
        <v>74</v>
      </c>
      <c r="V1424">
        <v>-0.22</v>
      </c>
    </row>
    <row r="1425" spans="1:22" x14ac:dyDescent="0.3">
      <c r="A1425" s="2">
        <v>45470</v>
      </c>
      <c r="B1425">
        <v>46150</v>
      </c>
      <c r="C1425">
        <v>1639</v>
      </c>
      <c r="D1425">
        <v>6</v>
      </c>
      <c r="E1425" s="1" t="s">
        <v>43</v>
      </c>
      <c r="F1425">
        <v>3</v>
      </c>
      <c r="G1425" s="1" t="s">
        <v>23</v>
      </c>
      <c r="H1425">
        <v>47864.285714285717</v>
      </c>
      <c r="I1425">
        <v>51218.333333333336</v>
      </c>
      <c r="J1425">
        <v>46150</v>
      </c>
      <c r="K1425">
        <v>50000</v>
      </c>
      <c r="L1425">
        <v>50000</v>
      </c>
      <c r="M1425">
        <v>0</v>
      </c>
      <c r="N1425">
        <v>130.79159999999999</v>
      </c>
      <c r="O1425">
        <v>-8.4643214999999994E-2</v>
      </c>
      <c r="P1425">
        <v>16434</v>
      </c>
      <c r="Q1425">
        <v>26.32</v>
      </c>
      <c r="R1425">
        <v>5.42</v>
      </c>
      <c r="S1425">
        <v>87.09</v>
      </c>
      <c r="T1425">
        <v>27</v>
      </c>
      <c r="U1425" s="1" t="s">
        <v>25</v>
      </c>
      <c r="V1425">
        <v>0</v>
      </c>
    </row>
    <row r="1426" spans="1:22" x14ac:dyDescent="0.3">
      <c r="A1426" s="2">
        <v>45471</v>
      </c>
      <c r="B1426">
        <v>45900</v>
      </c>
      <c r="C1426">
        <v>1640</v>
      </c>
      <c r="D1426">
        <v>6</v>
      </c>
      <c r="E1426" s="1" t="s">
        <v>43</v>
      </c>
      <c r="F1426">
        <v>4</v>
      </c>
      <c r="G1426" s="1" t="s">
        <v>23</v>
      </c>
      <c r="H1426">
        <v>47350</v>
      </c>
      <c r="I1426">
        <v>51081.666666666664</v>
      </c>
      <c r="J1426">
        <v>46150</v>
      </c>
      <c r="K1426">
        <v>49500</v>
      </c>
      <c r="L1426">
        <v>50000</v>
      </c>
      <c r="M1426">
        <v>-250</v>
      </c>
      <c r="N1426">
        <v>130.79159999999999</v>
      </c>
      <c r="O1426">
        <v>-8.4643214999999994E-2</v>
      </c>
      <c r="P1426">
        <v>16374.400390000001</v>
      </c>
      <c r="Q1426">
        <v>26.45</v>
      </c>
      <c r="R1426">
        <v>4.9400000000000004</v>
      </c>
      <c r="S1426">
        <v>80.77</v>
      </c>
      <c r="T1426">
        <v>28</v>
      </c>
      <c r="U1426" s="1" t="s">
        <v>35</v>
      </c>
      <c r="V1426">
        <v>-0.54</v>
      </c>
    </row>
    <row r="1427" spans="1:22" x14ac:dyDescent="0.3">
      <c r="A1427" s="2">
        <v>45472</v>
      </c>
      <c r="B1427">
        <v>45900</v>
      </c>
      <c r="C1427">
        <v>1641</v>
      </c>
      <c r="D1427">
        <v>6</v>
      </c>
      <c r="E1427" s="1" t="s">
        <v>43</v>
      </c>
      <c r="F1427">
        <v>5</v>
      </c>
      <c r="G1427" s="1" t="s">
        <v>23</v>
      </c>
      <c r="H1427">
        <v>46835.714285714283</v>
      </c>
      <c r="I1427">
        <v>50931.666666666664</v>
      </c>
      <c r="J1427">
        <v>45900</v>
      </c>
      <c r="K1427">
        <v>49500</v>
      </c>
      <c r="L1427">
        <v>50400</v>
      </c>
      <c r="M1427">
        <v>0</v>
      </c>
      <c r="N1427">
        <v>130.79159999999999</v>
      </c>
      <c r="O1427">
        <v>-8.4643214999999994E-2</v>
      </c>
      <c r="P1427">
        <v>16374.400390000001</v>
      </c>
      <c r="Q1427">
        <v>27.25</v>
      </c>
      <c r="R1427">
        <v>6.37</v>
      </c>
      <c r="S1427">
        <v>79.25</v>
      </c>
      <c r="T1427">
        <v>29</v>
      </c>
      <c r="U1427" s="1" t="s">
        <v>35</v>
      </c>
      <c r="V1427">
        <v>-0.54</v>
      </c>
    </row>
    <row r="1428" spans="1:22" x14ac:dyDescent="0.3">
      <c r="A1428" s="2">
        <v>45473</v>
      </c>
      <c r="B1428">
        <v>45900</v>
      </c>
      <c r="C1428">
        <v>1642</v>
      </c>
      <c r="D1428">
        <v>6</v>
      </c>
      <c r="E1428" s="1" t="s">
        <v>43</v>
      </c>
      <c r="F1428">
        <v>6</v>
      </c>
      <c r="G1428" s="1" t="s">
        <v>23</v>
      </c>
      <c r="H1428">
        <v>46321.428571428572</v>
      </c>
      <c r="I1428">
        <v>50781.666666666664</v>
      </c>
      <c r="J1428">
        <v>45900</v>
      </c>
      <c r="K1428">
        <v>49500</v>
      </c>
      <c r="L1428">
        <v>50400</v>
      </c>
      <c r="M1428">
        <v>0</v>
      </c>
      <c r="N1428">
        <v>130.79159999999999</v>
      </c>
      <c r="O1428">
        <v>-8.4643214999999994E-2</v>
      </c>
      <c r="P1428">
        <v>16374.400390000001</v>
      </c>
      <c r="Q1428">
        <v>27.01</v>
      </c>
      <c r="R1428">
        <v>6.97</v>
      </c>
      <c r="S1428">
        <v>82.67</v>
      </c>
      <c r="T1428">
        <v>30</v>
      </c>
      <c r="U1428" s="1" t="s">
        <v>35</v>
      </c>
      <c r="V1428">
        <v>-0.54</v>
      </c>
    </row>
    <row r="1429" spans="1:22" x14ac:dyDescent="0.3">
      <c r="A1429" s="2">
        <v>45474</v>
      </c>
      <c r="B1429">
        <v>45650</v>
      </c>
      <c r="C1429">
        <v>1643</v>
      </c>
      <c r="D1429">
        <v>7</v>
      </c>
      <c r="E1429" s="1" t="s">
        <v>43</v>
      </c>
      <c r="F1429">
        <v>0</v>
      </c>
      <c r="G1429" s="1" t="s">
        <v>23</v>
      </c>
      <c r="H1429">
        <v>45985.714285714283</v>
      </c>
      <c r="I1429">
        <v>50623.333333333336</v>
      </c>
      <c r="J1429">
        <v>45900</v>
      </c>
      <c r="K1429">
        <v>48000</v>
      </c>
      <c r="L1429">
        <v>50400</v>
      </c>
      <c r="M1429">
        <v>-250</v>
      </c>
      <c r="N1429">
        <v>130.55779999999999</v>
      </c>
      <c r="O1429">
        <v>-0.17875765699999999</v>
      </c>
      <c r="P1429">
        <v>16343</v>
      </c>
      <c r="Q1429">
        <v>27.04</v>
      </c>
      <c r="R1429">
        <v>5.88</v>
      </c>
      <c r="S1429">
        <v>82.34</v>
      </c>
      <c r="T1429">
        <v>1</v>
      </c>
      <c r="U1429" s="1" t="s">
        <v>35</v>
      </c>
      <c r="V1429">
        <v>-0.54</v>
      </c>
    </row>
    <row r="1430" spans="1:22" x14ac:dyDescent="0.3">
      <c r="A1430" s="2">
        <v>45475</v>
      </c>
      <c r="B1430">
        <v>44500</v>
      </c>
      <c r="C1430">
        <v>1644</v>
      </c>
      <c r="D1430">
        <v>7</v>
      </c>
      <c r="E1430" s="1" t="s">
        <v>43</v>
      </c>
      <c r="F1430">
        <v>1</v>
      </c>
      <c r="G1430" s="1" t="s">
        <v>23</v>
      </c>
      <c r="H1430">
        <v>45735.714285714283</v>
      </c>
      <c r="I1430">
        <v>50426.666666666664</v>
      </c>
      <c r="J1430">
        <v>45650</v>
      </c>
      <c r="K1430">
        <v>46250</v>
      </c>
      <c r="L1430">
        <v>50400</v>
      </c>
      <c r="M1430">
        <v>-1150</v>
      </c>
      <c r="N1430">
        <v>130.55779999999999</v>
      </c>
      <c r="O1430">
        <v>-0.17875765699999999</v>
      </c>
      <c r="P1430">
        <v>16390</v>
      </c>
      <c r="Q1430">
        <v>26.87</v>
      </c>
      <c r="R1430">
        <v>2.81</v>
      </c>
      <c r="S1430">
        <v>83.84</v>
      </c>
      <c r="T1430">
        <v>2</v>
      </c>
      <c r="U1430" s="1" t="s">
        <v>82</v>
      </c>
      <c r="V1430">
        <v>-2.52</v>
      </c>
    </row>
    <row r="1431" spans="1:22" x14ac:dyDescent="0.3">
      <c r="A1431" s="2">
        <v>45476</v>
      </c>
      <c r="B1431">
        <v>44150</v>
      </c>
      <c r="C1431">
        <v>1645</v>
      </c>
      <c r="D1431">
        <v>7</v>
      </c>
      <c r="E1431" s="1" t="s">
        <v>43</v>
      </c>
      <c r="F1431">
        <v>2</v>
      </c>
      <c r="G1431" s="1" t="s">
        <v>23</v>
      </c>
      <c r="H1431">
        <v>45450</v>
      </c>
      <c r="I1431">
        <v>50126.666666666664</v>
      </c>
      <c r="J1431">
        <v>44500</v>
      </c>
      <c r="K1431">
        <v>46150</v>
      </c>
      <c r="L1431">
        <v>53150</v>
      </c>
      <c r="M1431">
        <v>-350</v>
      </c>
      <c r="N1431">
        <v>130.55779999999999</v>
      </c>
      <c r="O1431">
        <v>-0.17875765699999999</v>
      </c>
      <c r="P1431">
        <v>16391</v>
      </c>
      <c r="Q1431">
        <v>26.48</v>
      </c>
      <c r="R1431">
        <v>10.039999999999999</v>
      </c>
      <c r="S1431">
        <v>82.63</v>
      </c>
      <c r="T1431">
        <v>3</v>
      </c>
      <c r="U1431" s="1" t="s">
        <v>77</v>
      </c>
      <c r="V1431">
        <v>-0.79</v>
      </c>
    </row>
    <row r="1432" spans="1:22" x14ac:dyDescent="0.3">
      <c r="A1432" s="2">
        <v>45477</v>
      </c>
      <c r="B1432">
        <v>44750</v>
      </c>
      <c r="C1432">
        <v>1646</v>
      </c>
      <c r="D1432">
        <v>7</v>
      </c>
      <c r="E1432" s="1" t="s">
        <v>43</v>
      </c>
      <c r="F1432">
        <v>3</v>
      </c>
      <c r="G1432" s="1" t="s">
        <v>23</v>
      </c>
      <c r="H1432">
        <v>45250</v>
      </c>
      <c r="I1432">
        <v>49696.666666666664</v>
      </c>
      <c r="J1432">
        <v>44150</v>
      </c>
      <c r="K1432">
        <v>46150</v>
      </c>
      <c r="L1432">
        <v>57650</v>
      </c>
      <c r="M1432">
        <v>600</v>
      </c>
      <c r="N1432">
        <v>130.55779999999999</v>
      </c>
      <c r="O1432">
        <v>-0.17875765699999999</v>
      </c>
      <c r="P1432">
        <v>16340</v>
      </c>
      <c r="Q1432">
        <v>26.64</v>
      </c>
      <c r="R1432">
        <v>13.18</v>
      </c>
      <c r="S1432">
        <v>80.41</v>
      </c>
      <c r="T1432">
        <v>4</v>
      </c>
      <c r="U1432" s="1" t="s">
        <v>64</v>
      </c>
      <c r="V1432">
        <v>1.36</v>
      </c>
    </row>
    <row r="1433" spans="1:22" x14ac:dyDescent="0.3">
      <c r="A1433" s="2">
        <v>45478</v>
      </c>
      <c r="B1433">
        <v>44750</v>
      </c>
      <c r="C1433">
        <v>1647</v>
      </c>
      <c r="D1433">
        <v>7</v>
      </c>
      <c r="E1433" s="1" t="s">
        <v>43</v>
      </c>
      <c r="F1433">
        <v>4</v>
      </c>
      <c r="G1433" s="1" t="s">
        <v>23</v>
      </c>
      <c r="H1433">
        <v>45085.714285714283</v>
      </c>
      <c r="I1433">
        <v>49275</v>
      </c>
      <c r="J1433">
        <v>44750</v>
      </c>
      <c r="K1433">
        <v>45900</v>
      </c>
      <c r="L1433">
        <v>57400</v>
      </c>
      <c r="M1433">
        <v>0</v>
      </c>
      <c r="N1433">
        <v>130.55779999999999</v>
      </c>
      <c r="O1433">
        <v>-0.17875765699999999</v>
      </c>
      <c r="P1433">
        <v>16328.5</v>
      </c>
      <c r="Q1433">
        <v>27.06</v>
      </c>
      <c r="R1433">
        <v>3.08</v>
      </c>
      <c r="S1433">
        <v>80.14</v>
      </c>
      <c r="T1433">
        <v>5</v>
      </c>
      <c r="U1433" s="1" t="s">
        <v>25</v>
      </c>
      <c r="V1433">
        <v>0</v>
      </c>
    </row>
    <row r="1434" spans="1:22" x14ac:dyDescent="0.3">
      <c r="A1434" s="2">
        <v>45479</v>
      </c>
      <c r="B1434">
        <v>44750</v>
      </c>
      <c r="C1434">
        <v>1648</v>
      </c>
      <c r="D1434">
        <v>7</v>
      </c>
      <c r="E1434" s="1" t="s">
        <v>43</v>
      </c>
      <c r="F1434">
        <v>5</v>
      </c>
      <c r="G1434" s="1" t="s">
        <v>23</v>
      </c>
      <c r="H1434">
        <v>44921.428571428572</v>
      </c>
      <c r="I1434">
        <v>48895</v>
      </c>
      <c r="J1434">
        <v>44750</v>
      </c>
      <c r="K1434">
        <v>45900</v>
      </c>
      <c r="L1434">
        <v>56150</v>
      </c>
      <c r="M1434">
        <v>0</v>
      </c>
      <c r="N1434">
        <v>130.55779999999999</v>
      </c>
      <c r="O1434">
        <v>-0.17875765699999999</v>
      </c>
      <c r="P1434">
        <v>16328.5</v>
      </c>
      <c r="Q1434">
        <v>26.87</v>
      </c>
      <c r="R1434">
        <v>4.78</v>
      </c>
      <c r="S1434">
        <v>83.73</v>
      </c>
      <c r="T1434">
        <v>6</v>
      </c>
      <c r="U1434" s="1" t="s">
        <v>25</v>
      </c>
      <c r="V1434">
        <v>0</v>
      </c>
    </row>
    <row r="1435" spans="1:22" x14ac:dyDescent="0.3">
      <c r="A1435" s="2">
        <v>45480</v>
      </c>
      <c r="B1435">
        <v>44750</v>
      </c>
      <c r="C1435">
        <v>1649</v>
      </c>
      <c r="D1435">
        <v>7</v>
      </c>
      <c r="E1435" s="1" t="s">
        <v>43</v>
      </c>
      <c r="F1435">
        <v>6</v>
      </c>
      <c r="G1435" s="1" t="s">
        <v>44</v>
      </c>
      <c r="H1435">
        <v>44757.142857142855</v>
      </c>
      <c r="I1435">
        <v>48531.666666666664</v>
      </c>
      <c r="J1435">
        <v>44750</v>
      </c>
      <c r="K1435">
        <v>45900</v>
      </c>
      <c r="L1435">
        <v>55650</v>
      </c>
      <c r="M1435">
        <v>0</v>
      </c>
      <c r="N1435">
        <v>130.55779999999999</v>
      </c>
      <c r="O1435">
        <v>-0.17875765699999999</v>
      </c>
      <c r="P1435">
        <v>16328.5</v>
      </c>
      <c r="Q1435">
        <v>26.91</v>
      </c>
      <c r="R1435">
        <v>2.2200000000000002</v>
      </c>
      <c r="S1435">
        <v>85.35</v>
      </c>
      <c r="T1435">
        <v>7</v>
      </c>
      <c r="U1435" s="1" t="s">
        <v>25</v>
      </c>
      <c r="V1435">
        <v>0</v>
      </c>
    </row>
    <row r="1436" spans="1:22" x14ac:dyDescent="0.3">
      <c r="A1436" s="2">
        <v>45481</v>
      </c>
      <c r="B1436">
        <v>45250</v>
      </c>
      <c r="C1436">
        <v>1650</v>
      </c>
      <c r="D1436">
        <v>7</v>
      </c>
      <c r="E1436" s="1" t="s">
        <v>43</v>
      </c>
      <c r="F1436">
        <v>0</v>
      </c>
      <c r="G1436" s="1" t="s">
        <v>23</v>
      </c>
      <c r="H1436">
        <v>44700</v>
      </c>
      <c r="I1436">
        <v>48185</v>
      </c>
      <c r="J1436">
        <v>44750</v>
      </c>
      <c r="K1436">
        <v>45650</v>
      </c>
      <c r="L1436">
        <v>55650</v>
      </c>
      <c r="M1436">
        <v>500</v>
      </c>
      <c r="N1436">
        <v>130.55779999999999</v>
      </c>
      <c r="O1436">
        <v>-0.17875765699999999</v>
      </c>
      <c r="P1436">
        <v>16245</v>
      </c>
      <c r="Q1436">
        <v>26.4</v>
      </c>
      <c r="R1436">
        <v>9.49</v>
      </c>
      <c r="S1436">
        <v>85.49</v>
      </c>
      <c r="T1436">
        <v>8</v>
      </c>
      <c r="U1436" s="1" t="s">
        <v>26</v>
      </c>
      <c r="V1436">
        <v>1.1200000000000001</v>
      </c>
    </row>
    <row r="1437" spans="1:22" x14ac:dyDescent="0.3">
      <c r="A1437" s="2">
        <v>45482</v>
      </c>
      <c r="B1437">
        <v>44750</v>
      </c>
      <c r="C1437">
        <v>1651</v>
      </c>
      <c r="D1437">
        <v>7</v>
      </c>
      <c r="E1437" s="1" t="s">
        <v>43</v>
      </c>
      <c r="F1437">
        <v>1</v>
      </c>
      <c r="G1437" s="1" t="s">
        <v>23</v>
      </c>
      <c r="H1437">
        <v>44735.714285714283</v>
      </c>
      <c r="I1437">
        <v>47821.666666666664</v>
      </c>
      <c r="J1437">
        <v>45250</v>
      </c>
      <c r="K1437">
        <v>44500</v>
      </c>
      <c r="L1437">
        <v>55650</v>
      </c>
      <c r="M1437">
        <v>-500</v>
      </c>
      <c r="N1437">
        <v>130.55779999999999</v>
      </c>
      <c r="O1437">
        <v>-0.17875765699999999</v>
      </c>
      <c r="P1437">
        <v>16277.200199999999</v>
      </c>
      <c r="Q1437">
        <v>26.37</v>
      </c>
      <c r="R1437">
        <v>3.16</v>
      </c>
      <c r="S1437">
        <v>85.09</v>
      </c>
      <c r="T1437">
        <v>9</v>
      </c>
      <c r="U1437" s="1" t="s">
        <v>24</v>
      </c>
      <c r="V1437">
        <v>-1.1000000000000001</v>
      </c>
    </row>
    <row r="1438" spans="1:22" x14ac:dyDescent="0.3">
      <c r="A1438" s="2">
        <v>45483</v>
      </c>
      <c r="B1438">
        <v>44750</v>
      </c>
      <c r="C1438">
        <v>1652</v>
      </c>
      <c r="D1438">
        <v>7</v>
      </c>
      <c r="E1438" s="1" t="s">
        <v>43</v>
      </c>
      <c r="F1438">
        <v>2</v>
      </c>
      <c r="G1438" s="1" t="s">
        <v>23</v>
      </c>
      <c r="H1438">
        <v>44821.428571428572</v>
      </c>
      <c r="I1438">
        <v>47525</v>
      </c>
      <c r="J1438">
        <v>44750</v>
      </c>
      <c r="K1438">
        <v>44150</v>
      </c>
      <c r="L1438">
        <v>53650</v>
      </c>
      <c r="M1438">
        <v>0</v>
      </c>
      <c r="N1438">
        <v>130.55779999999999</v>
      </c>
      <c r="O1438">
        <v>-0.17875765699999999</v>
      </c>
      <c r="P1438">
        <v>16277</v>
      </c>
      <c r="Q1438">
        <v>26.28</v>
      </c>
      <c r="R1438">
        <v>14.36</v>
      </c>
      <c r="S1438">
        <v>86.5</v>
      </c>
      <c r="T1438">
        <v>10</v>
      </c>
      <c r="U1438" s="1" t="s">
        <v>25</v>
      </c>
      <c r="V1438">
        <v>0</v>
      </c>
    </row>
    <row r="1439" spans="1:22" x14ac:dyDescent="0.3">
      <c r="A1439" s="2">
        <v>45484</v>
      </c>
      <c r="B1439">
        <v>44250</v>
      </c>
      <c r="C1439">
        <v>1653</v>
      </c>
      <c r="D1439">
        <v>7</v>
      </c>
      <c r="E1439" s="1" t="s">
        <v>43</v>
      </c>
      <c r="F1439">
        <v>3</v>
      </c>
      <c r="G1439" s="1" t="s">
        <v>23</v>
      </c>
      <c r="H1439">
        <v>44750</v>
      </c>
      <c r="I1439">
        <v>47286.666666666664</v>
      </c>
      <c r="J1439">
        <v>44750</v>
      </c>
      <c r="K1439">
        <v>44750</v>
      </c>
      <c r="L1439">
        <v>51400</v>
      </c>
      <c r="M1439">
        <v>-500</v>
      </c>
      <c r="N1439">
        <v>130.55779999999999</v>
      </c>
      <c r="O1439">
        <v>-0.17875765699999999</v>
      </c>
      <c r="P1439">
        <v>16198</v>
      </c>
      <c r="Q1439">
        <v>26.53</v>
      </c>
      <c r="R1439">
        <v>9.11</v>
      </c>
      <c r="S1439">
        <v>84.9</v>
      </c>
      <c r="T1439">
        <v>11</v>
      </c>
      <c r="U1439" s="1" t="s">
        <v>24</v>
      </c>
      <c r="V1439">
        <v>-1.1200000000000001</v>
      </c>
    </row>
    <row r="1440" spans="1:22" x14ac:dyDescent="0.3">
      <c r="A1440" s="2">
        <v>45485</v>
      </c>
      <c r="B1440">
        <v>44250</v>
      </c>
      <c r="C1440">
        <v>1654</v>
      </c>
      <c r="D1440">
        <v>7</v>
      </c>
      <c r="E1440" s="1" t="s">
        <v>43</v>
      </c>
      <c r="F1440">
        <v>4</v>
      </c>
      <c r="G1440" s="1" t="s">
        <v>23</v>
      </c>
      <c r="H1440">
        <v>44678.571428571428</v>
      </c>
      <c r="I1440">
        <v>47048.333333333336</v>
      </c>
      <c r="J1440">
        <v>44250</v>
      </c>
      <c r="K1440">
        <v>44750</v>
      </c>
      <c r="L1440">
        <v>51400</v>
      </c>
      <c r="M1440">
        <v>0</v>
      </c>
      <c r="N1440">
        <v>130.55779999999999</v>
      </c>
      <c r="O1440">
        <v>-0.17875765699999999</v>
      </c>
      <c r="P1440">
        <v>16104</v>
      </c>
      <c r="Q1440">
        <v>26.42</v>
      </c>
      <c r="R1440">
        <v>8.15</v>
      </c>
      <c r="S1440">
        <v>84.25</v>
      </c>
      <c r="T1440">
        <v>12</v>
      </c>
      <c r="U1440" s="1" t="s">
        <v>25</v>
      </c>
      <c r="V1440">
        <v>0</v>
      </c>
    </row>
    <row r="1441" spans="1:22" x14ac:dyDescent="0.3">
      <c r="A1441" s="2">
        <v>45486</v>
      </c>
      <c r="B1441">
        <v>44250</v>
      </c>
      <c r="C1441">
        <v>1655</v>
      </c>
      <c r="D1441">
        <v>7</v>
      </c>
      <c r="E1441" s="1" t="s">
        <v>43</v>
      </c>
      <c r="F1441">
        <v>5</v>
      </c>
      <c r="G1441" s="1" t="s">
        <v>23</v>
      </c>
      <c r="H1441">
        <v>44607.142857142855</v>
      </c>
      <c r="I1441">
        <v>46826.666666666664</v>
      </c>
      <c r="J1441">
        <v>44250</v>
      </c>
      <c r="K1441">
        <v>44750</v>
      </c>
      <c r="L1441">
        <v>50900</v>
      </c>
      <c r="M1441">
        <v>0</v>
      </c>
      <c r="N1441">
        <v>130.55779999999999</v>
      </c>
      <c r="O1441">
        <v>-0.17875765699999999</v>
      </c>
      <c r="P1441">
        <v>16104</v>
      </c>
      <c r="Q1441">
        <v>26.62</v>
      </c>
      <c r="R1441">
        <v>3.69</v>
      </c>
      <c r="S1441">
        <v>80.12</v>
      </c>
      <c r="T1441">
        <v>13</v>
      </c>
      <c r="U1441" s="1" t="s">
        <v>25</v>
      </c>
      <c r="V1441">
        <v>0</v>
      </c>
    </row>
    <row r="1442" spans="1:22" x14ac:dyDescent="0.3">
      <c r="A1442" s="2">
        <v>45487</v>
      </c>
      <c r="B1442">
        <v>44250</v>
      </c>
      <c r="C1442">
        <v>1656</v>
      </c>
      <c r="D1442">
        <v>7</v>
      </c>
      <c r="E1442" s="1" t="s">
        <v>43</v>
      </c>
      <c r="F1442">
        <v>6</v>
      </c>
      <c r="G1442" s="1" t="s">
        <v>23</v>
      </c>
      <c r="H1442">
        <v>44535.714285714283</v>
      </c>
      <c r="I1442">
        <v>46626.666666666664</v>
      </c>
      <c r="J1442">
        <v>44250</v>
      </c>
      <c r="K1442">
        <v>44750</v>
      </c>
      <c r="L1442">
        <v>50250</v>
      </c>
      <c r="M1442">
        <v>0</v>
      </c>
      <c r="N1442">
        <v>130.55779999999999</v>
      </c>
      <c r="O1442">
        <v>-0.17875765699999999</v>
      </c>
      <c r="P1442">
        <v>16104</v>
      </c>
      <c r="Q1442">
        <v>26.53</v>
      </c>
      <c r="R1442">
        <v>1.62</v>
      </c>
      <c r="S1442">
        <v>80.95</v>
      </c>
      <c r="T1442">
        <v>14</v>
      </c>
      <c r="U1442" s="1" t="s">
        <v>25</v>
      </c>
      <c r="V1442">
        <v>0</v>
      </c>
    </row>
    <row r="1443" spans="1:22" x14ac:dyDescent="0.3">
      <c r="A1443" s="2">
        <v>45488</v>
      </c>
      <c r="B1443">
        <v>43900</v>
      </c>
      <c r="C1443">
        <v>1657</v>
      </c>
      <c r="D1443">
        <v>7</v>
      </c>
      <c r="E1443" s="1" t="s">
        <v>43</v>
      </c>
      <c r="F1443">
        <v>0</v>
      </c>
      <c r="G1443" s="1" t="s">
        <v>23</v>
      </c>
      <c r="H1443">
        <v>44342.857142857145</v>
      </c>
      <c r="I1443">
        <v>46415</v>
      </c>
      <c r="J1443">
        <v>44250</v>
      </c>
      <c r="K1443">
        <v>45250</v>
      </c>
      <c r="L1443">
        <v>50250</v>
      </c>
      <c r="M1443">
        <v>-350</v>
      </c>
      <c r="N1443">
        <v>130.55779999999999</v>
      </c>
      <c r="O1443">
        <v>-0.17875765699999999</v>
      </c>
      <c r="P1443">
        <v>16108</v>
      </c>
      <c r="Q1443">
        <v>26.94</v>
      </c>
      <c r="R1443">
        <v>0.98</v>
      </c>
      <c r="S1443">
        <v>82.11</v>
      </c>
      <c r="T1443">
        <v>15</v>
      </c>
      <c r="U1443" s="1" t="s">
        <v>77</v>
      </c>
      <c r="V1443">
        <v>-0.79</v>
      </c>
    </row>
    <row r="1444" spans="1:22" x14ac:dyDescent="0.3">
      <c r="A1444" s="2">
        <v>45489</v>
      </c>
      <c r="B1444">
        <v>42750</v>
      </c>
      <c r="C1444">
        <v>1658</v>
      </c>
      <c r="D1444">
        <v>7</v>
      </c>
      <c r="E1444" s="1" t="s">
        <v>43</v>
      </c>
      <c r="F1444">
        <v>1</v>
      </c>
      <c r="G1444" s="1" t="s">
        <v>23</v>
      </c>
      <c r="H1444">
        <v>44057.142857142855</v>
      </c>
      <c r="I1444">
        <v>46165</v>
      </c>
      <c r="J1444">
        <v>43900</v>
      </c>
      <c r="K1444">
        <v>44750</v>
      </c>
      <c r="L1444">
        <v>50250</v>
      </c>
      <c r="M1444">
        <v>-1150</v>
      </c>
      <c r="N1444">
        <v>130.55779999999999</v>
      </c>
      <c r="O1444">
        <v>-0.17875765699999999</v>
      </c>
      <c r="P1444">
        <v>16195</v>
      </c>
      <c r="Q1444">
        <v>26.87</v>
      </c>
      <c r="R1444">
        <v>1.77</v>
      </c>
      <c r="S1444">
        <v>84.27</v>
      </c>
      <c r="T1444">
        <v>16</v>
      </c>
      <c r="U1444" s="1" t="s">
        <v>82</v>
      </c>
      <c r="V1444">
        <v>-2.62</v>
      </c>
    </row>
    <row r="1445" spans="1:22" x14ac:dyDescent="0.3">
      <c r="A1445" s="2">
        <v>45490</v>
      </c>
      <c r="B1445">
        <v>41750</v>
      </c>
      <c r="C1445">
        <v>1659</v>
      </c>
      <c r="D1445">
        <v>7</v>
      </c>
      <c r="E1445" s="1" t="s">
        <v>43</v>
      </c>
      <c r="F1445">
        <v>2</v>
      </c>
      <c r="G1445" s="1" t="s">
        <v>23</v>
      </c>
      <c r="H1445">
        <v>43628.571428571428</v>
      </c>
      <c r="I1445">
        <v>45881.666666666664</v>
      </c>
      <c r="J1445">
        <v>42750</v>
      </c>
      <c r="K1445">
        <v>44750</v>
      </c>
      <c r="L1445">
        <v>50250</v>
      </c>
      <c r="M1445">
        <v>-1000</v>
      </c>
      <c r="N1445">
        <v>130.55779999999999</v>
      </c>
      <c r="O1445">
        <v>-0.17875765699999999</v>
      </c>
      <c r="P1445">
        <v>16173</v>
      </c>
      <c r="Q1445">
        <v>26.78</v>
      </c>
      <c r="R1445">
        <v>2.66</v>
      </c>
      <c r="S1445">
        <v>83.9</v>
      </c>
      <c r="T1445">
        <v>17</v>
      </c>
      <c r="U1445" s="1" t="s">
        <v>30</v>
      </c>
      <c r="V1445">
        <v>-2.34</v>
      </c>
    </row>
    <row r="1446" spans="1:22" x14ac:dyDescent="0.3">
      <c r="A1446" s="2">
        <v>45491</v>
      </c>
      <c r="B1446">
        <v>41750</v>
      </c>
      <c r="C1446">
        <v>1660</v>
      </c>
      <c r="D1446">
        <v>7</v>
      </c>
      <c r="E1446" s="1" t="s">
        <v>43</v>
      </c>
      <c r="F1446">
        <v>3</v>
      </c>
      <c r="G1446" s="1" t="s">
        <v>23</v>
      </c>
      <c r="H1446">
        <v>43271.428571428572</v>
      </c>
      <c r="I1446">
        <v>45598.333333333336</v>
      </c>
      <c r="J1446">
        <v>41750</v>
      </c>
      <c r="K1446">
        <v>44250</v>
      </c>
      <c r="L1446">
        <v>50250</v>
      </c>
      <c r="M1446">
        <v>0</v>
      </c>
      <c r="N1446">
        <v>130.55779999999999</v>
      </c>
      <c r="O1446">
        <v>-0.17875765699999999</v>
      </c>
      <c r="P1446">
        <v>16138</v>
      </c>
      <c r="Q1446">
        <v>26.61</v>
      </c>
      <c r="R1446">
        <v>2.35</v>
      </c>
      <c r="S1446">
        <v>82.73</v>
      </c>
      <c r="T1446">
        <v>18</v>
      </c>
      <c r="U1446" s="1" t="s">
        <v>25</v>
      </c>
      <c r="V1446">
        <v>0</v>
      </c>
    </row>
    <row r="1447" spans="1:22" x14ac:dyDescent="0.3">
      <c r="A1447" s="2">
        <v>45492</v>
      </c>
      <c r="B1447">
        <v>40500</v>
      </c>
      <c r="C1447">
        <v>1661</v>
      </c>
      <c r="D1447">
        <v>7</v>
      </c>
      <c r="E1447" s="1" t="s">
        <v>43</v>
      </c>
      <c r="F1447">
        <v>4</v>
      </c>
      <c r="G1447" s="1" t="s">
        <v>23</v>
      </c>
      <c r="H1447">
        <v>42735.714285714283</v>
      </c>
      <c r="I1447">
        <v>45281.666666666664</v>
      </c>
      <c r="J1447">
        <v>41750</v>
      </c>
      <c r="K1447">
        <v>44250</v>
      </c>
      <c r="L1447">
        <v>50000</v>
      </c>
      <c r="M1447">
        <v>-1250</v>
      </c>
      <c r="N1447">
        <v>130.55779999999999</v>
      </c>
      <c r="O1447">
        <v>-0.17875765699999999</v>
      </c>
      <c r="P1447">
        <v>16185</v>
      </c>
      <c r="Q1447">
        <v>26.56</v>
      </c>
      <c r="R1447">
        <v>1.62</v>
      </c>
      <c r="S1447">
        <v>83.43</v>
      </c>
      <c r="T1447">
        <v>19</v>
      </c>
      <c r="U1447" s="1" t="s">
        <v>40</v>
      </c>
      <c r="V1447">
        <v>-2.99</v>
      </c>
    </row>
    <row r="1448" spans="1:22" x14ac:dyDescent="0.3">
      <c r="A1448" s="2">
        <v>45493</v>
      </c>
      <c r="B1448">
        <v>40500</v>
      </c>
      <c r="C1448">
        <v>1662</v>
      </c>
      <c r="D1448">
        <v>7</v>
      </c>
      <c r="E1448" s="1" t="s">
        <v>43</v>
      </c>
      <c r="F1448">
        <v>5</v>
      </c>
      <c r="G1448" s="1" t="s">
        <v>23</v>
      </c>
      <c r="H1448">
        <v>42200</v>
      </c>
      <c r="I1448">
        <v>44965</v>
      </c>
      <c r="J1448">
        <v>40500</v>
      </c>
      <c r="K1448">
        <v>44250</v>
      </c>
      <c r="L1448">
        <v>50000</v>
      </c>
      <c r="M1448">
        <v>0</v>
      </c>
      <c r="N1448">
        <v>130.55779999999999</v>
      </c>
      <c r="O1448">
        <v>-0.17875765699999999</v>
      </c>
      <c r="P1448">
        <v>16185</v>
      </c>
      <c r="Q1448">
        <v>26.81</v>
      </c>
      <c r="R1448">
        <v>0.84</v>
      </c>
      <c r="S1448">
        <v>83.83</v>
      </c>
      <c r="T1448">
        <v>20</v>
      </c>
      <c r="U1448" s="1" t="s">
        <v>40</v>
      </c>
      <c r="V1448">
        <v>-2.99</v>
      </c>
    </row>
    <row r="1449" spans="1:22" x14ac:dyDescent="0.3">
      <c r="A1449" s="2">
        <v>45494</v>
      </c>
      <c r="B1449">
        <v>40500</v>
      </c>
      <c r="C1449">
        <v>1663</v>
      </c>
      <c r="D1449">
        <v>7</v>
      </c>
      <c r="E1449" s="1" t="s">
        <v>43</v>
      </c>
      <c r="F1449">
        <v>6</v>
      </c>
      <c r="G1449" s="1" t="s">
        <v>23</v>
      </c>
      <c r="H1449">
        <v>41664.285714285717</v>
      </c>
      <c r="I1449">
        <v>44665</v>
      </c>
      <c r="J1449">
        <v>40500</v>
      </c>
      <c r="K1449">
        <v>44250</v>
      </c>
      <c r="L1449">
        <v>49500</v>
      </c>
      <c r="M1449">
        <v>0</v>
      </c>
      <c r="N1449">
        <v>130.55779999999999</v>
      </c>
      <c r="O1449">
        <v>-0.17875765699999999</v>
      </c>
      <c r="P1449">
        <v>16185</v>
      </c>
      <c r="Q1449">
        <v>26.62</v>
      </c>
      <c r="R1449">
        <v>2.2599999999999998</v>
      </c>
      <c r="S1449">
        <v>86.47</v>
      </c>
      <c r="T1449">
        <v>21</v>
      </c>
      <c r="U1449" s="1" t="s">
        <v>40</v>
      </c>
      <c r="V1449">
        <v>-2.99</v>
      </c>
    </row>
    <row r="1450" spans="1:22" x14ac:dyDescent="0.3">
      <c r="A1450" s="2">
        <v>45495</v>
      </c>
      <c r="B1450">
        <v>38400</v>
      </c>
      <c r="C1450">
        <v>1664</v>
      </c>
      <c r="D1450">
        <v>7</v>
      </c>
      <c r="E1450" s="1" t="s">
        <v>43</v>
      </c>
      <c r="F1450">
        <v>0</v>
      </c>
      <c r="G1450" s="1" t="s">
        <v>23</v>
      </c>
      <c r="H1450">
        <v>40878.571428571428</v>
      </c>
      <c r="I1450">
        <v>44295</v>
      </c>
      <c r="J1450">
        <v>40500</v>
      </c>
      <c r="K1450">
        <v>43900</v>
      </c>
      <c r="L1450">
        <v>49500</v>
      </c>
      <c r="M1450">
        <v>-2100</v>
      </c>
      <c r="N1450">
        <v>130.55779999999999</v>
      </c>
      <c r="O1450">
        <v>-0.17875765699999999</v>
      </c>
      <c r="P1450">
        <v>16206</v>
      </c>
      <c r="Q1450">
        <v>26.42</v>
      </c>
      <c r="R1450">
        <v>2.79</v>
      </c>
      <c r="S1450">
        <v>85.37</v>
      </c>
      <c r="T1450">
        <v>22</v>
      </c>
      <c r="U1450" s="1" t="s">
        <v>110</v>
      </c>
      <c r="V1450">
        <v>-5.19</v>
      </c>
    </row>
    <row r="1451" spans="1:22" x14ac:dyDescent="0.3">
      <c r="A1451" s="2">
        <v>45496</v>
      </c>
      <c r="B1451">
        <v>36250</v>
      </c>
      <c r="C1451">
        <v>1665</v>
      </c>
      <c r="D1451">
        <v>7</v>
      </c>
      <c r="E1451" s="1" t="s">
        <v>43</v>
      </c>
      <c r="F1451">
        <v>1</v>
      </c>
      <c r="G1451" s="1" t="s">
        <v>23</v>
      </c>
      <c r="H1451">
        <v>39950</v>
      </c>
      <c r="I1451">
        <v>43853.333333333336</v>
      </c>
      <c r="J1451">
        <v>38400</v>
      </c>
      <c r="K1451">
        <v>42750</v>
      </c>
      <c r="L1451">
        <v>49500</v>
      </c>
      <c r="M1451">
        <v>-2150</v>
      </c>
      <c r="N1451">
        <v>130.55779999999999</v>
      </c>
      <c r="O1451">
        <v>-0.17875765699999999</v>
      </c>
      <c r="P1451">
        <v>16220.200199999999</v>
      </c>
      <c r="Q1451">
        <v>26.09</v>
      </c>
      <c r="R1451">
        <v>11.01</v>
      </c>
      <c r="S1451">
        <v>88.49</v>
      </c>
      <c r="T1451">
        <v>23</v>
      </c>
      <c r="U1451" s="1" t="s">
        <v>111</v>
      </c>
      <c r="V1451">
        <v>-5.6</v>
      </c>
    </row>
    <row r="1452" spans="1:22" x14ac:dyDescent="0.3">
      <c r="A1452" s="2">
        <v>45497</v>
      </c>
      <c r="B1452">
        <v>36150</v>
      </c>
      <c r="C1452">
        <v>1666</v>
      </c>
      <c r="D1452">
        <v>7</v>
      </c>
      <c r="E1452" s="1" t="s">
        <v>43</v>
      </c>
      <c r="F1452">
        <v>2</v>
      </c>
      <c r="G1452" s="1" t="s">
        <v>23</v>
      </c>
      <c r="H1452">
        <v>39150</v>
      </c>
      <c r="I1452">
        <v>43458.333333333336</v>
      </c>
      <c r="J1452">
        <v>36250</v>
      </c>
      <c r="K1452">
        <v>41750</v>
      </c>
      <c r="L1452">
        <v>48000</v>
      </c>
      <c r="M1452">
        <v>-100</v>
      </c>
      <c r="N1452">
        <v>130.55779999999999</v>
      </c>
      <c r="O1452">
        <v>-0.17875765699999999</v>
      </c>
      <c r="P1452">
        <v>16222</v>
      </c>
      <c r="Q1452">
        <v>26.08</v>
      </c>
      <c r="R1452">
        <v>10.37</v>
      </c>
      <c r="S1452">
        <v>85.32</v>
      </c>
      <c r="T1452">
        <v>24</v>
      </c>
      <c r="U1452" s="1" t="s">
        <v>74</v>
      </c>
      <c r="V1452">
        <v>-0.28000000000000003</v>
      </c>
    </row>
    <row r="1453" spans="1:22" x14ac:dyDescent="0.3">
      <c r="A1453" s="2">
        <v>45498</v>
      </c>
      <c r="B1453">
        <v>33900</v>
      </c>
      <c r="C1453">
        <v>1667</v>
      </c>
      <c r="D1453">
        <v>7</v>
      </c>
      <c r="E1453" s="1" t="s">
        <v>43</v>
      </c>
      <c r="F1453">
        <v>3</v>
      </c>
      <c r="G1453" s="1" t="s">
        <v>23</v>
      </c>
      <c r="H1453">
        <v>38028.571428571428</v>
      </c>
      <c r="I1453">
        <v>43046.666666666664</v>
      </c>
      <c r="J1453">
        <v>36150</v>
      </c>
      <c r="K1453">
        <v>41750</v>
      </c>
      <c r="L1453">
        <v>46250</v>
      </c>
      <c r="M1453">
        <v>-2250</v>
      </c>
      <c r="N1453">
        <v>130.55779999999999</v>
      </c>
      <c r="O1453">
        <v>-0.17875765699999999</v>
      </c>
      <c r="P1453">
        <v>16246</v>
      </c>
      <c r="Q1453">
        <v>26.43</v>
      </c>
      <c r="R1453">
        <v>0.47</v>
      </c>
      <c r="S1453">
        <v>84.17</v>
      </c>
      <c r="T1453">
        <v>25</v>
      </c>
      <c r="U1453" s="1" t="s">
        <v>38</v>
      </c>
      <c r="V1453">
        <v>-6.22</v>
      </c>
    </row>
    <row r="1454" spans="1:22" x14ac:dyDescent="0.3">
      <c r="A1454" s="2">
        <v>45499</v>
      </c>
      <c r="B1454">
        <v>34000</v>
      </c>
      <c r="C1454">
        <v>1668</v>
      </c>
      <c r="D1454">
        <v>7</v>
      </c>
      <c r="E1454" s="1" t="s">
        <v>43</v>
      </c>
      <c r="F1454">
        <v>4</v>
      </c>
      <c r="G1454" s="1" t="s">
        <v>23</v>
      </c>
      <c r="H1454">
        <v>37100</v>
      </c>
      <c r="I1454">
        <v>42641.666666666664</v>
      </c>
      <c r="J1454">
        <v>33900</v>
      </c>
      <c r="K1454">
        <v>40500</v>
      </c>
      <c r="L1454">
        <v>46150</v>
      </c>
      <c r="M1454">
        <v>100</v>
      </c>
      <c r="N1454">
        <v>130.55779999999999</v>
      </c>
      <c r="O1454">
        <v>-0.17875765699999999</v>
      </c>
      <c r="P1454">
        <v>16337.799800000001</v>
      </c>
      <c r="Q1454">
        <v>26.99</v>
      </c>
      <c r="R1454">
        <v>0.06</v>
      </c>
      <c r="S1454">
        <v>83.52</v>
      </c>
      <c r="T1454">
        <v>26</v>
      </c>
      <c r="U1454" s="1" t="s">
        <v>65</v>
      </c>
      <c r="V1454">
        <v>0.28999999999999998</v>
      </c>
    </row>
    <row r="1455" spans="1:22" x14ac:dyDescent="0.3">
      <c r="A1455" s="2">
        <v>45500</v>
      </c>
      <c r="B1455">
        <v>34000</v>
      </c>
      <c r="C1455">
        <v>1669</v>
      </c>
      <c r="D1455">
        <v>7</v>
      </c>
      <c r="E1455" s="1" t="s">
        <v>43</v>
      </c>
      <c r="F1455">
        <v>5</v>
      </c>
      <c r="G1455" s="1" t="s">
        <v>23</v>
      </c>
      <c r="H1455">
        <v>36171.428571428572</v>
      </c>
      <c r="I1455">
        <v>42236.666666666664</v>
      </c>
      <c r="J1455">
        <v>34000</v>
      </c>
      <c r="K1455">
        <v>40500</v>
      </c>
      <c r="L1455">
        <v>46150</v>
      </c>
      <c r="M1455">
        <v>0</v>
      </c>
      <c r="N1455">
        <v>130.55779999999999</v>
      </c>
      <c r="O1455">
        <v>-0.17875765699999999</v>
      </c>
      <c r="P1455">
        <v>16337.799800000001</v>
      </c>
      <c r="Q1455">
        <v>27.28</v>
      </c>
      <c r="R1455">
        <v>0.06</v>
      </c>
      <c r="S1455">
        <v>83.89</v>
      </c>
      <c r="T1455">
        <v>27</v>
      </c>
      <c r="U1455" s="1" t="s">
        <v>65</v>
      </c>
      <c r="V1455">
        <v>0.28999999999999998</v>
      </c>
    </row>
    <row r="1456" spans="1:22" x14ac:dyDescent="0.3">
      <c r="A1456" s="2">
        <v>45501</v>
      </c>
      <c r="B1456">
        <v>34000</v>
      </c>
      <c r="C1456">
        <v>1670</v>
      </c>
      <c r="D1456">
        <v>7</v>
      </c>
      <c r="E1456" s="1" t="s">
        <v>43</v>
      </c>
      <c r="F1456">
        <v>6</v>
      </c>
      <c r="G1456" s="1" t="s">
        <v>23</v>
      </c>
      <c r="H1456">
        <v>35242.857142857145</v>
      </c>
      <c r="I1456">
        <v>41840</v>
      </c>
      <c r="J1456">
        <v>34000</v>
      </c>
      <c r="K1456">
        <v>40500</v>
      </c>
      <c r="L1456">
        <v>45900</v>
      </c>
      <c r="M1456">
        <v>0</v>
      </c>
      <c r="N1456">
        <v>130.55779999999999</v>
      </c>
      <c r="O1456">
        <v>-0.17875765699999999</v>
      </c>
      <c r="P1456">
        <v>16337.799800000001</v>
      </c>
      <c r="Q1456">
        <v>27.26</v>
      </c>
      <c r="R1456">
        <v>0.37</v>
      </c>
      <c r="S1456">
        <v>82.89</v>
      </c>
      <c r="T1456">
        <v>28</v>
      </c>
      <c r="U1456" s="1" t="s">
        <v>65</v>
      </c>
      <c r="V1456">
        <v>0.28999999999999998</v>
      </c>
    </row>
    <row r="1457" spans="1:22" x14ac:dyDescent="0.3">
      <c r="A1457" s="2">
        <v>45502</v>
      </c>
      <c r="B1457">
        <v>32400</v>
      </c>
      <c r="C1457">
        <v>1671</v>
      </c>
      <c r="D1457">
        <v>7</v>
      </c>
      <c r="E1457" s="1" t="s">
        <v>43</v>
      </c>
      <c r="F1457">
        <v>0</v>
      </c>
      <c r="G1457" s="1" t="s">
        <v>23</v>
      </c>
      <c r="H1457">
        <v>34385.714285714283</v>
      </c>
      <c r="I1457">
        <v>41390</v>
      </c>
      <c r="J1457">
        <v>34000</v>
      </c>
      <c r="K1457">
        <v>38400</v>
      </c>
      <c r="L1457">
        <v>45900</v>
      </c>
      <c r="M1457">
        <v>-1600</v>
      </c>
      <c r="N1457">
        <v>130.55779999999999</v>
      </c>
      <c r="O1457">
        <v>-0.17875765699999999</v>
      </c>
      <c r="P1457">
        <v>16283</v>
      </c>
      <c r="Q1457">
        <v>27.31</v>
      </c>
      <c r="R1457">
        <v>0.43</v>
      </c>
      <c r="S1457">
        <v>81.95</v>
      </c>
      <c r="T1457">
        <v>29</v>
      </c>
      <c r="U1457" s="1" t="s">
        <v>94</v>
      </c>
      <c r="V1457">
        <v>-4.71</v>
      </c>
    </row>
    <row r="1458" spans="1:22" x14ac:dyDescent="0.3">
      <c r="A1458" s="2">
        <v>45503</v>
      </c>
      <c r="B1458">
        <v>29900</v>
      </c>
      <c r="C1458">
        <v>1672</v>
      </c>
      <c r="D1458">
        <v>7</v>
      </c>
      <c r="E1458" s="1" t="s">
        <v>43</v>
      </c>
      <c r="F1458">
        <v>1</v>
      </c>
      <c r="G1458" s="1" t="s">
        <v>23</v>
      </c>
      <c r="H1458">
        <v>33478.571428571428</v>
      </c>
      <c r="I1458">
        <v>40856.666666666664</v>
      </c>
      <c r="J1458">
        <v>32400</v>
      </c>
      <c r="K1458">
        <v>36250</v>
      </c>
      <c r="L1458">
        <v>45900</v>
      </c>
      <c r="M1458">
        <v>-2500</v>
      </c>
      <c r="N1458">
        <v>130.55779999999999</v>
      </c>
      <c r="O1458">
        <v>-0.17875765699999999</v>
      </c>
      <c r="P1458">
        <v>16301.700199999999</v>
      </c>
      <c r="Q1458">
        <v>26.98</v>
      </c>
      <c r="R1458">
        <v>0.21</v>
      </c>
      <c r="S1458">
        <v>83.79</v>
      </c>
      <c r="T1458">
        <v>30</v>
      </c>
      <c r="U1458" s="1" t="s">
        <v>51</v>
      </c>
      <c r="V1458">
        <v>-7.72</v>
      </c>
    </row>
    <row r="1459" spans="1:22" x14ac:dyDescent="0.3">
      <c r="A1459" s="2">
        <v>45504</v>
      </c>
      <c r="B1459">
        <v>29400</v>
      </c>
      <c r="C1459">
        <v>1673</v>
      </c>
      <c r="D1459">
        <v>7</v>
      </c>
      <c r="E1459" s="1" t="s">
        <v>43</v>
      </c>
      <c r="F1459">
        <v>2</v>
      </c>
      <c r="G1459" s="1" t="s">
        <v>23</v>
      </c>
      <c r="H1459">
        <v>32514.285714285714</v>
      </c>
      <c r="I1459">
        <v>40315</v>
      </c>
      <c r="J1459">
        <v>29900</v>
      </c>
      <c r="K1459">
        <v>36150</v>
      </c>
      <c r="L1459">
        <v>45650</v>
      </c>
      <c r="M1459">
        <v>-500</v>
      </c>
      <c r="N1459">
        <v>130.55779999999999</v>
      </c>
      <c r="O1459">
        <v>-0.17875765699999999</v>
      </c>
      <c r="P1459">
        <v>16328.5</v>
      </c>
      <c r="Q1459">
        <v>27.06</v>
      </c>
      <c r="R1459">
        <v>1.98</v>
      </c>
      <c r="S1459">
        <v>85.48</v>
      </c>
      <c r="T1459">
        <v>31</v>
      </c>
      <c r="U1459" s="1" t="s">
        <v>24</v>
      </c>
      <c r="V1459">
        <v>-1.67</v>
      </c>
    </row>
    <row r="1460" spans="1:22" x14ac:dyDescent="0.3">
      <c r="A1460" s="2">
        <v>45505</v>
      </c>
      <c r="B1460">
        <v>29150</v>
      </c>
      <c r="C1460">
        <v>1674</v>
      </c>
      <c r="D1460">
        <v>8</v>
      </c>
      <c r="E1460" s="1" t="s">
        <v>43</v>
      </c>
      <c r="F1460">
        <v>3</v>
      </c>
      <c r="G1460" s="1" t="s">
        <v>23</v>
      </c>
      <c r="H1460">
        <v>31835.714285714286</v>
      </c>
      <c r="I1460">
        <v>39803.333333333336</v>
      </c>
      <c r="J1460">
        <v>29400</v>
      </c>
      <c r="K1460">
        <v>33900</v>
      </c>
      <c r="L1460">
        <v>44500</v>
      </c>
      <c r="M1460">
        <v>-250</v>
      </c>
      <c r="N1460">
        <v>130.52090000000001</v>
      </c>
      <c r="O1460">
        <v>-2.8263343999999999E-2</v>
      </c>
      <c r="P1460">
        <v>16255</v>
      </c>
      <c r="Q1460">
        <v>26.92</v>
      </c>
      <c r="R1460">
        <v>0.57999999999999996</v>
      </c>
      <c r="S1460">
        <v>83.65</v>
      </c>
      <c r="T1460">
        <v>1</v>
      </c>
      <c r="U1460" s="1" t="s">
        <v>35</v>
      </c>
      <c r="V1460">
        <v>-0.85</v>
      </c>
    </row>
    <row r="1461" spans="1:22" x14ac:dyDescent="0.3">
      <c r="A1461" s="2">
        <v>45506</v>
      </c>
      <c r="B1461">
        <v>30000</v>
      </c>
      <c r="C1461">
        <v>1675</v>
      </c>
      <c r="D1461">
        <v>8</v>
      </c>
      <c r="E1461" s="1" t="s">
        <v>43</v>
      </c>
      <c r="F1461">
        <v>4</v>
      </c>
      <c r="G1461" s="1" t="s">
        <v>23</v>
      </c>
      <c r="H1461">
        <v>31264.285714285714</v>
      </c>
      <c r="I1461">
        <v>39331.666666666664</v>
      </c>
      <c r="J1461">
        <v>29150</v>
      </c>
      <c r="K1461">
        <v>34000</v>
      </c>
      <c r="L1461">
        <v>44150</v>
      </c>
      <c r="M1461">
        <v>850</v>
      </c>
      <c r="N1461">
        <v>130.52090000000001</v>
      </c>
      <c r="O1461">
        <v>-2.8263343999999999E-2</v>
      </c>
      <c r="P1461">
        <v>16281</v>
      </c>
      <c r="Q1461">
        <v>26.7</v>
      </c>
      <c r="R1461">
        <v>1.07</v>
      </c>
      <c r="S1461">
        <v>85.39</v>
      </c>
      <c r="T1461">
        <v>2</v>
      </c>
      <c r="U1461" s="1" t="s">
        <v>69</v>
      </c>
      <c r="V1461">
        <v>2.92</v>
      </c>
    </row>
    <row r="1462" spans="1:22" x14ac:dyDescent="0.3">
      <c r="A1462" s="2">
        <v>45507</v>
      </c>
      <c r="B1462">
        <v>30000</v>
      </c>
      <c r="C1462">
        <v>1676</v>
      </c>
      <c r="D1462">
        <v>8</v>
      </c>
      <c r="E1462" s="1" t="s">
        <v>43</v>
      </c>
      <c r="F1462">
        <v>5</v>
      </c>
      <c r="G1462" s="1" t="s">
        <v>23</v>
      </c>
      <c r="H1462">
        <v>30692.857142857141</v>
      </c>
      <c r="I1462">
        <v>38840</v>
      </c>
      <c r="J1462">
        <v>30000</v>
      </c>
      <c r="K1462">
        <v>34000</v>
      </c>
      <c r="L1462">
        <v>44750</v>
      </c>
      <c r="M1462">
        <v>0</v>
      </c>
      <c r="N1462">
        <v>130.52090000000001</v>
      </c>
      <c r="O1462">
        <v>-2.8263343999999999E-2</v>
      </c>
      <c r="P1462">
        <v>16281</v>
      </c>
      <c r="Q1462">
        <v>26.86</v>
      </c>
      <c r="R1462">
        <v>6.68</v>
      </c>
      <c r="S1462">
        <v>85.21</v>
      </c>
      <c r="T1462">
        <v>3</v>
      </c>
      <c r="U1462" s="1" t="s">
        <v>69</v>
      </c>
      <c r="V1462">
        <v>2.92</v>
      </c>
    </row>
    <row r="1463" spans="1:22" x14ac:dyDescent="0.3">
      <c r="A1463" s="2">
        <v>45508</v>
      </c>
      <c r="B1463">
        <v>30000</v>
      </c>
      <c r="C1463">
        <v>1677</v>
      </c>
      <c r="D1463">
        <v>8</v>
      </c>
      <c r="E1463" s="1" t="s">
        <v>43</v>
      </c>
      <c r="F1463">
        <v>6</v>
      </c>
      <c r="G1463" s="1" t="s">
        <v>23</v>
      </c>
      <c r="H1463">
        <v>30121.428571428572</v>
      </c>
      <c r="I1463">
        <v>38348.333333333336</v>
      </c>
      <c r="J1463">
        <v>30000</v>
      </c>
      <c r="K1463">
        <v>34000</v>
      </c>
      <c r="L1463">
        <v>44750</v>
      </c>
      <c r="M1463">
        <v>0</v>
      </c>
      <c r="N1463">
        <v>130.52090000000001</v>
      </c>
      <c r="O1463">
        <v>-2.8263343999999999E-2</v>
      </c>
      <c r="P1463">
        <v>16281</v>
      </c>
      <c r="Q1463">
        <v>26.43</v>
      </c>
      <c r="R1463">
        <v>11.15</v>
      </c>
      <c r="S1463">
        <v>84.52</v>
      </c>
      <c r="T1463">
        <v>4</v>
      </c>
      <c r="U1463" s="1" t="s">
        <v>69</v>
      </c>
      <c r="V1463">
        <v>2.92</v>
      </c>
    </row>
    <row r="1464" spans="1:22" x14ac:dyDescent="0.3">
      <c r="A1464" s="2">
        <v>45509</v>
      </c>
      <c r="B1464">
        <v>31400</v>
      </c>
      <c r="C1464">
        <v>1678</v>
      </c>
      <c r="D1464">
        <v>8</v>
      </c>
      <c r="E1464" s="1" t="s">
        <v>43</v>
      </c>
      <c r="F1464">
        <v>0</v>
      </c>
      <c r="G1464" s="1" t="s">
        <v>23</v>
      </c>
      <c r="H1464">
        <v>29978.571428571428</v>
      </c>
      <c r="I1464">
        <v>37903.333333333336</v>
      </c>
      <c r="J1464">
        <v>30000</v>
      </c>
      <c r="K1464">
        <v>32400</v>
      </c>
      <c r="L1464">
        <v>44750</v>
      </c>
      <c r="M1464">
        <v>1400</v>
      </c>
      <c r="N1464">
        <v>130.52090000000001</v>
      </c>
      <c r="O1464">
        <v>-2.8263343999999999E-2</v>
      </c>
      <c r="P1464">
        <v>16012</v>
      </c>
      <c r="Q1464">
        <v>26.11</v>
      </c>
      <c r="R1464">
        <v>3.63</v>
      </c>
      <c r="S1464">
        <v>84.74</v>
      </c>
      <c r="T1464">
        <v>5</v>
      </c>
      <c r="U1464" s="1" t="s">
        <v>112</v>
      </c>
      <c r="V1464">
        <v>4.67</v>
      </c>
    </row>
    <row r="1465" spans="1:22" x14ac:dyDescent="0.3">
      <c r="A1465" s="2">
        <v>45510</v>
      </c>
      <c r="B1465">
        <v>32250</v>
      </c>
      <c r="C1465">
        <v>1679</v>
      </c>
      <c r="D1465">
        <v>8</v>
      </c>
      <c r="E1465" s="1" t="s">
        <v>43</v>
      </c>
      <c r="F1465">
        <v>1</v>
      </c>
      <c r="G1465" s="1" t="s">
        <v>23</v>
      </c>
      <c r="H1465">
        <v>30314.285714285714</v>
      </c>
      <c r="I1465">
        <v>37486.666666666664</v>
      </c>
      <c r="J1465">
        <v>31400</v>
      </c>
      <c r="K1465">
        <v>29900</v>
      </c>
      <c r="L1465">
        <v>44750</v>
      </c>
      <c r="M1465">
        <v>850</v>
      </c>
      <c r="N1465">
        <v>130.52090000000001</v>
      </c>
      <c r="O1465">
        <v>-2.8263343999999999E-2</v>
      </c>
      <c r="P1465">
        <v>16208</v>
      </c>
      <c r="Q1465">
        <v>26.62</v>
      </c>
      <c r="R1465">
        <v>1.92</v>
      </c>
      <c r="S1465">
        <v>83.29</v>
      </c>
      <c r="T1465">
        <v>6</v>
      </c>
      <c r="U1465" s="1" t="s">
        <v>69</v>
      </c>
      <c r="V1465">
        <v>2.71</v>
      </c>
    </row>
    <row r="1466" spans="1:22" x14ac:dyDescent="0.3">
      <c r="A1466" s="2">
        <v>45511</v>
      </c>
      <c r="B1466">
        <v>31400</v>
      </c>
      <c r="C1466">
        <v>1680</v>
      </c>
      <c r="D1466">
        <v>8</v>
      </c>
      <c r="E1466" s="1" t="s">
        <v>43</v>
      </c>
      <c r="F1466">
        <v>2</v>
      </c>
      <c r="G1466" s="1" t="s">
        <v>23</v>
      </c>
      <c r="H1466">
        <v>30600</v>
      </c>
      <c r="I1466">
        <v>37025</v>
      </c>
      <c r="J1466">
        <v>32250</v>
      </c>
      <c r="K1466">
        <v>29400</v>
      </c>
      <c r="L1466">
        <v>45250</v>
      </c>
      <c r="M1466">
        <v>-850</v>
      </c>
      <c r="N1466">
        <v>130.52090000000001</v>
      </c>
      <c r="O1466">
        <v>-2.8263343999999999E-2</v>
      </c>
      <c r="P1466">
        <v>16152.299800000001</v>
      </c>
      <c r="Q1466">
        <v>26.13</v>
      </c>
      <c r="R1466">
        <v>9.17</v>
      </c>
      <c r="S1466">
        <v>87.51</v>
      </c>
      <c r="T1466">
        <v>7</v>
      </c>
      <c r="U1466" s="1" t="s">
        <v>60</v>
      </c>
      <c r="V1466">
        <v>-2.64</v>
      </c>
    </row>
    <row r="1467" spans="1:22" x14ac:dyDescent="0.3">
      <c r="A1467" s="2">
        <v>45512</v>
      </c>
      <c r="B1467">
        <v>31250</v>
      </c>
      <c r="C1467">
        <v>1681</v>
      </c>
      <c r="D1467">
        <v>8</v>
      </c>
      <c r="E1467" s="1" t="s">
        <v>43</v>
      </c>
      <c r="F1467">
        <v>3</v>
      </c>
      <c r="G1467" s="1" t="s">
        <v>23</v>
      </c>
      <c r="H1467">
        <v>30900</v>
      </c>
      <c r="I1467">
        <v>36575</v>
      </c>
      <c r="J1467">
        <v>31400</v>
      </c>
      <c r="K1467">
        <v>29150</v>
      </c>
      <c r="L1467">
        <v>44750</v>
      </c>
      <c r="M1467">
        <v>-150</v>
      </c>
      <c r="N1467">
        <v>130.52090000000001</v>
      </c>
      <c r="O1467">
        <v>-2.8263343999999999E-2</v>
      </c>
      <c r="P1467">
        <v>16023</v>
      </c>
      <c r="Q1467">
        <v>26.35</v>
      </c>
      <c r="R1467">
        <v>1.95</v>
      </c>
      <c r="S1467">
        <v>86.57</v>
      </c>
      <c r="T1467">
        <v>8</v>
      </c>
      <c r="U1467" s="1" t="s">
        <v>101</v>
      </c>
      <c r="V1467">
        <v>-0.48</v>
      </c>
    </row>
    <row r="1468" spans="1:22" x14ac:dyDescent="0.3">
      <c r="A1468" s="2">
        <v>45513</v>
      </c>
      <c r="B1468">
        <v>31250</v>
      </c>
      <c r="C1468">
        <v>1682</v>
      </c>
      <c r="D1468">
        <v>8</v>
      </c>
      <c r="E1468" s="1" t="s">
        <v>43</v>
      </c>
      <c r="F1468">
        <v>4</v>
      </c>
      <c r="G1468" s="1" t="s">
        <v>23</v>
      </c>
      <c r="H1468">
        <v>31078.571428571428</v>
      </c>
      <c r="I1468">
        <v>36125</v>
      </c>
      <c r="J1468">
        <v>31250</v>
      </c>
      <c r="K1468">
        <v>30000</v>
      </c>
      <c r="L1468">
        <v>44750</v>
      </c>
      <c r="M1468">
        <v>0</v>
      </c>
      <c r="N1468">
        <v>130.52090000000001</v>
      </c>
      <c r="O1468">
        <v>-2.8263343999999999E-2</v>
      </c>
      <c r="P1468">
        <v>15979</v>
      </c>
      <c r="Q1468">
        <v>26.84</v>
      </c>
      <c r="R1468">
        <v>2.99</v>
      </c>
      <c r="S1468">
        <v>84.74</v>
      </c>
      <c r="T1468">
        <v>9</v>
      </c>
      <c r="U1468" s="1" t="s">
        <v>25</v>
      </c>
      <c r="V1468">
        <v>0</v>
      </c>
    </row>
    <row r="1469" spans="1:22" x14ac:dyDescent="0.3">
      <c r="A1469" s="2">
        <v>45514</v>
      </c>
      <c r="B1469">
        <v>31250</v>
      </c>
      <c r="C1469">
        <v>1683</v>
      </c>
      <c r="D1469">
        <v>8</v>
      </c>
      <c r="E1469" s="1" t="s">
        <v>43</v>
      </c>
      <c r="F1469">
        <v>5</v>
      </c>
      <c r="G1469" s="1" t="s">
        <v>23</v>
      </c>
      <c r="H1469">
        <v>31257.142857142859</v>
      </c>
      <c r="I1469">
        <v>35691.666666666664</v>
      </c>
      <c r="J1469">
        <v>31250</v>
      </c>
      <c r="K1469">
        <v>30000</v>
      </c>
      <c r="L1469">
        <v>44250</v>
      </c>
      <c r="M1469">
        <v>0</v>
      </c>
      <c r="N1469">
        <v>130.52090000000001</v>
      </c>
      <c r="O1469">
        <v>-2.8263343999999999E-2</v>
      </c>
      <c r="P1469">
        <v>15979</v>
      </c>
      <c r="Q1469">
        <v>26.48</v>
      </c>
      <c r="R1469">
        <v>2.27</v>
      </c>
      <c r="S1469">
        <v>84.43</v>
      </c>
      <c r="T1469">
        <v>10</v>
      </c>
      <c r="U1469" s="1" t="s">
        <v>25</v>
      </c>
      <c r="V1469">
        <v>0</v>
      </c>
    </row>
    <row r="1470" spans="1:22" x14ac:dyDescent="0.3">
      <c r="A1470" s="2">
        <v>45515</v>
      </c>
      <c r="B1470">
        <v>31250</v>
      </c>
      <c r="C1470">
        <v>1684</v>
      </c>
      <c r="D1470">
        <v>8</v>
      </c>
      <c r="E1470" s="1" t="s">
        <v>43</v>
      </c>
      <c r="F1470">
        <v>6</v>
      </c>
      <c r="G1470" s="1" t="s">
        <v>23</v>
      </c>
      <c r="H1470">
        <v>31435.714285714286</v>
      </c>
      <c r="I1470">
        <v>35258.333333333336</v>
      </c>
      <c r="J1470">
        <v>31250</v>
      </c>
      <c r="K1470">
        <v>30000</v>
      </c>
      <c r="L1470">
        <v>44250</v>
      </c>
      <c r="M1470">
        <v>0</v>
      </c>
      <c r="N1470">
        <v>130.52090000000001</v>
      </c>
      <c r="O1470">
        <v>-2.8263343999999999E-2</v>
      </c>
      <c r="P1470">
        <v>15979</v>
      </c>
      <c r="Q1470">
        <v>26.91</v>
      </c>
      <c r="R1470">
        <v>2.13</v>
      </c>
      <c r="S1470">
        <v>81.59</v>
      </c>
      <c r="T1470">
        <v>11</v>
      </c>
      <c r="U1470" s="1" t="s">
        <v>25</v>
      </c>
      <c r="V1470">
        <v>0</v>
      </c>
    </row>
    <row r="1471" spans="1:22" x14ac:dyDescent="0.3">
      <c r="A1471" s="2">
        <v>45516</v>
      </c>
      <c r="B1471">
        <v>30750</v>
      </c>
      <c r="C1471">
        <v>1685</v>
      </c>
      <c r="D1471">
        <v>8</v>
      </c>
      <c r="E1471" s="1" t="s">
        <v>43</v>
      </c>
      <c r="F1471">
        <v>0</v>
      </c>
      <c r="G1471" s="1" t="s">
        <v>23</v>
      </c>
      <c r="H1471">
        <v>31342.857142857141</v>
      </c>
      <c r="I1471">
        <v>34808.333333333336</v>
      </c>
      <c r="J1471">
        <v>31250</v>
      </c>
      <c r="K1471">
        <v>31400</v>
      </c>
      <c r="L1471">
        <v>44250</v>
      </c>
      <c r="M1471">
        <v>-500</v>
      </c>
      <c r="N1471">
        <v>130.52090000000001</v>
      </c>
      <c r="O1471">
        <v>-2.8263343999999999E-2</v>
      </c>
      <c r="P1471">
        <v>15918</v>
      </c>
      <c r="Q1471">
        <v>26.74</v>
      </c>
      <c r="R1471">
        <v>7.36</v>
      </c>
      <c r="S1471">
        <v>85.2</v>
      </c>
      <c r="T1471">
        <v>12</v>
      </c>
      <c r="U1471" s="1" t="s">
        <v>24</v>
      </c>
      <c r="V1471">
        <v>-1.6</v>
      </c>
    </row>
    <row r="1472" spans="1:22" x14ac:dyDescent="0.3">
      <c r="A1472" s="2">
        <v>45517</v>
      </c>
      <c r="B1472">
        <v>27150</v>
      </c>
      <c r="C1472">
        <v>1686</v>
      </c>
      <c r="D1472">
        <v>8</v>
      </c>
      <c r="E1472" s="1" t="s">
        <v>43</v>
      </c>
      <c r="F1472">
        <v>1</v>
      </c>
      <c r="G1472" s="1" t="s">
        <v>23</v>
      </c>
      <c r="H1472">
        <v>30614.285714285714</v>
      </c>
      <c r="I1472">
        <v>34238.333333333336</v>
      </c>
      <c r="J1472">
        <v>30750</v>
      </c>
      <c r="K1472">
        <v>32250</v>
      </c>
      <c r="L1472">
        <v>44250</v>
      </c>
      <c r="M1472">
        <v>-3600</v>
      </c>
      <c r="N1472">
        <v>130.52090000000001</v>
      </c>
      <c r="O1472">
        <v>-2.8263343999999999E-2</v>
      </c>
      <c r="P1472">
        <v>15949.099609999999</v>
      </c>
      <c r="Q1472">
        <v>26.32</v>
      </c>
      <c r="R1472">
        <v>11.83</v>
      </c>
      <c r="S1472">
        <v>85.26</v>
      </c>
      <c r="T1472">
        <v>13</v>
      </c>
      <c r="U1472" s="1" t="s">
        <v>113</v>
      </c>
      <c r="V1472">
        <v>-11.71</v>
      </c>
    </row>
    <row r="1473" spans="1:22" x14ac:dyDescent="0.3">
      <c r="A1473" s="2">
        <v>45518</v>
      </c>
      <c r="B1473">
        <v>31150</v>
      </c>
      <c r="C1473">
        <v>1687</v>
      </c>
      <c r="D1473">
        <v>8</v>
      </c>
      <c r="E1473" s="1" t="s">
        <v>43</v>
      </c>
      <c r="F1473">
        <v>2</v>
      </c>
      <c r="G1473" s="1" t="s">
        <v>23</v>
      </c>
      <c r="H1473">
        <v>30578.571428571428</v>
      </c>
      <c r="I1473">
        <v>33813.333333333336</v>
      </c>
      <c r="J1473">
        <v>27150</v>
      </c>
      <c r="K1473">
        <v>31400</v>
      </c>
      <c r="L1473">
        <v>43900</v>
      </c>
      <c r="M1473">
        <v>4000</v>
      </c>
      <c r="N1473">
        <v>130.52090000000001</v>
      </c>
      <c r="O1473">
        <v>-2.8263343999999999E-2</v>
      </c>
      <c r="P1473">
        <v>15749</v>
      </c>
      <c r="Q1473">
        <v>26.22</v>
      </c>
      <c r="R1473">
        <v>2.39</v>
      </c>
      <c r="S1473">
        <v>84.05</v>
      </c>
      <c r="T1473">
        <v>14</v>
      </c>
      <c r="U1473" s="1" t="s">
        <v>32</v>
      </c>
      <c r="V1473">
        <v>14.73</v>
      </c>
    </row>
    <row r="1474" spans="1:22" x14ac:dyDescent="0.3">
      <c r="A1474" s="2">
        <v>45519</v>
      </c>
      <c r="B1474">
        <v>32150</v>
      </c>
      <c r="C1474">
        <v>1688</v>
      </c>
      <c r="D1474">
        <v>8</v>
      </c>
      <c r="E1474" s="1" t="s">
        <v>43</v>
      </c>
      <c r="F1474">
        <v>3</v>
      </c>
      <c r="G1474" s="1" t="s">
        <v>23</v>
      </c>
      <c r="H1474">
        <v>30707.142857142859</v>
      </c>
      <c r="I1474">
        <v>33460</v>
      </c>
      <c r="J1474">
        <v>31150</v>
      </c>
      <c r="K1474">
        <v>31250</v>
      </c>
      <c r="L1474">
        <v>42750</v>
      </c>
      <c r="M1474">
        <v>1000</v>
      </c>
      <c r="N1474">
        <v>130.52090000000001</v>
      </c>
      <c r="O1474">
        <v>-2.8263343999999999E-2</v>
      </c>
      <c r="P1474">
        <v>15619.5</v>
      </c>
      <c r="Q1474">
        <v>26.67</v>
      </c>
      <c r="R1474">
        <v>0.94</v>
      </c>
      <c r="S1474">
        <v>85.53</v>
      </c>
      <c r="T1474">
        <v>15</v>
      </c>
      <c r="U1474" s="1" t="s">
        <v>29</v>
      </c>
      <c r="V1474">
        <v>3.21</v>
      </c>
    </row>
    <row r="1475" spans="1:22" x14ac:dyDescent="0.3">
      <c r="A1475" s="2">
        <v>45520</v>
      </c>
      <c r="B1475">
        <v>32150</v>
      </c>
      <c r="C1475">
        <v>1689</v>
      </c>
      <c r="D1475">
        <v>8</v>
      </c>
      <c r="E1475" s="1" t="s">
        <v>43</v>
      </c>
      <c r="F1475">
        <v>4</v>
      </c>
      <c r="G1475" s="1" t="s">
        <v>23</v>
      </c>
      <c r="H1475">
        <v>30835.714285714286</v>
      </c>
      <c r="I1475">
        <v>33140</v>
      </c>
      <c r="J1475">
        <v>32150</v>
      </c>
      <c r="K1475">
        <v>31250</v>
      </c>
      <c r="L1475">
        <v>41750</v>
      </c>
      <c r="M1475">
        <v>0</v>
      </c>
      <c r="N1475">
        <v>130.52090000000001</v>
      </c>
      <c r="O1475">
        <v>-2.8263343999999999E-2</v>
      </c>
      <c r="P1475">
        <v>15755</v>
      </c>
      <c r="Q1475">
        <v>26.53</v>
      </c>
      <c r="R1475">
        <v>1.66</v>
      </c>
      <c r="S1475">
        <v>86.2</v>
      </c>
      <c r="T1475">
        <v>16</v>
      </c>
      <c r="U1475" s="1" t="s">
        <v>25</v>
      </c>
      <c r="V1475">
        <v>0</v>
      </c>
    </row>
    <row r="1476" spans="1:22" x14ac:dyDescent="0.3">
      <c r="A1476" s="2">
        <v>45521</v>
      </c>
      <c r="B1476">
        <v>32150</v>
      </c>
      <c r="C1476">
        <v>1690</v>
      </c>
      <c r="D1476">
        <v>8</v>
      </c>
      <c r="E1476" s="1" t="s">
        <v>43</v>
      </c>
      <c r="F1476">
        <v>5</v>
      </c>
      <c r="G1476" s="1" t="s">
        <v>44</v>
      </c>
      <c r="H1476">
        <v>30964.285714285714</v>
      </c>
      <c r="I1476">
        <v>32820</v>
      </c>
      <c r="J1476">
        <v>32150</v>
      </c>
      <c r="K1476">
        <v>31250</v>
      </c>
      <c r="L1476">
        <v>41750</v>
      </c>
      <c r="M1476">
        <v>0</v>
      </c>
      <c r="N1476">
        <v>130.52090000000001</v>
      </c>
      <c r="O1476">
        <v>-2.8263343999999999E-2</v>
      </c>
      <c r="P1476">
        <v>15755</v>
      </c>
      <c r="Q1476">
        <v>26.58</v>
      </c>
      <c r="R1476">
        <v>3.85</v>
      </c>
      <c r="S1476">
        <v>86.46</v>
      </c>
      <c r="T1476">
        <v>17</v>
      </c>
      <c r="U1476" s="1" t="s">
        <v>25</v>
      </c>
      <c r="V1476">
        <v>0</v>
      </c>
    </row>
    <row r="1477" spans="1:22" x14ac:dyDescent="0.3">
      <c r="A1477" s="2">
        <v>45522</v>
      </c>
      <c r="B1477">
        <v>32150</v>
      </c>
      <c r="C1477">
        <v>1691</v>
      </c>
      <c r="D1477">
        <v>8</v>
      </c>
      <c r="E1477" s="1" t="s">
        <v>43</v>
      </c>
      <c r="F1477">
        <v>6</v>
      </c>
      <c r="G1477" s="1" t="s">
        <v>23</v>
      </c>
      <c r="H1477">
        <v>31092.857142857141</v>
      </c>
      <c r="I1477">
        <v>32541.666666666668</v>
      </c>
      <c r="J1477">
        <v>32150</v>
      </c>
      <c r="K1477">
        <v>31250</v>
      </c>
      <c r="L1477">
        <v>40500</v>
      </c>
      <c r="M1477">
        <v>0</v>
      </c>
      <c r="N1477">
        <v>130.52090000000001</v>
      </c>
      <c r="O1477">
        <v>-2.8263343999999999E-2</v>
      </c>
      <c r="P1477">
        <v>15755</v>
      </c>
      <c r="Q1477">
        <v>26.78</v>
      </c>
      <c r="R1477">
        <v>2.4500000000000002</v>
      </c>
      <c r="S1477">
        <v>84.81</v>
      </c>
      <c r="T1477">
        <v>18</v>
      </c>
      <c r="U1477" s="1" t="s">
        <v>25</v>
      </c>
      <c r="V1477">
        <v>0</v>
      </c>
    </row>
    <row r="1478" spans="1:22" x14ac:dyDescent="0.3">
      <c r="A1478" s="2">
        <v>45523</v>
      </c>
      <c r="B1478">
        <v>30900</v>
      </c>
      <c r="C1478">
        <v>1692</v>
      </c>
      <c r="D1478">
        <v>8</v>
      </c>
      <c r="E1478" s="1" t="s">
        <v>43</v>
      </c>
      <c r="F1478">
        <v>0</v>
      </c>
      <c r="G1478" s="1" t="s">
        <v>23</v>
      </c>
      <c r="H1478">
        <v>31114.285714285714</v>
      </c>
      <c r="I1478">
        <v>32221.666666666668</v>
      </c>
      <c r="J1478">
        <v>32150</v>
      </c>
      <c r="K1478">
        <v>30750</v>
      </c>
      <c r="L1478">
        <v>40500</v>
      </c>
      <c r="M1478">
        <v>-1250</v>
      </c>
      <c r="N1478">
        <v>130.52090000000001</v>
      </c>
      <c r="O1478">
        <v>-2.8263343999999999E-2</v>
      </c>
      <c r="P1478">
        <v>15683</v>
      </c>
      <c r="Q1478">
        <v>26.68</v>
      </c>
      <c r="R1478">
        <v>1.44</v>
      </c>
      <c r="S1478">
        <v>86.52</v>
      </c>
      <c r="T1478">
        <v>19</v>
      </c>
      <c r="U1478" s="1" t="s">
        <v>40</v>
      </c>
      <c r="V1478">
        <v>-3.89</v>
      </c>
    </row>
    <row r="1479" spans="1:22" x14ac:dyDescent="0.3">
      <c r="A1479" s="2">
        <v>45524</v>
      </c>
      <c r="B1479">
        <v>30650</v>
      </c>
      <c r="C1479">
        <v>1693</v>
      </c>
      <c r="D1479">
        <v>8</v>
      </c>
      <c r="E1479" s="1" t="s">
        <v>43</v>
      </c>
      <c r="F1479">
        <v>1</v>
      </c>
      <c r="G1479" s="1" t="s">
        <v>23</v>
      </c>
      <c r="H1479">
        <v>31614.285714285714</v>
      </c>
      <c r="I1479">
        <v>31893.333333333332</v>
      </c>
      <c r="J1479">
        <v>30900</v>
      </c>
      <c r="K1479">
        <v>27150</v>
      </c>
      <c r="L1479">
        <v>40500</v>
      </c>
      <c r="M1479">
        <v>-250</v>
      </c>
      <c r="N1479">
        <v>130.52090000000001</v>
      </c>
      <c r="O1479">
        <v>-2.8263343999999999E-2</v>
      </c>
      <c r="P1479">
        <v>15523</v>
      </c>
      <c r="Q1479">
        <v>26.45</v>
      </c>
      <c r="R1479">
        <v>3.94</v>
      </c>
      <c r="S1479">
        <v>88.19</v>
      </c>
      <c r="T1479">
        <v>20</v>
      </c>
      <c r="U1479" s="1" t="s">
        <v>35</v>
      </c>
      <c r="V1479">
        <v>-0.81</v>
      </c>
    </row>
    <row r="1480" spans="1:22" x14ac:dyDescent="0.3">
      <c r="A1480" s="2">
        <v>45525</v>
      </c>
      <c r="B1480">
        <v>30400</v>
      </c>
      <c r="C1480">
        <v>1694</v>
      </c>
      <c r="D1480">
        <v>8</v>
      </c>
      <c r="E1480" s="1" t="s">
        <v>43</v>
      </c>
      <c r="F1480">
        <v>2</v>
      </c>
      <c r="G1480" s="1" t="s">
        <v>23</v>
      </c>
      <c r="H1480">
        <v>31507.142857142859</v>
      </c>
      <c r="I1480">
        <v>31626.666666666668</v>
      </c>
      <c r="J1480">
        <v>30650</v>
      </c>
      <c r="K1480">
        <v>31150</v>
      </c>
      <c r="L1480">
        <v>38400</v>
      </c>
      <c r="M1480">
        <v>-250</v>
      </c>
      <c r="N1480">
        <v>130.52090000000001</v>
      </c>
      <c r="O1480">
        <v>-2.8263343999999999E-2</v>
      </c>
      <c r="P1480">
        <v>15442</v>
      </c>
      <c r="Q1480">
        <v>26.43</v>
      </c>
      <c r="R1480">
        <v>8.6</v>
      </c>
      <c r="S1480">
        <v>84.43</v>
      </c>
      <c r="T1480">
        <v>21</v>
      </c>
      <c r="U1480" s="1" t="s">
        <v>35</v>
      </c>
      <c r="V1480">
        <v>-0.82</v>
      </c>
    </row>
    <row r="1481" spans="1:22" x14ac:dyDescent="0.3">
      <c r="A1481" s="2">
        <v>45526</v>
      </c>
      <c r="B1481">
        <v>30400</v>
      </c>
      <c r="C1481">
        <v>1695</v>
      </c>
      <c r="D1481">
        <v>8</v>
      </c>
      <c r="E1481" s="1" t="s">
        <v>43</v>
      </c>
      <c r="F1481">
        <v>3</v>
      </c>
      <c r="G1481" s="1" t="s">
        <v>23</v>
      </c>
      <c r="H1481">
        <v>31257.142857142859</v>
      </c>
      <c r="I1481">
        <v>31431.666666666668</v>
      </c>
      <c r="J1481">
        <v>30400</v>
      </c>
      <c r="K1481">
        <v>32150</v>
      </c>
      <c r="L1481">
        <v>36250</v>
      </c>
      <c r="M1481">
        <v>0</v>
      </c>
      <c r="N1481">
        <v>130.52090000000001</v>
      </c>
      <c r="O1481">
        <v>-2.8263343999999999E-2</v>
      </c>
      <c r="P1481">
        <v>15484</v>
      </c>
      <c r="Q1481">
        <v>26.59</v>
      </c>
      <c r="R1481">
        <v>5.16</v>
      </c>
      <c r="S1481">
        <v>81.59</v>
      </c>
      <c r="T1481">
        <v>22</v>
      </c>
      <c r="U1481" s="1" t="s">
        <v>25</v>
      </c>
      <c r="V1481">
        <v>0</v>
      </c>
    </row>
    <row r="1482" spans="1:22" x14ac:dyDescent="0.3">
      <c r="A1482" s="2">
        <v>45527</v>
      </c>
      <c r="B1482">
        <v>30400</v>
      </c>
      <c r="C1482">
        <v>1696</v>
      </c>
      <c r="D1482">
        <v>8</v>
      </c>
      <c r="E1482" s="1" t="s">
        <v>43</v>
      </c>
      <c r="F1482">
        <v>4</v>
      </c>
      <c r="G1482" s="1" t="s">
        <v>23</v>
      </c>
      <c r="H1482">
        <v>31007.142857142859</v>
      </c>
      <c r="I1482">
        <v>31240</v>
      </c>
      <c r="J1482">
        <v>30400</v>
      </c>
      <c r="K1482">
        <v>32150</v>
      </c>
      <c r="L1482">
        <v>36150</v>
      </c>
      <c r="M1482">
        <v>0</v>
      </c>
      <c r="N1482">
        <v>130.52090000000001</v>
      </c>
      <c r="O1482">
        <v>-2.8263343999999999E-2</v>
      </c>
      <c r="P1482">
        <v>15728.5</v>
      </c>
      <c r="Q1482">
        <v>26.86</v>
      </c>
      <c r="R1482">
        <v>2.73</v>
      </c>
      <c r="S1482">
        <v>83.32</v>
      </c>
      <c r="T1482">
        <v>23</v>
      </c>
      <c r="U1482" s="1" t="s">
        <v>25</v>
      </c>
      <c r="V1482">
        <v>0</v>
      </c>
    </row>
    <row r="1483" spans="1:22" x14ac:dyDescent="0.3">
      <c r="A1483" s="2">
        <v>45530</v>
      </c>
      <c r="B1483">
        <v>30150</v>
      </c>
      <c r="C1483">
        <v>1699</v>
      </c>
      <c r="D1483">
        <v>8</v>
      </c>
      <c r="E1483" s="1" t="s">
        <v>43</v>
      </c>
      <c r="F1483">
        <v>0</v>
      </c>
      <c r="G1483" s="1" t="s">
        <v>23</v>
      </c>
      <c r="K1483">
        <v>30900</v>
      </c>
      <c r="L1483">
        <v>34000</v>
      </c>
      <c r="N1483">
        <v>130.52090000000001</v>
      </c>
      <c r="O1483">
        <v>-2.8263343999999999E-2</v>
      </c>
      <c r="P1483">
        <v>15377.200199999999</v>
      </c>
      <c r="Q1483">
        <v>27.21</v>
      </c>
      <c r="R1483">
        <v>3.34</v>
      </c>
      <c r="S1483">
        <v>82.65</v>
      </c>
      <c r="T1483">
        <v>26</v>
      </c>
      <c r="U1483" s="1"/>
      <c r="V1483">
        <v>0</v>
      </c>
    </row>
    <row r="1484" spans="1:22" x14ac:dyDescent="0.3">
      <c r="A1484" s="2">
        <v>45531</v>
      </c>
      <c r="B1484">
        <v>29900</v>
      </c>
      <c r="C1484">
        <v>1700</v>
      </c>
      <c r="D1484">
        <v>8</v>
      </c>
      <c r="E1484" s="1" t="s">
        <v>43</v>
      </c>
      <c r="F1484">
        <v>1</v>
      </c>
      <c r="G1484" s="1" t="s">
        <v>23</v>
      </c>
      <c r="J1484">
        <v>30150</v>
      </c>
      <c r="K1484">
        <v>30650</v>
      </c>
      <c r="L1484">
        <v>34000</v>
      </c>
      <c r="M1484">
        <v>-250</v>
      </c>
      <c r="N1484">
        <v>130.52090000000001</v>
      </c>
      <c r="O1484">
        <v>-2.8263343999999999E-2</v>
      </c>
      <c r="P1484">
        <v>15462.599609999999</v>
      </c>
      <c r="Q1484">
        <v>27.48</v>
      </c>
      <c r="R1484">
        <v>2.08</v>
      </c>
      <c r="S1484">
        <v>78.569999999999993</v>
      </c>
      <c r="T1484">
        <v>27</v>
      </c>
      <c r="U1484" s="1" t="s">
        <v>35</v>
      </c>
      <c r="V1484">
        <v>-0.83</v>
      </c>
    </row>
    <row r="1485" spans="1:22" x14ac:dyDescent="0.3">
      <c r="A1485" s="2">
        <v>45532</v>
      </c>
      <c r="B1485">
        <v>30400</v>
      </c>
      <c r="C1485">
        <v>1701</v>
      </c>
      <c r="D1485">
        <v>8</v>
      </c>
      <c r="E1485" s="1" t="s">
        <v>43</v>
      </c>
      <c r="F1485">
        <v>2</v>
      </c>
      <c r="G1485" s="1" t="s">
        <v>23</v>
      </c>
      <c r="J1485">
        <v>29900</v>
      </c>
      <c r="K1485">
        <v>30400</v>
      </c>
      <c r="L1485">
        <v>32400</v>
      </c>
      <c r="M1485">
        <v>500</v>
      </c>
      <c r="N1485">
        <v>130.52090000000001</v>
      </c>
      <c r="O1485">
        <v>-2.8263343999999999E-2</v>
      </c>
      <c r="P1485">
        <v>15467.099609999999</v>
      </c>
      <c r="Q1485">
        <v>27.72</v>
      </c>
      <c r="R1485">
        <v>3.07</v>
      </c>
      <c r="S1485">
        <v>79.67</v>
      </c>
      <c r="T1485">
        <v>28</v>
      </c>
      <c r="U1485" s="1" t="s">
        <v>26</v>
      </c>
      <c r="V1485">
        <v>1.67</v>
      </c>
    </row>
    <row r="1486" spans="1:22" x14ac:dyDescent="0.3">
      <c r="A1486" s="2">
        <v>45533</v>
      </c>
      <c r="B1486">
        <v>30400</v>
      </c>
      <c r="C1486">
        <v>1702</v>
      </c>
      <c r="D1486">
        <v>8</v>
      </c>
      <c r="E1486" s="1" t="s">
        <v>43</v>
      </c>
      <c r="F1486">
        <v>3</v>
      </c>
      <c r="G1486" s="1" t="s">
        <v>23</v>
      </c>
      <c r="J1486">
        <v>30400</v>
      </c>
      <c r="K1486">
        <v>30400</v>
      </c>
      <c r="L1486">
        <v>29900</v>
      </c>
      <c r="M1486">
        <v>0</v>
      </c>
      <c r="N1486">
        <v>130.52090000000001</v>
      </c>
      <c r="O1486">
        <v>-2.8263343999999999E-2</v>
      </c>
      <c r="P1486">
        <v>15440</v>
      </c>
      <c r="Q1486">
        <v>27.03</v>
      </c>
      <c r="R1486">
        <v>6.22</v>
      </c>
      <c r="S1486">
        <v>78.44</v>
      </c>
      <c r="T1486">
        <v>29</v>
      </c>
      <c r="U1486" s="1" t="s">
        <v>25</v>
      </c>
      <c r="V1486">
        <v>0</v>
      </c>
    </row>
    <row r="1487" spans="1:22" x14ac:dyDescent="0.3">
      <c r="A1487" s="2">
        <v>45534</v>
      </c>
      <c r="B1487">
        <v>30150</v>
      </c>
      <c r="C1487">
        <v>1703</v>
      </c>
      <c r="D1487">
        <v>8</v>
      </c>
      <c r="E1487" s="1" t="s">
        <v>43</v>
      </c>
      <c r="F1487">
        <v>4</v>
      </c>
      <c r="G1487" s="1" t="s">
        <v>23</v>
      </c>
      <c r="J1487">
        <v>30400</v>
      </c>
      <c r="K1487">
        <v>30400</v>
      </c>
      <c r="L1487">
        <v>29400</v>
      </c>
      <c r="M1487">
        <v>-250</v>
      </c>
      <c r="N1487">
        <v>130.52090000000001</v>
      </c>
      <c r="O1487">
        <v>-2.8263343999999999E-2</v>
      </c>
      <c r="P1487">
        <v>15444.799800000001</v>
      </c>
      <c r="Q1487">
        <v>26.7</v>
      </c>
      <c r="R1487">
        <v>15.49</v>
      </c>
      <c r="S1487">
        <v>79.849999999999994</v>
      </c>
      <c r="T1487">
        <v>30</v>
      </c>
      <c r="U1487" s="1" t="s">
        <v>35</v>
      </c>
      <c r="V1487">
        <v>-0.82</v>
      </c>
    </row>
    <row r="1488" spans="1:22" x14ac:dyDescent="0.3">
      <c r="A1488" s="2">
        <v>45535</v>
      </c>
      <c r="B1488">
        <v>30150</v>
      </c>
      <c r="C1488">
        <v>1704</v>
      </c>
      <c r="D1488">
        <v>8</v>
      </c>
      <c r="E1488" s="1" t="s">
        <v>43</v>
      </c>
      <c r="F1488">
        <v>5</v>
      </c>
      <c r="G1488" s="1" t="s">
        <v>23</v>
      </c>
      <c r="J1488">
        <v>30150</v>
      </c>
      <c r="L1488">
        <v>29150</v>
      </c>
      <c r="M1488">
        <v>0</v>
      </c>
      <c r="N1488">
        <v>130.52090000000001</v>
      </c>
      <c r="O1488">
        <v>-2.8263343999999999E-2</v>
      </c>
      <c r="P1488">
        <v>15444.799800000001</v>
      </c>
      <c r="Q1488">
        <v>26.66</v>
      </c>
      <c r="R1488">
        <v>7.27</v>
      </c>
      <c r="S1488">
        <v>82.34</v>
      </c>
      <c r="T1488">
        <v>31</v>
      </c>
      <c r="U1488" s="1" t="s">
        <v>35</v>
      </c>
      <c r="V1488">
        <v>-0.82</v>
      </c>
    </row>
    <row r="1489" spans="1:22" x14ac:dyDescent="0.3">
      <c r="A1489" s="2">
        <v>45536</v>
      </c>
      <c r="B1489">
        <v>30150</v>
      </c>
      <c r="C1489">
        <v>1705</v>
      </c>
      <c r="D1489">
        <v>9</v>
      </c>
      <c r="E1489" s="1" t="s">
        <v>43</v>
      </c>
      <c r="F1489">
        <v>6</v>
      </c>
      <c r="G1489" s="1" t="s">
        <v>23</v>
      </c>
      <c r="H1489">
        <v>30185.714285714286</v>
      </c>
      <c r="J1489">
        <v>30150</v>
      </c>
      <c r="L1489">
        <v>30000</v>
      </c>
      <c r="M1489">
        <v>0</v>
      </c>
      <c r="N1489">
        <v>130.36089999999999</v>
      </c>
      <c r="O1489">
        <v>-0.122585731</v>
      </c>
      <c r="P1489">
        <v>15444.799800000001</v>
      </c>
      <c r="Q1489">
        <v>26.88</v>
      </c>
      <c r="R1489">
        <v>1.58</v>
      </c>
      <c r="S1489">
        <v>83.62</v>
      </c>
      <c r="T1489">
        <v>1</v>
      </c>
      <c r="U1489" s="1" t="s">
        <v>35</v>
      </c>
      <c r="V1489">
        <v>-0.82</v>
      </c>
    </row>
    <row r="1490" spans="1:22" x14ac:dyDescent="0.3">
      <c r="A1490" s="2">
        <v>45537</v>
      </c>
      <c r="B1490">
        <v>30150</v>
      </c>
      <c r="C1490">
        <v>1706</v>
      </c>
      <c r="D1490">
        <v>9</v>
      </c>
      <c r="E1490" s="1" t="s">
        <v>43</v>
      </c>
      <c r="F1490">
        <v>0</v>
      </c>
      <c r="G1490" s="1" t="s">
        <v>23</v>
      </c>
      <c r="H1490">
        <v>30185.714285714286</v>
      </c>
      <c r="J1490">
        <v>30150</v>
      </c>
      <c r="K1490">
        <v>30150</v>
      </c>
      <c r="L1490">
        <v>30000</v>
      </c>
      <c r="M1490">
        <v>0</v>
      </c>
      <c r="N1490">
        <v>130.36089999999999</v>
      </c>
      <c r="O1490">
        <v>-0.122585731</v>
      </c>
      <c r="P1490">
        <v>15525</v>
      </c>
      <c r="Q1490">
        <v>26.73</v>
      </c>
      <c r="R1490">
        <v>1.25</v>
      </c>
      <c r="S1490">
        <v>83.26</v>
      </c>
      <c r="T1490">
        <v>2</v>
      </c>
      <c r="U1490" s="1" t="s">
        <v>25</v>
      </c>
      <c r="V1490">
        <v>0</v>
      </c>
    </row>
    <row r="1491" spans="1:22" x14ac:dyDescent="0.3">
      <c r="A1491" s="2">
        <v>45538</v>
      </c>
      <c r="B1491">
        <v>30150</v>
      </c>
      <c r="C1491">
        <v>1707</v>
      </c>
      <c r="D1491">
        <v>9</v>
      </c>
      <c r="E1491" s="1" t="s">
        <v>43</v>
      </c>
      <c r="F1491">
        <v>1</v>
      </c>
      <c r="G1491" s="1" t="s">
        <v>23</v>
      </c>
      <c r="H1491">
        <v>30221.428571428572</v>
      </c>
      <c r="J1491">
        <v>30150</v>
      </c>
      <c r="K1491">
        <v>29900</v>
      </c>
      <c r="L1491">
        <v>30000</v>
      </c>
      <c r="M1491">
        <v>0</v>
      </c>
      <c r="N1491">
        <v>130.36089999999999</v>
      </c>
      <c r="O1491">
        <v>-0.122585731</v>
      </c>
      <c r="P1491">
        <v>15520.099609999999</v>
      </c>
      <c r="Q1491">
        <v>26.57</v>
      </c>
      <c r="R1491">
        <v>1.44</v>
      </c>
      <c r="S1491">
        <v>84.53</v>
      </c>
      <c r="T1491">
        <v>3</v>
      </c>
      <c r="U1491" s="1" t="s">
        <v>25</v>
      </c>
      <c r="V1491">
        <v>0</v>
      </c>
    </row>
    <row r="1492" spans="1:22" x14ac:dyDescent="0.3">
      <c r="A1492" s="2">
        <v>45539</v>
      </c>
      <c r="B1492">
        <v>30150</v>
      </c>
      <c r="C1492">
        <v>1708</v>
      </c>
      <c r="D1492">
        <v>9</v>
      </c>
      <c r="E1492" s="1" t="s">
        <v>43</v>
      </c>
      <c r="F1492">
        <v>2</v>
      </c>
      <c r="G1492" s="1" t="s">
        <v>23</v>
      </c>
      <c r="H1492">
        <v>30185.714285714286</v>
      </c>
      <c r="J1492">
        <v>30150</v>
      </c>
      <c r="K1492">
        <v>30400</v>
      </c>
      <c r="L1492">
        <v>31400</v>
      </c>
      <c r="M1492">
        <v>0</v>
      </c>
      <c r="N1492">
        <v>130.36089999999999</v>
      </c>
      <c r="O1492">
        <v>-0.122585731</v>
      </c>
      <c r="P1492">
        <v>15532.900390000001</v>
      </c>
      <c r="Q1492">
        <v>27.31</v>
      </c>
      <c r="R1492">
        <v>0.52</v>
      </c>
      <c r="S1492">
        <v>77.38</v>
      </c>
      <c r="T1492">
        <v>4</v>
      </c>
      <c r="U1492" s="1" t="s">
        <v>25</v>
      </c>
      <c r="V1492">
        <v>0</v>
      </c>
    </row>
    <row r="1493" spans="1:22" x14ac:dyDescent="0.3">
      <c r="A1493" s="2">
        <v>45540</v>
      </c>
      <c r="B1493">
        <v>29900</v>
      </c>
      <c r="C1493">
        <v>1709</v>
      </c>
      <c r="D1493">
        <v>9</v>
      </c>
      <c r="E1493" s="1" t="s">
        <v>43</v>
      </c>
      <c r="F1493">
        <v>3</v>
      </c>
      <c r="G1493" s="1" t="s">
        <v>23</v>
      </c>
      <c r="H1493">
        <v>30114.285714285714</v>
      </c>
      <c r="J1493">
        <v>30150</v>
      </c>
      <c r="K1493">
        <v>30400</v>
      </c>
      <c r="L1493">
        <v>32250</v>
      </c>
      <c r="M1493">
        <v>-250</v>
      </c>
      <c r="N1493">
        <v>130.36089999999999</v>
      </c>
      <c r="O1493">
        <v>-0.122585731</v>
      </c>
      <c r="P1493">
        <v>15444.400390000001</v>
      </c>
      <c r="Q1493">
        <v>27.47</v>
      </c>
      <c r="R1493">
        <v>0.7</v>
      </c>
      <c r="S1493">
        <v>80.63</v>
      </c>
      <c r="T1493">
        <v>5</v>
      </c>
      <c r="U1493" s="1" t="s">
        <v>35</v>
      </c>
      <c r="V1493">
        <v>-0.83</v>
      </c>
    </row>
    <row r="1494" spans="1:22" x14ac:dyDescent="0.3">
      <c r="A1494" s="2">
        <v>45541</v>
      </c>
      <c r="B1494">
        <v>30150</v>
      </c>
      <c r="C1494">
        <v>1710</v>
      </c>
      <c r="D1494">
        <v>9</v>
      </c>
      <c r="E1494" s="1" t="s">
        <v>43</v>
      </c>
      <c r="F1494">
        <v>4</v>
      </c>
      <c r="G1494" s="1" t="s">
        <v>23</v>
      </c>
      <c r="H1494">
        <v>30114.285714285714</v>
      </c>
      <c r="J1494">
        <v>29900</v>
      </c>
      <c r="K1494">
        <v>30150</v>
      </c>
      <c r="L1494">
        <v>31400</v>
      </c>
      <c r="M1494">
        <v>250</v>
      </c>
      <c r="N1494">
        <v>130.36089999999999</v>
      </c>
      <c r="O1494">
        <v>-0.122585731</v>
      </c>
      <c r="P1494">
        <v>15417</v>
      </c>
      <c r="Q1494">
        <v>27.32</v>
      </c>
      <c r="R1494">
        <v>1.17</v>
      </c>
      <c r="S1494">
        <v>84.65</v>
      </c>
      <c r="T1494">
        <v>6</v>
      </c>
      <c r="U1494" s="1" t="s">
        <v>34</v>
      </c>
      <c r="V1494">
        <v>0.84</v>
      </c>
    </row>
    <row r="1495" spans="1:22" x14ac:dyDescent="0.3">
      <c r="A1495" s="2">
        <v>45542</v>
      </c>
      <c r="B1495">
        <v>30150</v>
      </c>
      <c r="C1495">
        <v>1711</v>
      </c>
      <c r="D1495">
        <v>9</v>
      </c>
      <c r="E1495" s="1" t="s">
        <v>43</v>
      </c>
      <c r="F1495">
        <v>5</v>
      </c>
      <c r="G1495" s="1" t="s">
        <v>23</v>
      </c>
      <c r="H1495">
        <v>30114.285714285714</v>
      </c>
      <c r="J1495">
        <v>30150</v>
      </c>
      <c r="K1495">
        <v>30150</v>
      </c>
      <c r="L1495">
        <v>31250</v>
      </c>
      <c r="M1495">
        <v>0</v>
      </c>
      <c r="N1495">
        <v>130.36089999999999</v>
      </c>
      <c r="O1495">
        <v>-0.122585731</v>
      </c>
      <c r="P1495">
        <v>15417</v>
      </c>
      <c r="Q1495">
        <v>27.07</v>
      </c>
      <c r="R1495">
        <v>0.82</v>
      </c>
      <c r="S1495">
        <v>85.55</v>
      </c>
      <c r="T1495">
        <v>7</v>
      </c>
      <c r="U1495" s="1" t="s">
        <v>34</v>
      </c>
      <c r="V1495">
        <v>0.84</v>
      </c>
    </row>
    <row r="1496" spans="1:22" x14ac:dyDescent="0.3">
      <c r="A1496" s="2">
        <v>45543</v>
      </c>
      <c r="B1496">
        <v>30150</v>
      </c>
      <c r="C1496">
        <v>1712</v>
      </c>
      <c r="D1496">
        <v>9</v>
      </c>
      <c r="E1496" s="1" t="s">
        <v>43</v>
      </c>
      <c r="F1496">
        <v>6</v>
      </c>
      <c r="G1496" s="1" t="s">
        <v>23</v>
      </c>
      <c r="H1496">
        <v>30114.285714285714</v>
      </c>
      <c r="J1496">
        <v>30150</v>
      </c>
      <c r="K1496">
        <v>30150</v>
      </c>
      <c r="L1496">
        <v>31250</v>
      </c>
      <c r="M1496">
        <v>0</v>
      </c>
      <c r="N1496">
        <v>130.36089999999999</v>
      </c>
      <c r="O1496">
        <v>-0.122585731</v>
      </c>
      <c r="P1496">
        <v>15417</v>
      </c>
      <c r="Q1496">
        <v>27.33</v>
      </c>
      <c r="R1496">
        <v>1.71</v>
      </c>
      <c r="S1496">
        <v>82.75</v>
      </c>
      <c r="T1496">
        <v>8</v>
      </c>
      <c r="U1496" s="1" t="s">
        <v>34</v>
      </c>
      <c r="V1496">
        <v>0.84</v>
      </c>
    </row>
    <row r="1497" spans="1:22" x14ac:dyDescent="0.3">
      <c r="A1497" s="2">
        <v>45544</v>
      </c>
      <c r="B1497">
        <v>31150</v>
      </c>
      <c r="C1497">
        <v>1713</v>
      </c>
      <c r="D1497">
        <v>9</v>
      </c>
      <c r="E1497" s="1" t="s">
        <v>43</v>
      </c>
      <c r="F1497">
        <v>0</v>
      </c>
      <c r="G1497" s="1" t="s">
        <v>23</v>
      </c>
      <c r="H1497">
        <v>30257.142857142859</v>
      </c>
      <c r="J1497">
        <v>30150</v>
      </c>
      <c r="K1497">
        <v>30150</v>
      </c>
      <c r="L1497">
        <v>31250</v>
      </c>
      <c r="M1497">
        <v>1000</v>
      </c>
      <c r="N1497">
        <v>130.36089999999999</v>
      </c>
      <c r="O1497">
        <v>-0.122585731</v>
      </c>
      <c r="P1497">
        <v>15405</v>
      </c>
      <c r="Q1497">
        <v>27.41</v>
      </c>
      <c r="R1497">
        <v>4.26</v>
      </c>
      <c r="S1497">
        <v>83.4</v>
      </c>
      <c r="T1497">
        <v>9</v>
      </c>
      <c r="U1497" s="1" t="s">
        <v>29</v>
      </c>
      <c r="V1497">
        <v>3.32</v>
      </c>
    </row>
    <row r="1498" spans="1:22" x14ac:dyDescent="0.3">
      <c r="A1498" s="2">
        <v>45545</v>
      </c>
      <c r="B1498">
        <v>32150</v>
      </c>
      <c r="C1498">
        <v>1714</v>
      </c>
      <c r="D1498">
        <v>9</v>
      </c>
      <c r="E1498" s="1" t="s">
        <v>43</v>
      </c>
      <c r="F1498">
        <v>1</v>
      </c>
      <c r="G1498" s="1" t="s">
        <v>23</v>
      </c>
      <c r="H1498">
        <v>30542.857142857141</v>
      </c>
      <c r="J1498">
        <v>31150</v>
      </c>
      <c r="K1498">
        <v>30150</v>
      </c>
      <c r="L1498">
        <v>31250</v>
      </c>
      <c r="M1498">
        <v>1000</v>
      </c>
      <c r="N1498">
        <v>130.36089999999999</v>
      </c>
      <c r="O1498">
        <v>-0.122585731</v>
      </c>
      <c r="P1498">
        <v>15456.799800000001</v>
      </c>
      <c r="Q1498">
        <v>27.38</v>
      </c>
      <c r="R1498">
        <v>5.05</v>
      </c>
      <c r="S1498">
        <v>76.78</v>
      </c>
      <c r="T1498">
        <v>10</v>
      </c>
      <c r="U1498" s="1" t="s">
        <v>29</v>
      </c>
      <c r="V1498">
        <v>3.21</v>
      </c>
    </row>
    <row r="1499" spans="1:22" x14ac:dyDescent="0.3">
      <c r="A1499" s="2">
        <v>45546</v>
      </c>
      <c r="B1499">
        <v>33250</v>
      </c>
      <c r="C1499">
        <v>1715</v>
      </c>
      <c r="D1499">
        <v>9</v>
      </c>
      <c r="E1499" s="1" t="s">
        <v>43</v>
      </c>
      <c r="F1499">
        <v>2</v>
      </c>
      <c r="G1499" s="1" t="s">
        <v>23</v>
      </c>
      <c r="H1499">
        <v>30985.714285714286</v>
      </c>
      <c r="J1499">
        <v>32150</v>
      </c>
      <c r="K1499">
        <v>30150</v>
      </c>
      <c r="L1499">
        <v>30750</v>
      </c>
      <c r="M1499">
        <v>1100</v>
      </c>
      <c r="N1499">
        <v>130.36089999999999</v>
      </c>
      <c r="O1499">
        <v>-0.122585731</v>
      </c>
      <c r="P1499">
        <v>15489</v>
      </c>
      <c r="Q1499">
        <v>27.4</v>
      </c>
      <c r="R1499">
        <v>0.03</v>
      </c>
      <c r="S1499">
        <v>75.930000000000007</v>
      </c>
      <c r="T1499">
        <v>11</v>
      </c>
      <c r="U1499" s="1" t="s">
        <v>89</v>
      </c>
      <c r="V1499">
        <v>3.42</v>
      </c>
    </row>
    <row r="1500" spans="1:22" x14ac:dyDescent="0.3">
      <c r="A1500" s="2">
        <v>45547</v>
      </c>
      <c r="B1500">
        <v>35400</v>
      </c>
      <c r="C1500">
        <v>1716</v>
      </c>
      <c r="D1500">
        <v>9</v>
      </c>
      <c r="E1500" s="1" t="s">
        <v>43</v>
      </c>
      <c r="F1500">
        <v>3</v>
      </c>
      <c r="G1500" s="1" t="s">
        <v>23</v>
      </c>
      <c r="H1500">
        <v>31771.428571428572</v>
      </c>
      <c r="J1500">
        <v>33250</v>
      </c>
      <c r="K1500">
        <v>29900</v>
      </c>
      <c r="L1500">
        <v>27150</v>
      </c>
      <c r="M1500">
        <v>2150</v>
      </c>
      <c r="N1500">
        <v>130.36089999999999</v>
      </c>
      <c r="O1500">
        <v>-0.122585731</v>
      </c>
      <c r="P1500">
        <v>15437</v>
      </c>
      <c r="Q1500">
        <v>27.39</v>
      </c>
      <c r="R1500">
        <v>7.0000000000000007E-2</v>
      </c>
      <c r="S1500">
        <v>75.83</v>
      </c>
      <c r="T1500">
        <v>12</v>
      </c>
      <c r="U1500" s="1" t="s">
        <v>114</v>
      </c>
      <c r="V1500">
        <v>6.47</v>
      </c>
    </row>
    <row r="1501" spans="1:22" x14ac:dyDescent="0.3">
      <c r="A1501" s="2">
        <v>45548</v>
      </c>
      <c r="B1501">
        <v>35400</v>
      </c>
      <c r="C1501">
        <v>1717</v>
      </c>
      <c r="D1501">
        <v>9</v>
      </c>
      <c r="E1501" s="1" t="s">
        <v>43</v>
      </c>
      <c r="F1501">
        <v>4</v>
      </c>
      <c r="G1501" s="1" t="s">
        <v>23</v>
      </c>
      <c r="H1501">
        <v>32521.428571428572</v>
      </c>
      <c r="J1501">
        <v>35400</v>
      </c>
      <c r="K1501">
        <v>30150</v>
      </c>
      <c r="L1501">
        <v>31150</v>
      </c>
      <c r="M1501">
        <v>0</v>
      </c>
      <c r="N1501">
        <v>130.36089999999999</v>
      </c>
      <c r="O1501">
        <v>-0.122585731</v>
      </c>
      <c r="P1501">
        <v>15418.700199999999</v>
      </c>
      <c r="Q1501">
        <v>27.22</v>
      </c>
      <c r="R1501">
        <v>0.21</v>
      </c>
      <c r="S1501">
        <v>79.58</v>
      </c>
      <c r="T1501">
        <v>13</v>
      </c>
      <c r="U1501" s="1" t="s">
        <v>25</v>
      </c>
      <c r="V1501">
        <v>0</v>
      </c>
    </row>
    <row r="1502" spans="1:22" x14ac:dyDescent="0.3">
      <c r="A1502" s="2">
        <v>45549</v>
      </c>
      <c r="B1502">
        <v>35400</v>
      </c>
      <c r="C1502">
        <v>1718</v>
      </c>
      <c r="D1502">
        <v>9</v>
      </c>
      <c r="E1502" s="1" t="s">
        <v>43</v>
      </c>
      <c r="F1502">
        <v>5</v>
      </c>
      <c r="G1502" s="1" t="s">
        <v>23</v>
      </c>
      <c r="H1502">
        <v>33271.428571428572</v>
      </c>
      <c r="J1502">
        <v>35400</v>
      </c>
      <c r="K1502">
        <v>30150</v>
      </c>
      <c r="L1502">
        <v>32150</v>
      </c>
      <c r="M1502">
        <v>0</v>
      </c>
      <c r="N1502">
        <v>130.36089999999999</v>
      </c>
      <c r="O1502">
        <v>-0.122585731</v>
      </c>
      <c r="P1502">
        <v>15418.700199999999</v>
      </c>
      <c r="Q1502">
        <v>26.87</v>
      </c>
      <c r="R1502">
        <v>0.39</v>
      </c>
      <c r="S1502">
        <v>79.78</v>
      </c>
      <c r="T1502">
        <v>14</v>
      </c>
      <c r="U1502" s="1" t="s">
        <v>25</v>
      </c>
      <c r="V1502">
        <v>0</v>
      </c>
    </row>
    <row r="1503" spans="1:22" x14ac:dyDescent="0.3">
      <c r="A1503" s="2">
        <v>45550</v>
      </c>
      <c r="B1503">
        <v>35400</v>
      </c>
      <c r="C1503">
        <v>1719</v>
      </c>
      <c r="D1503">
        <v>9</v>
      </c>
      <c r="E1503" s="1" t="s">
        <v>43</v>
      </c>
      <c r="F1503">
        <v>6</v>
      </c>
      <c r="G1503" s="1" t="s">
        <v>23</v>
      </c>
      <c r="H1503">
        <v>34021.428571428572</v>
      </c>
      <c r="J1503">
        <v>35400</v>
      </c>
      <c r="K1503">
        <v>30150</v>
      </c>
      <c r="L1503">
        <v>32150</v>
      </c>
      <c r="M1503">
        <v>0</v>
      </c>
      <c r="N1503">
        <v>130.36089999999999</v>
      </c>
      <c r="O1503">
        <v>-0.122585731</v>
      </c>
      <c r="P1503">
        <v>15418.700199999999</v>
      </c>
      <c r="Q1503">
        <v>27.06</v>
      </c>
      <c r="R1503">
        <v>0.15</v>
      </c>
      <c r="S1503">
        <v>77.7</v>
      </c>
      <c r="T1503">
        <v>15</v>
      </c>
      <c r="U1503" s="1" t="s">
        <v>25</v>
      </c>
      <c r="V1503">
        <v>0</v>
      </c>
    </row>
    <row r="1504" spans="1:22" x14ac:dyDescent="0.3">
      <c r="A1504" s="2">
        <v>45551</v>
      </c>
      <c r="B1504">
        <v>35400</v>
      </c>
      <c r="C1504">
        <v>1720</v>
      </c>
      <c r="D1504">
        <v>9</v>
      </c>
      <c r="E1504" s="1" t="s">
        <v>43</v>
      </c>
      <c r="F1504">
        <v>0</v>
      </c>
      <c r="G1504" s="1" t="s">
        <v>44</v>
      </c>
      <c r="H1504">
        <v>34628.571428571428</v>
      </c>
      <c r="J1504">
        <v>35400</v>
      </c>
      <c r="K1504">
        <v>31150</v>
      </c>
      <c r="L1504">
        <v>32150</v>
      </c>
      <c r="M1504">
        <v>0</v>
      </c>
      <c r="N1504">
        <v>130.36089999999999</v>
      </c>
      <c r="O1504">
        <v>-0.122585731</v>
      </c>
      <c r="P1504">
        <v>15393</v>
      </c>
      <c r="Q1504">
        <v>27.46</v>
      </c>
      <c r="R1504">
        <v>0.08</v>
      </c>
      <c r="S1504">
        <v>77.91</v>
      </c>
      <c r="T1504">
        <v>16</v>
      </c>
      <c r="U1504" s="1" t="s">
        <v>25</v>
      </c>
      <c r="V1504">
        <v>0</v>
      </c>
    </row>
    <row r="1505" spans="1:22" x14ac:dyDescent="0.3">
      <c r="A1505" s="2">
        <v>45552</v>
      </c>
      <c r="B1505">
        <v>34650</v>
      </c>
      <c r="C1505">
        <v>1721</v>
      </c>
      <c r="D1505">
        <v>9</v>
      </c>
      <c r="E1505" s="1" t="s">
        <v>43</v>
      </c>
      <c r="F1505">
        <v>1</v>
      </c>
      <c r="G1505" s="1" t="s">
        <v>23</v>
      </c>
      <c r="H1505">
        <v>34985.714285714283</v>
      </c>
      <c r="J1505">
        <v>35400</v>
      </c>
      <c r="K1505">
        <v>32150</v>
      </c>
      <c r="L1505">
        <v>32150</v>
      </c>
      <c r="M1505">
        <v>-750</v>
      </c>
      <c r="N1505">
        <v>130.36089999999999</v>
      </c>
      <c r="O1505">
        <v>-0.122585731</v>
      </c>
      <c r="P1505">
        <v>15385</v>
      </c>
      <c r="Q1505">
        <v>27.34</v>
      </c>
      <c r="R1505">
        <v>0.56999999999999995</v>
      </c>
      <c r="S1505">
        <v>80.42</v>
      </c>
      <c r="T1505">
        <v>17</v>
      </c>
      <c r="U1505" s="1" t="s">
        <v>42</v>
      </c>
      <c r="V1505">
        <v>-2.12</v>
      </c>
    </row>
    <row r="1506" spans="1:22" x14ac:dyDescent="0.3">
      <c r="A1506" s="2">
        <v>45553</v>
      </c>
      <c r="B1506">
        <v>34400</v>
      </c>
      <c r="C1506">
        <v>1722</v>
      </c>
      <c r="D1506">
        <v>9</v>
      </c>
      <c r="E1506" s="1" t="s">
        <v>43</v>
      </c>
      <c r="F1506">
        <v>2</v>
      </c>
      <c r="G1506" s="1" t="s">
        <v>23</v>
      </c>
      <c r="H1506">
        <v>35150</v>
      </c>
      <c r="J1506">
        <v>34650</v>
      </c>
      <c r="K1506">
        <v>33250</v>
      </c>
      <c r="L1506">
        <v>30900</v>
      </c>
      <c r="M1506">
        <v>-250</v>
      </c>
      <c r="N1506">
        <v>130.36089999999999</v>
      </c>
      <c r="O1506">
        <v>-0.122585731</v>
      </c>
      <c r="P1506">
        <v>15345</v>
      </c>
      <c r="Q1506">
        <v>27.38</v>
      </c>
      <c r="R1506">
        <v>1.54</v>
      </c>
      <c r="S1506">
        <v>83.97</v>
      </c>
      <c r="T1506">
        <v>18</v>
      </c>
      <c r="U1506" s="1" t="s">
        <v>35</v>
      </c>
      <c r="V1506">
        <v>-0.72</v>
      </c>
    </row>
    <row r="1507" spans="1:22" x14ac:dyDescent="0.3">
      <c r="A1507" s="2">
        <v>45554</v>
      </c>
      <c r="B1507">
        <v>34400</v>
      </c>
      <c r="C1507">
        <v>1723</v>
      </c>
      <c r="D1507">
        <v>9</v>
      </c>
      <c r="E1507" s="1" t="s">
        <v>43</v>
      </c>
      <c r="F1507">
        <v>3</v>
      </c>
      <c r="G1507" s="1" t="s">
        <v>23</v>
      </c>
      <c r="H1507">
        <v>35007.142857142855</v>
      </c>
      <c r="J1507">
        <v>34400</v>
      </c>
      <c r="K1507">
        <v>35400</v>
      </c>
      <c r="L1507">
        <v>30650</v>
      </c>
      <c r="M1507">
        <v>0</v>
      </c>
      <c r="N1507">
        <v>130.36089999999999</v>
      </c>
      <c r="O1507">
        <v>-0.122585731</v>
      </c>
      <c r="P1507">
        <v>15300.200199999999</v>
      </c>
      <c r="Q1507">
        <v>26.73</v>
      </c>
      <c r="R1507">
        <v>4.1100000000000003</v>
      </c>
      <c r="S1507">
        <v>80.59</v>
      </c>
      <c r="T1507">
        <v>19</v>
      </c>
      <c r="U1507" s="1" t="s">
        <v>25</v>
      </c>
      <c r="V1507">
        <v>0</v>
      </c>
    </row>
    <row r="1508" spans="1:22" x14ac:dyDescent="0.3">
      <c r="A1508" s="2">
        <v>45555</v>
      </c>
      <c r="B1508">
        <v>34400</v>
      </c>
      <c r="C1508">
        <v>1724</v>
      </c>
      <c r="D1508">
        <v>9</v>
      </c>
      <c r="E1508" s="1" t="s">
        <v>43</v>
      </c>
      <c r="F1508">
        <v>4</v>
      </c>
      <c r="G1508" s="1" t="s">
        <v>23</v>
      </c>
      <c r="H1508">
        <v>34864.285714285717</v>
      </c>
      <c r="J1508">
        <v>34400</v>
      </c>
      <c r="K1508">
        <v>35400</v>
      </c>
      <c r="L1508">
        <v>30400</v>
      </c>
      <c r="M1508">
        <v>0</v>
      </c>
      <c r="N1508">
        <v>130.36089999999999</v>
      </c>
      <c r="O1508">
        <v>-0.122585731</v>
      </c>
      <c r="P1508">
        <v>15197.599609999999</v>
      </c>
      <c r="Q1508">
        <v>26.7</v>
      </c>
      <c r="R1508">
        <v>4.47</v>
      </c>
      <c r="S1508">
        <v>83.44</v>
      </c>
      <c r="T1508">
        <v>20</v>
      </c>
      <c r="U1508" s="1" t="s">
        <v>25</v>
      </c>
      <c r="V1508">
        <v>0</v>
      </c>
    </row>
    <row r="1509" spans="1:22" x14ac:dyDescent="0.3">
      <c r="A1509" s="2">
        <v>45556</v>
      </c>
      <c r="B1509">
        <v>34400</v>
      </c>
      <c r="C1509">
        <v>1725</v>
      </c>
      <c r="D1509">
        <v>9</v>
      </c>
      <c r="E1509" s="1" t="s">
        <v>43</v>
      </c>
      <c r="F1509">
        <v>5</v>
      </c>
      <c r="G1509" s="1" t="s">
        <v>23</v>
      </c>
      <c r="H1509">
        <v>34721.428571428572</v>
      </c>
      <c r="J1509">
        <v>34400</v>
      </c>
      <c r="K1509">
        <v>35400</v>
      </c>
      <c r="L1509">
        <v>30400</v>
      </c>
      <c r="M1509">
        <v>0</v>
      </c>
      <c r="N1509">
        <v>130.36089999999999</v>
      </c>
      <c r="O1509">
        <v>-0.122585731</v>
      </c>
      <c r="P1509">
        <v>15197.599609999999</v>
      </c>
      <c r="Q1509">
        <v>27.52</v>
      </c>
      <c r="R1509">
        <v>1.28</v>
      </c>
      <c r="S1509">
        <v>78.28</v>
      </c>
      <c r="T1509">
        <v>21</v>
      </c>
      <c r="U1509" s="1" t="s">
        <v>25</v>
      </c>
      <c r="V1509">
        <v>0</v>
      </c>
    </row>
    <row r="1510" spans="1:22" x14ac:dyDescent="0.3">
      <c r="A1510" s="2">
        <v>45557</v>
      </c>
      <c r="B1510">
        <v>34400</v>
      </c>
      <c r="C1510">
        <v>1726</v>
      </c>
      <c r="D1510">
        <v>9</v>
      </c>
      <c r="E1510" s="1" t="s">
        <v>43</v>
      </c>
      <c r="F1510">
        <v>6</v>
      </c>
      <c r="G1510" s="1" t="s">
        <v>23</v>
      </c>
      <c r="H1510">
        <v>34578.571428571428</v>
      </c>
      <c r="J1510">
        <v>34400</v>
      </c>
      <c r="K1510">
        <v>35400</v>
      </c>
      <c r="L1510">
        <v>30400</v>
      </c>
      <c r="M1510">
        <v>0</v>
      </c>
      <c r="N1510">
        <v>130.36089999999999</v>
      </c>
      <c r="O1510">
        <v>-0.122585731</v>
      </c>
      <c r="P1510">
        <v>15197.599609999999</v>
      </c>
      <c r="Q1510">
        <v>27.73</v>
      </c>
      <c r="R1510">
        <v>0.57999999999999996</v>
      </c>
      <c r="S1510">
        <v>78.12</v>
      </c>
      <c r="T1510">
        <v>22</v>
      </c>
      <c r="U1510" s="1" t="s">
        <v>25</v>
      </c>
      <c r="V1510">
        <v>0</v>
      </c>
    </row>
    <row r="1511" spans="1:22" x14ac:dyDescent="0.3">
      <c r="A1511" s="2">
        <v>45558</v>
      </c>
      <c r="B1511">
        <v>34750</v>
      </c>
      <c r="C1511">
        <v>1727</v>
      </c>
      <c r="D1511">
        <v>9</v>
      </c>
      <c r="E1511" s="1" t="s">
        <v>43</v>
      </c>
      <c r="F1511">
        <v>0</v>
      </c>
      <c r="G1511" s="1" t="s">
        <v>23</v>
      </c>
      <c r="H1511">
        <v>34485.714285714283</v>
      </c>
      <c r="J1511">
        <v>34400</v>
      </c>
      <c r="K1511">
        <v>35400</v>
      </c>
      <c r="M1511">
        <v>350</v>
      </c>
      <c r="N1511">
        <v>130.36089999999999</v>
      </c>
      <c r="O1511">
        <v>-0.122585731</v>
      </c>
      <c r="P1511">
        <v>15154</v>
      </c>
      <c r="Q1511">
        <v>27.76</v>
      </c>
      <c r="R1511">
        <v>1.55</v>
      </c>
      <c r="S1511">
        <v>77.209999999999994</v>
      </c>
      <c r="T1511">
        <v>23</v>
      </c>
      <c r="U1511" s="1" t="s">
        <v>68</v>
      </c>
      <c r="V1511">
        <v>1.02</v>
      </c>
    </row>
    <row r="1512" spans="1:22" x14ac:dyDescent="0.3">
      <c r="A1512" s="2">
        <v>45559</v>
      </c>
      <c r="B1512">
        <v>35150</v>
      </c>
      <c r="C1512">
        <v>1728</v>
      </c>
      <c r="D1512">
        <v>9</v>
      </c>
      <c r="E1512" s="1" t="s">
        <v>43</v>
      </c>
      <c r="F1512">
        <v>1</v>
      </c>
      <c r="G1512" s="1" t="s">
        <v>23</v>
      </c>
      <c r="H1512">
        <v>34557.142857142855</v>
      </c>
      <c r="I1512">
        <v>32406.666666666668</v>
      </c>
      <c r="J1512">
        <v>34750</v>
      </c>
      <c r="K1512">
        <v>34650</v>
      </c>
      <c r="M1512">
        <v>400</v>
      </c>
      <c r="N1512">
        <v>130.36089999999999</v>
      </c>
      <c r="O1512">
        <v>-0.122585731</v>
      </c>
      <c r="P1512">
        <v>15174.099609999999</v>
      </c>
      <c r="Q1512">
        <v>28.14</v>
      </c>
      <c r="R1512">
        <v>1.45</v>
      </c>
      <c r="S1512">
        <v>74.010000000000005</v>
      </c>
      <c r="T1512">
        <v>24</v>
      </c>
      <c r="U1512" s="1" t="s">
        <v>70</v>
      </c>
      <c r="V1512">
        <v>1.1499999999999999</v>
      </c>
    </row>
    <row r="1513" spans="1:22" x14ac:dyDescent="0.3">
      <c r="A1513" s="2">
        <v>45560</v>
      </c>
      <c r="B1513">
        <v>35250</v>
      </c>
      <c r="C1513">
        <v>1729</v>
      </c>
      <c r="D1513">
        <v>9</v>
      </c>
      <c r="E1513" s="1" t="s">
        <v>43</v>
      </c>
      <c r="F1513">
        <v>2</v>
      </c>
      <c r="G1513" s="1" t="s">
        <v>23</v>
      </c>
      <c r="H1513">
        <v>34678.571428571428</v>
      </c>
      <c r="I1513">
        <v>32576.666666666668</v>
      </c>
      <c r="J1513">
        <v>35150</v>
      </c>
      <c r="K1513">
        <v>34400</v>
      </c>
      <c r="L1513">
        <v>30150</v>
      </c>
      <c r="M1513">
        <v>100</v>
      </c>
      <c r="N1513">
        <v>130.36089999999999</v>
      </c>
      <c r="O1513">
        <v>-0.122585731</v>
      </c>
      <c r="P1513">
        <v>15121.099609999999</v>
      </c>
      <c r="Q1513">
        <v>28.01</v>
      </c>
      <c r="R1513">
        <v>2.29</v>
      </c>
      <c r="S1513">
        <v>78.8</v>
      </c>
      <c r="T1513">
        <v>25</v>
      </c>
      <c r="U1513" s="1" t="s">
        <v>65</v>
      </c>
      <c r="V1513">
        <v>0.28000000000000003</v>
      </c>
    </row>
    <row r="1514" spans="1:22" x14ac:dyDescent="0.3">
      <c r="A1514" s="2">
        <v>45561</v>
      </c>
      <c r="B1514">
        <v>35250</v>
      </c>
      <c r="C1514">
        <v>1730</v>
      </c>
      <c r="D1514">
        <v>9</v>
      </c>
      <c r="E1514" s="1" t="s">
        <v>43</v>
      </c>
      <c r="F1514">
        <v>3</v>
      </c>
      <c r="G1514" s="1" t="s">
        <v>23</v>
      </c>
      <c r="H1514">
        <v>34800</v>
      </c>
      <c r="I1514">
        <v>32755</v>
      </c>
      <c r="J1514">
        <v>35250</v>
      </c>
      <c r="K1514">
        <v>34400</v>
      </c>
      <c r="L1514">
        <v>29900</v>
      </c>
      <c r="M1514">
        <v>0</v>
      </c>
      <c r="N1514">
        <v>130.36089999999999</v>
      </c>
      <c r="O1514">
        <v>-0.122585731</v>
      </c>
      <c r="P1514">
        <v>15201.5</v>
      </c>
      <c r="Q1514">
        <v>27.65</v>
      </c>
      <c r="R1514">
        <v>3.08</v>
      </c>
      <c r="S1514">
        <v>79.7</v>
      </c>
      <c r="T1514">
        <v>26</v>
      </c>
      <c r="U1514" s="1" t="s">
        <v>25</v>
      </c>
      <c r="V1514">
        <v>0</v>
      </c>
    </row>
    <row r="1515" spans="1:22" x14ac:dyDescent="0.3">
      <c r="A1515" s="2">
        <v>45562</v>
      </c>
      <c r="B1515">
        <v>35500</v>
      </c>
      <c r="C1515">
        <v>1731</v>
      </c>
      <c r="D1515">
        <v>9</v>
      </c>
      <c r="E1515" s="1" t="s">
        <v>43</v>
      </c>
      <c r="F1515">
        <v>4</v>
      </c>
      <c r="G1515" s="1" t="s">
        <v>23</v>
      </c>
      <c r="H1515">
        <v>34957.142857142855</v>
      </c>
      <c r="I1515">
        <v>32925</v>
      </c>
      <c r="J1515">
        <v>35250</v>
      </c>
      <c r="K1515">
        <v>34400</v>
      </c>
      <c r="L1515">
        <v>30400</v>
      </c>
      <c r="M1515">
        <v>250</v>
      </c>
      <c r="N1515">
        <v>130.36089999999999</v>
      </c>
      <c r="O1515">
        <v>-0.122585731</v>
      </c>
      <c r="P1515">
        <v>15070</v>
      </c>
      <c r="Q1515">
        <v>27.4</v>
      </c>
      <c r="R1515">
        <v>4.4000000000000004</v>
      </c>
      <c r="S1515">
        <v>73.78</v>
      </c>
      <c r="T1515">
        <v>27</v>
      </c>
      <c r="U1515" s="1" t="s">
        <v>34</v>
      </c>
      <c r="V1515">
        <v>0.71</v>
      </c>
    </row>
    <row r="1516" spans="1:22" x14ac:dyDescent="0.3">
      <c r="A1516" s="2">
        <v>45563</v>
      </c>
      <c r="B1516">
        <v>35500</v>
      </c>
      <c r="C1516">
        <v>1732</v>
      </c>
      <c r="D1516">
        <v>9</v>
      </c>
      <c r="E1516" s="1" t="s">
        <v>43</v>
      </c>
      <c r="F1516">
        <v>5</v>
      </c>
      <c r="G1516" s="1" t="s">
        <v>23</v>
      </c>
      <c r="H1516">
        <v>35114.285714285717</v>
      </c>
      <c r="I1516">
        <v>33095</v>
      </c>
      <c r="J1516">
        <v>35500</v>
      </c>
      <c r="K1516">
        <v>34400</v>
      </c>
      <c r="L1516">
        <v>30400</v>
      </c>
      <c r="M1516">
        <v>0</v>
      </c>
      <c r="N1516">
        <v>130.36089999999999</v>
      </c>
      <c r="O1516">
        <v>-0.122585731</v>
      </c>
      <c r="P1516">
        <v>15070</v>
      </c>
      <c r="Q1516">
        <v>27.08</v>
      </c>
      <c r="R1516">
        <v>4.51</v>
      </c>
      <c r="S1516">
        <v>79.959999999999994</v>
      </c>
      <c r="T1516">
        <v>28</v>
      </c>
      <c r="U1516" s="1" t="s">
        <v>34</v>
      </c>
      <c r="V1516">
        <v>0.71</v>
      </c>
    </row>
    <row r="1517" spans="1:22" x14ac:dyDescent="0.3">
      <c r="A1517" s="2">
        <v>45564</v>
      </c>
      <c r="B1517">
        <v>35500</v>
      </c>
      <c r="C1517">
        <v>1733</v>
      </c>
      <c r="D1517">
        <v>9</v>
      </c>
      <c r="E1517" s="1" t="s">
        <v>43</v>
      </c>
      <c r="F1517">
        <v>6</v>
      </c>
      <c r="G1517" s="1" t="s">
        <v>23</v>
      </c>
      <c r="H1517">
        <v>35271.428571428572</v>
      </c>
      <c r="I1517">
        <v>33273.333333333336</v>
      </c>
      <c r="J1517">
        <v>35500</v>
      </c>
      <c r="K1517">
        <v>34400</v>
      </c>
      <c r="L1517">
        <v>30150</v>
      </c>
      <c r="M1517">
        <v>0</v>
      </c>
      <c r="N1517">
        <v>130.36089999999999</v>
      </c>
      <c r="O1517">
        <v>-0.122585731</v>
      </c>
      <c r="P1517">
        <v>15070</v>
      </c>
      <c r="Q1517">
        <v>27.61</v>
      </c>
      <c r="R1517">
        <v>2.0499999999999998</v>
      </c>
      <c r="S1517">
        <v>83.43</v>
      </c>
      <c r="T1517">
        <v>29</v>
      </c>
      <c r="U1517" s="1" t="s">
        <v>34</v>
      </c>
      <c r="V1517">
        <v>0.71</v>
      </c>
    </row>
    <row r="1518" spans="1:22" x14ac:dyDescent="0.3">
      <c r="A1518" s="2">
        <v>45565</v>
      </c>
      <c r="B1518">
        <v>35000</v>
      </c>
      <c r="C1518">
        <v>1734</v>
      </c>
      <c r="D1518">
        <v>9</v>
      </c>
      <c r="E1518" s="1" t="s">
        <v>43</v>
      </c>
      <c r="F1518">
        <v>0</v>
      </c>
      <c r="G1518" s="1" t="s">
        <v>23</v>
      </c>
      <c r="H1518">
        <v>35307.142857142855</v>
      </c>
      <c r="I1518">
        <v>33435</v>
      </c>
      <c r="J1518">
        <v>35500</v>
      </c>
      <c r="K1518">
        <v>34750</v>
      </c>
      <c r="L1518">
        <v>30150</v>
      </c>
      <c r="M1518">
        <v>-500</v>
      </c>
      <c r="N1518">
        <v>130.36089999999999</v>
      </c>
      <c r="O1518">
        <v>-0.122585731</v>
      </c>
      <c r="P1518">
        <v>15118</v>
      </c>
      <c r="Q1518">
        <v>27.64</v>
      </c>
      <c r="R1518">
        <v>4.43</v>
      </c>
      <c r="S1518">
        <v>81.17</v>
      </c>
      <c r="T1518">
        <v>30</v>
      </c>
      <c r="U1518" s="1" t="s">
        <v>24</v>
      </c>
      <c r="V1518">
        <v>-1.41</v>
      </c>
    </row>
    <row r="1519" spans="1:22" x14ac:dyDescent="0.3">
      <c r="A1519" s="2">
        <v>45566</v>
      </c>
      <c r="B1519">
        <v>35500</v>
      </c>
      <c r="C1519">
        <v>1735</v>
      </c>
      <c r="D1519">
        <v>10</v>
      </c>
      <c r="E1519" s="1" t="s">
        <v>22</v>
      </c>
      <c r="F1519">
        <v>1</v>
      </c>
      <c r="G1519" s="1" t="s">
        <v>23</v>
      </c>
      <c r="H1519">
        <v>35357.142857142855</v>
      </c>
      <c r="I1519">
        <v>33613.333333333336</v>
      </c>
      <c r="J1519">
        <v>35000</v>
      </c>
      <c r="K1519">
        <v>35150</v>
      </c>
      <c r="L1519">
        <v>30150</v>
      </c>
      <c r="M1519">
        <v>500</v>
      </c>
      <c r="N1519">
        <v>130.45930000000001</v>
      </c>
      <c r="O1519">
        <v>7.5482755999999998E-2</v>
      </c>
      <c r="P1519">
        <v>15170.599609999999</v>
      </c>
      <c r="Q1519">
        <v>27.19</v>
      </c>
      <c r="R1519">
        <v>3.02</v>
      </c>
      <c r="S1519">
        <v>80.81</v>
      </c>
      <c r="T1519">
        <v>1</v>
      </c>
      <c r="U1519" s="1" t="s">
        <v>26</v>
      </c>
      <c r="V1519">
        <v>1.43</v>
      </c>
    </row>
    <row r="1520" spans="1:22" x14ac:dyDescent="0.3">
      <c r="A1520" s="2">
        <v>45567</v>
      </c>
      <c r="B1520">
        <v>34500</v>
      </c>
      <c r="C1520">
        <v>1736</v>
      </c>
      <c r="D1520">
        <v>10</v>
      </c>
      <c r="E1520" s="1" t="s">
        <v>22</v>
      </c>
      <c r="F1520">
        <v>2</v>
      </c>
      <c r="G1520" s="1" t="s">
        <v>23</v>
      </c>
      <c r="H1520">
        <v>35250</v>
      </c>
      <c r="I1520">
        <v>33758.333333333336</v>
      </c>
      <c r="J1520">
        <v>35500</v>
      </c>
      <c r="K1520">
        <v>35250</v>
      </c>
      <c r="L1520">
        <v>30150</v>
      </c>
      <c r="M1520">
        <v>-1000</v>
      </c>
      <c r="N1520">
        <v>130.45930000000001</v>
      </c>
      <c r="O1520">
        <v>7.5482755999999998E-2</v>
      </c>
      <c r="P1520">
        <v>15260.599609999999</v>
      </c>
      <c r="Q1520">
        <v>27.66</v>
      </c>
      <c r="R1520">
        <v>5.45</v>
      </c>
      <c r="S1520">
        <v>74.75</v>
      </c>
      <c r="T1520">
        <v>2</v>
      </c>
      <c r="U1520" s="1" t="s">
        <v>30</v>
      </c>
      <c r="V1520">
        <v>-2.82</v>
      </c>
    </row>
    <row r="1521" spans="1:22" x14ac:dyDescent="0.3">
      <c r="A1521" s="2">
        <v>45568</v>
      </c>
      <c r="B1521">
        <v>35150</v>
      </c>
      <c r="C1521">
        <v>1737</v>
      </c>
      <c r="D1521">
        <v>10</v>
      </c>
      <c r="E1521" s="1" t="s">
        <v>22</v>
      </c>
      <c r="F1521">
        <v>3</v>
      </c>
      <c r="G1521" s="1" t="s">
        <v>23</v>
      </c>
      <c r="H1521">
        <v>35235.714285714283</v>
      </c>
      <c r="I1521">
        <v>33925</v>
      </c>
      <c r="J1521">
        <v>34500</v>
      </c>
      <c r="K1521">
        <v>35250</v>
      </c>
      <c r="L1521">
        <v>30150</v>
      </c>
      <c r="M1521">
        <v>650</v>
      </c>
      <c r="N1521">
        <v>130.45930000000001</v>
      </c>
      <c r="O1521">
        <v>7.5482755999999998E-2</v>
      </c>
      <c r="P1521">
        <v>15324</v>
      </c>
      <c r="Q1521">
        <v>27.34</v>
      </c>
      <c r="R1521">
        <v>3.06</v>
      </c>
      <c r="S1521">
        <v>80.48</v>
      </c>
      <c r="T1521">
        <v>3</v>
      </c>
      <c r="U1521" s="1" t="s">
        <v>73</v>
      </c>
      <c r="V1521">
        <v>1.88</v>
      </c>
    </row>
    <row r="1522" spans="1:22" x14ac:dyDescent="0.3">
      <c r="A1522" s="2">
        <v>45569</v>
      </c>
      <c r="B1522">
        <v>35150</v>
      </c>
      <c r="C1522">
        <v>1738</v>
      </c>
      <c r="D1522">
        <v>10</v>
      </c>
      <c r="E1522" s="1" t="s">
        <v>22</v>
      </c>
      <c r="F1522">
        <v>4</v>
      </c>
      <c r="G1522" s="1" t="s">
        <v>23</v>
      </c>
      <c r="H1522">
        <v>35185.714285714283</v>
      </c>
      <c r="I1522">
        <v>34091.666666666664</v>
      </c>
      <c r="J1522">
        <v>35150</v>
      </c>
      <c r="K1522">
        <v>35500</v>
      </c>
      <c r="L1522">
        <v>30150</v>
      </c>
      <c r="M1522">
        <v>0</v>
      </c>
      <c r="N1522">
        <v>130.45930000000001</v>
      </c>
      <c r="O1522">
        <v>7.5482755999999998E-2</v>
      </c>
      <c r="P1522">
        <v>15457</v>
      </c>
      <c r="Q1522">
        <v>27.12</v>
      </c>
      <c r="R1522">
        <v>6.05</v>
      </c>
      <c r="S1522">
        <v>83.47</v>
      </c>
      <c r="T1522">
        <v>4</v>
      </c>
      <c r="U1522" s="1" t="s">
        <v>25</v>
      </c>
      <c r="V1522">
        <v>0</v>
      </c>
    </row>
    <row r="1523" spans="1:22" x14ac:dyDescent="0.3">
      <c r="A1523" s="2">
        <v>45570</v>
      </c>
      <c r="B1523">
        <v>35150</v>
      </c>
      <c r="C1523">
        <v>1739</v>
      </c>
      <c r="D1523">
        <v>10</v>
      </c>
      <c r="E1523" s="1" t="s">
        <v>22</v>
      </c>
      <c r="F1523">
        <v>5</v>
      </c>
      <c r="G1523" s="1" t="s">
        <v>23</v>
      </c>
      <c r="H1523">
        <v>35135.714285714283</v>
      </c>
      <c r="I1523">
        <v>34266.666666666664</v>
      </c>
      <c r="J1523">
        <v>35150</v>
      </c>
      <c r="K1523">
        <v>35500</v>
      </c>
      <c r="L1523">
        <v>29900</v>
      </c>
      <c r="M1523">
        <v>0</v>
      </c>
      <c r="N1523">
        <v>130.45930000000001</v>
      </c>
      <c r="O1523">
        <v>7.5482755999999998E-2</v>
      </c>
      <c r="P1523">
        <v>15457</v>
      </c>
      <c r="Q1523">
        <v>27.7</v>
      </c>
      <c r="R1523">
        <v>3.67</v>
      </c>
      <c r="S1523">
        <v>79.28</v>
      </c>
      <c r="T1523">
        <v>5</v>
      </c>
      <c r="U1523" s="1" t="s">
        <v>25</v>
      </c>
      <c r="V1523">
        <v>0</v>
      </c>
    </row>
    <row r="1524" spans="1:22" x14ac:dyDescent="0.3">
      <c r="A1524" s="2">
        <v>45571</v>
      </c>
      <c r="B1524">
        <v>35150</v>
      </c>
      <c r="C1524">
        <v>1740</v>
      </c>
      <c r="D1524">
        <v>10</v>
      </c>
      <c r="E1524" s="1" t="s">
        <v>22</v>
      </c>
      <c r="F1524">
        <v>6</v>
      </c>
      <c r="G1524" s="1" t="s">
        <v>23</v>
      </c>
      <c r="H1524">
        <v>35085.714285714283</v>
      </c>
      <c r="I1524">
        <v>34433.333333333336</v>
      </c>
      <c r="J1524">
        <v>35150</v>
      </c>
      <c r="K1524">
        <v>35500</v>
      </c>
      <c r="L1524">
        <v>30150</v>
      </c>
      <c r="M1524">
        <v>0</v>
      </c>
      <c r="N1524">
        <v>130.45930000000001</v>
      </c>
      <c r="O1524">
        <v>7.5482755999999998E-2</v>
      </c>
      <c r="P1524">
        <v>15457</v>
      </c>
      <c r="Q1524">
        <v>27.76</v>
      </c>
      <c r="R1524">
        <v>6.32</v>
      </c>
      <c r="S1524">
        <v>79.48</v>
      </c>
      <c r="T1524">
        <v>6</v>
      </c>
      <c r="U1524" s="1" t="s">
        <v>25</v>
      </c>
      <c r="V1524">
        <v>0</v>
      </c>
    </row>
    <row r="1525" spans="1:22" x14ac:dyDescent="0.3">
      <c r="A1525" s="2">
        <v>45572</v>
      </c>
      <c r="B1525">
        <v>36000</v>
      </c>
      <c r="C1525">
        <v>1741</v>
      </c>
      <c r="D1525">
        <v>10</v>
      </c>
      <c r="E1525" s="1" t="s">
        <v>22</v>
      </c>
      <c r="F1525">
        <v>0</v>
      </c>
      <c r="G1525" s="1" t="s">
        <v>23</v>
      </c>
      <c r="H1525">
        <v>35228.571428571428</v>
      </c>
      <c r="I1525">
        <v>34628.333333333336</v>
      </c>
      <c r="J1525">
        <v>35150</v>
      </c>
      <c r="K1525">
        <v>35000</v>
      </c>
      <c r="L1525">
        <v>30150</v>
      </c>
      <c r="M1525">
        <v>850</v>
      </c>
      <c r="N1525">
        <v>130.45930000000001</v>
      </c>
      <c r="O1525">
        <v>7.5482755999999998E-2</v>
      </c>
      <c r="P1525">
        <v>15650</v>
      </c>
      <c r="Q1525">
        <v>27.41</v>
      </c>
      <c r="R1525">
        <v>16.75</v>
      </c>
      <c r="S1525">
        <v>82.74</v>
      </c>
      <c r="T1525">
        <v>7</v>
      </c>
      <c r="U1525" s="1" t="s">
        <v>69</v>
      </c>
      <c r="V1525">
        <v>2.42</v>
      </c>
    </row>
    <row r="1526" spans="1:22" x14ac:dyDescent="0.3">
      <c r="A1526" s="2">
        <v>45573</v>
      </c>
      <c r="B1526">
        <v>36000</v>
      </c>
      <c r="C1526">
        <v>1742</v>
      </c>
      <c r="D1526">
        <v>10</v>
      </c>
      <c r="E1526" s="1" t="s">
        <v>22</v>
      </c>
      <c r="F1526">
        <v>1</v>
      </c>
      <c r="G1526" s="1" t="s">
        <v>23</v>
      </c>
      <c r="H1526">
        <v>35300</v>
      </c>
      <c r="I1526">
        <v>34823.333333333336</v>
      </c>
      <c r="J1526">
        <v>36000</v>
      </c>
      <c r="K1526">
        <v>35500</v>
      </c>
      <c r="L1526">
        <v>30150</v>
      </c>
      <c r="M1526">
        <v>0</v>
      </c>
      <c r="N1526">
        <v>130.45930000000001</v>
      </c>
      <c r="O1526">
        <v>7.5482755999999998E-2</v>
      </c>
      <c r="P1526">
        <v>15744</v>
      </c>
      <c r="Q1526">
        <v>27.43</v>
      </c>
      <c r="R1526">
        <v>1.29</v>
      </c>
      <c r="S1526">
        <v>80.61</v>
      </c>
      <c r="T1526">
        <v>8</v>
      </c>
      <c r="U1526" s="1" t="s">
        <v>25</v>
      </c>
      <c r="V1526">
        <v>0</v>
      </c>
    </row>
    <row r="1527" spans="1:22" x14ac:dyDescent="0.3">
      <c r="A1527" s="2">
        <v>45574</v>
      </c>
      <c r="B1527">
        <v>36000</v>
      </c>
      <c r="C1527">
        <v>1743</v>
      </c>
      <c r="D1527">
        <v>10</v>
      </c>
      <c r="E1527" s="1" t="s">
        <v>22</v>
      </c>
      <c r="F1527">
        <v>2</v>
      </c>
      <c r="G1527" s="1" t="s">
        <v>23</v>
      </c>
      <c r="H1527">
        <v>35514.285714285717</v>
      </c>
      <c r="I1527">
        <v>34985</v>
      </c>
      <c r="J1527">
        <v>36000</v>
      </c>
      <c r="K1527">
        <v>34500</v>
      </c>
      <c r="L1527">
        <v>31150</v>
      </c>
      <c r="M1527">
        <v>0</v>
      </c>
      <c r="N1527">
        <v>130.45930000000001</v>
      </c>
      <c r="O1527">
        <v>7.5482755999999998E-2</v>
      </c>
      <c r="P1527">
        <v>15682.400390000001</v>
      </c>
      <c r="Q1527">
        <v>27.59</v>
      </c>
      <c r="R1527">
        <v>3.9</v>
      </c>
      <c r="S1527">
        <v>81.55</v>
      </c>
      <c r="T1527">
        <v>9</v>
      </c>
      <c r="U1527" s="1" t="s">
        <v>25</v>
      </c>
      <c r="V1527">
        <v>0</v>
      </c>
    </row>
    <row r="1528" spans="1:22" x14ac:dyDescent="0.3">
      <c r="A1528" s="2">
        <v>45575</v>
      </c>
      <c r="B1528">
        <v>36000</v>
      </c>
      <c r="C1528">
        <v>1744</v>
      </c>
      <c r="D1528">
        <v>10</v>
      </c>
      <c r="E1528" s="1" t="s">
        <v>22</v>
      </c>
      <c r="F1528">
        <v>3</v>
      </c>
      <c r="G1528" s="1" t="s">
        <v>23</v>
      </c>
      <c r="H1528">
        <v>35635.714285714283</v>
      </c>
      <c r="I1528">
        <v>35113.333333333336</v>
      </c>
      <c r="J1528">
        <v>36000</v>
      </c>
      <c r="K1528">
        <v>35150</v>
      </c>
      <c r="L1528">
        <v>32150</v>
      </c>
      <c r="M1528">
        <v>0</v>
      </c>
      <c r="N1528">
        <v>130.45930000000001</v>
      </c>
      <c r="O1528">
        <v>7.5482755999999998E-2</v>
      </c>
      <c r="P1528">
        <v>15664.599609999999</v>
      </c>
      <c r="Q1528">
        <v>27.59</v>
      </c>
      <c r="R1528">
        <v>1.84</v>
      </c>
      <c r="S1528">
        <v>81.56</v>
      </c>
      <c r="T1528">
        <v>10</v>
      </c>
      <c r="U1528" s="1" t="s">
        <v>25</v>
      </c>
      <c r="V1528">
        <v>0</v>
      </c>
    </row>
    <row r="1529" spans="1:22" x14ac:dyDescent="0.3">
      <c r="A1529" s="2">
        <v>45576</v>
      </c>
      <c r="B1529">
        <v>35000</v>
      </c>
      <c r="C1529">
        <v>1745</v>
      </c>
      <c r="D1529">
        <v>10</v>
      </c>
      <c r="E1529" s="1" t="s">
        <v>22</v>
      </c>
      <c r="F1529">
        <v>4</v>
      </c>
      <c r="G1529" s="1" t="s">
        <v>23</v>
      </c>
      <c r="H1529">
        <v>35614.285714285717</v>
      </c>
      <c r="I1529">
        <v>35171.666666666664</v>
      </c>
      <c r="J1529">
        <v>36000</v>
      </c>
      <c r="K1529">
        <v>35150</v>
      </c>
      <c r="L1529">
        <v>33250</v>
      </c>
      <c r="M1529">
        <v>-1000</v>
      </c>
      <c r="N1529">
        <v>130.45930000000001</v>
      </c>
      <c r="O1529">
        <v>7.5482755999999998E-2</v>
      </c>
      <c r="P1529">
        <v>15670.900390000001</v>
      </c>
      <c r="Q1529">
        <v>27.68</v>
      </c>
      <c r="R1529">
        <v>5.5</v>
      </c>
      <c r="S1529">
        <v>81.540000000000006</v>
      </c>
      <c r="T1529">
        <v>11</v>
      </c>
      <c r="U1529" s="1" t="s">
        <v>30</v>
      </c>
      <c r="V1529">
        <v>-2.78</v>
      </c>
    </row>
    <row r="1530" spans="1:22" x14ac:dyDescent="0.3">
      <c r="A1530" s="2">
        <v>45577</v>
      </c>
      <c r="B1530">
        <v>35000</v>
      </c>
      <c r="C1530">
        <v>1746</v>
      </c>
      <c r="D1530">
        <v>10</v>
      </c>
      <c r="E1530" s="1" t="s">
        <v>22</v>
      </c>
      <c r="F1530">
        <v>5</v>
      </c>
      <c r="G1530" s="1" t="s">
        <v>23</v>
      </c>
      <c r="H1530">
        <v>35592.857142857145</v>
      </c>
      <c r="I1530">
        <v>35158.333333333336</v>
      </c>
      <c r="J1530">
        <v>35000</v>
      </c>
      <c r="K1530">
        <v>35150</v>
      </c>
      <c r="L1530">
        <v>35400</v>
      </c>
      <c r="M1530">
        <v>0</v>
      </c>
      <c r="N1530">
        <v>130.45930000000001</v>
      </c>
      <c r="O1530">
        <v>7.5482755999999998E-2</v>
      </c>
      <c r="P1530">
        <v>15670.900390000001</v>
      </c>
      <c r="Q1530">
        <v>27.49</v>
      </c>
      <c r="R1530">
        <v>12.15</v>
      </c>
      <c r="S1530">
        <v>84.06</v>
      </c>
      <c r="T1530">
        <v>12</v>
      </c>
      <c r="U1530" s="1" t="s">
        <v>30</v>
      </c>
      <c r="V1530">
        <v>-2.78</v>
      </c>
    </row>
    <row r="1531" spans="1:22" x14ac:dyDescent="0.3">
      <c r="A1531" s="2">
        <v>45578</v>
      </c>
      <c r="B1531">
        <v>35000</v>
      </c>
      <c r="C1531">
        <v>1747</v>
      </c>
      <c r="D1531">
        <v>10</v>
      </c>
      <c r="E1531" s="1" t="s">
        <v>22</v>
      </c>
      <c r="F1531">
        <v>6</v>
      </c>
      <c r="G1531" s="1" t="s">
        <v>23</v>
      </c>
      <c r="H1531">
        <v>35571.428571428572</v>
      </c>
      <c r="I1531">
        <v>35145</v>
      </c>
      <c r="J1531">
        <v>35000</v>
      </c>
      <c r="K1531">
        <v>35150</v>
      </c>
      <c r="L1531">
        <v>35400</v>
      </c>
      <c r="M1531">
        <v>0</v>
      </c>
      <c r="N1531">
        <v>130.45930000000001</v>
      </c>
      <c r="O1531">
        <v>7.5482755999999998E-2</v>
      </c>
      <c r="P1531">
        <v>15670.900390000001</v>
      </c>
      <c r="Q1531">
        <v>27.48</v>
      </c>
      <c r="R1531">
        <v>1.44</v>
      </c>
      <c r="S1531">
        <v>83.38</v>
      </c>
      <c r="T1531">
        <v>13</v>
      </c>
      <c r="U1531" s="1" t="s">
        <v>30</v>
      </c>
      <c r="V1531">
        <v>-2.78</v>
      </c>
    </row>
    <row r="1532" spans="1:22" x14ac:dyDescent="0.3">
      <c r="A1532" s="2">
        <v>45579</v>
      </c>
      <c r="B1532">
        <v>35900</v>
      </c>
      <c r="C1532">
        <v>1748</v>
      </c>
      <c r="D1532">
        <v>10</v>
      </c>
      <c r="E1532" s="1" t="s">
        <v>22</v>
      </c>
      <c r="F1532">
        <v>0</v>
      </c>
      <c r="G1532" s="1" t="s">
        <v>23</v>
      </c>
      <c r="H1532">
        <v>35557.142857142855</v>
      </c>
      <c r="I1532">
        <v>35161.666666666664</v>
      </c>
      <c r="J1532">
        <v>35000</v>
      </c>
      <c r="K1532">
        <v>36000</v>
      </c>
      <c r="L1532">
        <v>35400</v>
      </c>
      <c r="M1532">
        <v>900</v>
      </c>
      <c r="N1532">
        <v>130.45930000000001</v>
      </c>
      <c r="O1532">
        <v>7.5482755999999998E-2</v>
      </c>
      <c r="P1532">
        <v>15562</v>
      </c>
      <c r="Q1532">
        <v>27.63</v>
      </c>
      <c r="R1532">
        <v>1.61</v>
      </c>
      <c r="S1532">
        <v>82.17</v>
      </c>
      <c r="T1532">
        <v>14</v>
      </c>
      <c r="U1532" s="1" t="s">
        <v>80</v>
      </c>
      <c r="V1532">
        <v>2.57</v>
      </c>
    </row>
    <row r="1533" spans="1:22" x14ac:dyDescent="0.3">
      <c r="A1533" s="2">
        <v>45580</v>
      </c>
      <c r="B1533">
        <v>36000</v>
      </c>
      <c r="C1533">
        <v>1749</v>
      </c>
      <c r="D1533">
        <v>10</v>
      </c>
      <c r="E1533" s="1" t="s">
        <v>22</v>
      </c>
      <c r="F1533">
        <v>1</v>
      </c>
      <c r="G1533" s="1" t="s">
        <v>23</v>
      </c>
      <c r="H1533">
        <v>35557.142857142855</v>
      </c>
      <c r="I1533">
        <v>35181.666666666664</v>
      </c>
      <c r="J1533">
        <v>35900</v>
      </c>
      <c r="K1533">
        <v>36000</v>
      </c>
      <c r="L1533">
        <v>35400</v>
      </c>
      <c r="M1533">
        <v>100</v>
      </c>
      <c r="N1533">
        <v>130.45930000000001</v>
      </c>
      <c r="O1533">
        <v>7.5482755999999998E-2</v>
      </c>
      <c r="P1533">
        <v>15573</v>
      </c>
      <c r="Q1533">
        <v>27.3</v>
      </c>
      <c r="R1533">
        <v>3.04</v>
      </c>
      <c r="S1533">
        <v>83.77</v>
      </c>
      <c r="T1533">
        <v>15</v>
      </c>
      <c r="U1533" s="1" t="s">
        <v>65</v>
      </c>
      <c r="V1533">
        <v>0.28000000000000003</v>
      </c>
    </row>
    <row r="1534" spans="1:22" x14ac:dyDescent="0.3">
      <c r="A1534" s="2">
        <v>45581</v>
      </c>
      <c r="B1534">
        <v>36250</v>
      </c>
      <c r="C1534">
        <v>1750</v>
      </c>
      <c r="D1534">
        <v>10</v>
      </c>
      <c r="E1534" s="1" t="s">
        <v>22</v>
      </c>
      <c r="F1534">
        <v>2</v>
      </c>
      <c r="G1534" s="1" t="s">
        <v>23</v>
      </c>
      <c r="H1534">
        <v>35592.857142857145</v>
      </c>
      <c r="I1534">
        <v>35210</v>
      </c>
      <c r="J1534">
        <v>36000</v>
      </c>
      <c r="K1534">
        <v>36000</v>
      </c>
      <c r="L1534">
        <v>35400</v>
      </c>
      <c r="M1534">
        <v>250</v>
      </c>
      <c r="N1534">
        <v>130.45930000000001</v>
      </c>
      <c r="O1534">
        <v>7.5482755999999998E-2</v>
      </c>
      <c r="P1534">
        <v>15578.599609999999</v>
      </c>
      <c r="Q1534">
        <v>27.17</v>
      </c>
      <c r="R1534">
        <v>10.220000000000001</v>
      </c>
      <c r="S1534">
        <v>83.27</v>
      </c>
      <c r="T1534">
        <v>16</v>
      </c>
      <c r="U1534" s="1" t="s">
        <v>34</v>
      </c>
      <c r="V1534">
        <v>0.69</v>
      </c>
    </row>
    <row r="1535" spans="1:22" x14ac:dyDescent="0.3">
      <c r="A1535" s="2">
        <v>45582</v>
      </c>
      <c r="B1535">
        <v>36150</v>
      </c>
      <c r="C1535">
        <v>1751</v>
      </c>
      <c r="D1535">
        <v>10</v>
      </c>
      <c r="E1535" s="1" t="s">
        <v>22</v>
      </c>
      <c r="F1535">
        <v>3</v>
      </c>
      <c r="G1535" s="1" t="s">
        <v>23</v>
      </c>
      <c r="H1535">
        <v>35614.285714285717</v>
      </c>
      <c r="I1535">
        <v>35260</v>
      </c>
      <c r="J1535">
        <v>36250</v>
      </c>
      <c r="K1535">
        <v>36000</v>
      </c>
      <c r="L1535">
        <v>34650</v>
      </c>
      <c r="M1535">
        <v>-100</v>
      </c>
      <c r="N1535">
        <v>130.45930000000001</v>
      </c>
      <c r="O1535">
        <v>7.5482755999999998E-2</v>
      </c>
      <c r="P1535">
        <v>15583.900390000001</v>
      </c>
      <c r="Q1535">
        <v>27.63</v>
      </c>
      <c r="R1535">
        <v>12.92</v>
      </c>
      <c r="S1535">
        <v>76.260000000000005</v>
      </c>
      <c r="T1535">
        <v>17</v>
      </c>
      <c r="U1535" s="1" t="s">
        <v>74</v>
      </c>
      <c r="V1535">
        <v>-0.28000000000000003</v>
      </c>
    </row>
    <row r="1536" spans="1:22" x14ac:dyDescent="0.3">
      <c r="A1536" s="2">
        <v>45583</v>
      </c>
      <c r="B1536">
        <v>36750</v>
      </c>
      <c r="C1536">
        <v>1752</v>
      </c>
      <c r="D1536">
        <v>10</v>
      </c>
      <c r="E1536" s="1" t="s">
        <v>22</v>
      </c>
      <c r="F1536">
        <v>4</v>
      </c>
      <c r="G1536" s="1" t="s">
        <v>23</v>
      </c>
      <c r="H1536">
        <v>35864.285714285717</v>
      </c>
      <c r="I1536">
        <v>35338.333333333336</v>
      </c>
      <c r="J1536">
        <v>36150</v>
      </c>
      <c r="K1536">
        <v>35000</v>
      </c>
      <c r="L1536">
        <v>34400</v>
      </c>
      <c r="M1536">
        <v>600</v>
      </c>
      <c r="N1536">
        <v>130.45930000000001</v>
      </c>
      <c r="O1536">
        <v>7.5482755999999998E-2</v>
      </c>
      <c r="P1536">
        <v>15493</v>
      </c>
      <c r="Q1536">
        <v>26.89</v>
      </c>
      <c r="R1536">
        <v>30.63</v>
      </c>
      <c r="S1536">
        <v>82.17</v>
      </c>
      <c r="T1536">
        <v>18</v>
      </c>
      <c r="U1536" s="1" t="s">
        <v>64</v>
      </c>
      <c r="V1536">
        <v>1.66</v>
      </c>
    </row>
    <row r="1537" spans="1:22" x14ac:dyDescent="0.3">
      <c r="A1537" s="2">
        <v>45584</v>
      </c>
      <c r="B1537">
        <v>36750</v>
      </c>
      <c r="C1537">
        <v>1753</v>
      </c>
      <c r="D1537">
        <v>10</v>
      </c>
      <c r="E1537" s="1" t="s">
        <v>22</v>
      </c>
      <c r="F1537">
        <v>5</v>
      </c>
      <c r="G1537" s="1" t="s">
        <v>23</v>
      </c>
      <c r="H1537">
        <v>36114.285714285717</v>
      </c>
      <c r="I1537">
        <v>35416.666666666664</v>
      </c>
      <c r="J1537">
        <v>36750</v>
      </c>
      <c r="K1537">
        <v>35000</v>
      </c>
      <c r="L1537">
        <v>34400</v>
      </c>
      <c r="M1537">
        <v>0</v>
      </c>
      <c r="N1537">
        <v>130.45930000000001</v>
      </c>
      <c r="O1537">
        <v>7.5482755999999998E-2</v>
      </c>
      <c r="P1537">
        <v>15493</v>
      </c>
      <c r="Q1537">
        <v>27.72</v>
      </c>
      <c r="R1537">
        <v>1.77</v>
      </c>
      <c r="S1537">
        <v>76.88</v>
      </c>
      <c r="T1537">
        <v>19</v>
      </c>
      <c r="U1537" s="1" t="s">
        <v>64</v>
      </c>
      <c r="V1537">
        <v>1.66</v>
      </c>
    </row>
    <row r="1538" spans="1:22" x14ac:dyDescent="0.3">
      <c r="A1538" s="2">
        <v>45585</v>
      </c>
      <c r="B1538">
        <v>36750</v>
      </c>
      <c r="C1538">
        <v>1754</v>
      </c>
      <c r="D1538">
        <v>10</v>
      </c>
      <c r="E1538" s="1" t="s">
        <v>22</v>
      </c>
      <c r="F1538">
        <v>6</v>
      </c>
      <c r="G1538" s="1" t="s">
        <v>23</v>
      </c>
      <c r="H1538">
        <v>36364.285714285717</v>
      </c>
      <c r="I1538">
        <v>35495</v>
      </c>
      <c r="J1538">
        <v>36750</v>
      </c>
      <c r="K1538">
        <v>35000</v>
      </c>
      <c r="L1538">
        <v>34400</v>
      </c>
      <c r="M1538">
        <v>0</v>
      </c>
      <c r="N1538">
        <v>130.45930000000001</v>
      </c>
      <c r="O1538">
        <v>7.5482755999999998E-2</v>
      </c>
      <c r="P1538">
        <v>15493</v>
      </c>
      <c r="Q1538">
        <v>28.03</v>
      </c>
      <c r="R1538">
        <v>7.91</v>
      </c>
      <c r="S1538">
        <v>80.150000000000006</v>
      </c>
      <c r="T1538">
        <v>20</v>
      </c>
      <c r="U1538" s="1" t="s">
        <v>64</v>
      </c>
      <c r="V1538">
        <v>1.66</v>
      </c>
    </row>
    <row r="1539" spans="1:22" x14ac:dyDescent="0.3">
      <c r="A1539" s="2">
        <v>45586</v>
      </c>
      <c r="B1539">
        <v>37250</v>
      </c>
      <c r="C1539">
        <v>1755</v>
      </c>
      <c r="D1539">
        <v>10</v>
      </c>
      <c r="E1539" s="1" t="s">
        <v>22</v>
      </c>
      <c r="F1539">
        <v>0</v>
      </c>
      <c r="G1539" s="1" t="s">
        <v>23</v>
      </c>
      <c r="H1539">
        <v>36557.142857142855</v>
      </c>
      <c r="I1539">
        <v>35590</v>
      </c>
      <c r="J1539">
        <v>36750</v>
      </c>
      <c r="K1539">
        <v>35900</v>
      </c>
      <c r="L1539">
        <v>34400</v>
      </c>
      <c r="M1539">
        <v>500</v>
      </c>
      <c r="N1539">
        <v>130.45930000000001</v>
      </c>
      <c r="O1539">
        <v>7.5482755999999998E-2</v>
      </c>
      <c r="P1539">
        <v>15467</v>
      </c>
      <c r="Q1539">
        <v>27.87</v>
      </c>
      <c r="R1539">
        <v>8.18</v>
      </c>
      <c r="S1539">
        <v>81.39</v>
      </c>
      <c r="T1539">
        <v>21</v>
      </c>
      <c r="U1539" s="1" t="s">
        <v>26</v>
      </c>
      <c r="V1539">
        <v>1.36</v>
      </c>
    </row>
    <row r="1540" spans="1:22" x14ac:dyDescent="0.3">
      <c r="A1540" s="2">
        <v>45587</v>
      </c>
      <c r="B1540">
        <v>36400</v>
      </c>
      <c r="C1540">
        <v>1756</v>
      </c>
      <c r="D1540">
        <v>10</v>
      </c>
      <c r="E1540" s="1" t="s">
        <v>22</v>
      </c>
      <c r="F1540">
        <v>1</v>
      </c>
      <c r="G1540" s="1" t="s">
        <v>23</v>
      </c>
      <c r="H1540">
        <v>36614.285714285717</v>
      </c>
      <c r="I1540">
        <v>35656.666666666664</v>
      </c>
      <c r="J1540">
        <v>37250</v>
      </c>
      <c r="K1540">
        <v>36000</v>
      </c>
      <c r="L1540">
        <v>34400</v>
      </c>
      <c r="M1540">
        <v>-850</v>
      </c>
      <c r="N1540">
        <v>130.45930000000001</v>
      </c>
      <c r="O1540">
        <v>7.5482755999999998E-2</v>
      </c>
      <c r="P1540">
        <v>15556</v>
      </c>
      <c r="Q1540">
        <v>28.19</v>
      </c>
      <c r="R1540">
        <v>1.84</v>
      </c>
      <c r="S1540">
        <v>78.94</v>
      </c>
      <c r="T1540">
        <v>22</v>
      </c>
      <c r="U1540" s="1" t="s">
        <v>60</v>
      </c>
      <c r="V1540">
        <v>-2.2799999999999998</v>
      </c>
    </row>
    <row r="1541" spans="1:22" x14ac:dyDescent="0.3">
      <c r="A1541" s="2">
        <v>45588</v>
      </c>
      <c r="B1541">
        <v>37250</v>
      </c>
      <c r="C1541">
        <v>1757</v>
      </c>
      <c r="D1541">
        <v>10</v>
      </c>
      <c r="E1541" s="1" t="s">
        <v>22</v>
      </c>
      <c r="F1541">
        <v>2</v>
      </c>
      <c r="G1541" s="1" t="s">
        <v>23</v>
      </c>
      <c r="H1541">
        <v>36757.142857142855</v>
      </c>
      <c r="I1541">
        <v>35740</v>
      </c>
      <c r="J1541">
        <v>36400</v>
      </c>
      <c r="K1541">
        <v>36250</v>
      </c>
      <c r="L1541">
        <v>34750</v>
      </c>
      <c r="M1541">
        <v>850</v>
      </c>
      <c r="N1541">
        <v>130.45930000000001</v>
      </c>
      <c r="O1541">
        <v>7.5482755999999998E-2</v>
      </c>
      <c r="P1541">
        <v>15586</v>
      </c>
      <c r="Q1541">
        <v>28.02</v>
      </c>
      <c r="R1541">
        <v>1</v>
      </c>
      <c r="S1541">
        <v>82.05</v>
      </c>
      <c r="T1541">
        <v>23</v>
      </c>
      <c r="U1541" s="1" t="s">
        <v>69</v>
      </c>
      <c r="V1541">
        <v>2.34</v>
      </c>
    </row>
    <row r="1542" spans="1:22" x14ac:dyDescent="0.3">
      <c r="A1542" s="2">
        <v>45589</v>
      </c>
      <c r="B1542">
        <v>37250</v>
      </c>
      <c r="C1542">
        <v>1758</v>
      </c>
      <c r="D1542">
        <v>10</v>
      </c>
      <c r="E1542" s="1" t="s">
        <v>22</v>
      </c>
      <c r="F1542">
        <v>3</v>
      </c>
      <c r="G1542" s="1" t="s">
        <v>23</v>
      </c>
      <c r="H1542">
        <v>36914.285714285717</v>
      </c>
      <c r="I1542">
        <v>35810</v>
      </c>
      <c r="J1542">
        <v>37250</v>
      </c>
      <c r="K1542">
        <v>36150</v>
      </c>
      <c r="L1542">
        <v>35150</v>
      </c>
      <c r="M1542">
        <v>0</v>
      </c>
      <c r="N1542">
        <v>130.45930000000001</v>
      </c>
      <c r="O1542">
        <v>7.5482755999999998E-2</v>
      </c>
      <c r="P1542">
        <v>15663</v>
      </c>
      <c r="Q1542">
        <v>28.45</v>
      </c>
      <c r="R1542">
        <v>0.04</v>
      </c>
      <c r="S1542">
        <v>76.87</v>
      </c>
      <c r="T1542">
        <v>24</v>
      </c>
      <c r="U1542" s="1" t="s">
        <v>25</v>
      </c>
      <c r="V1542">
        <v>0</v>
      </c>
    </row>
    <row r="1543" spans="1:22" x14ac:dyDescent="0.3">
      <c r="A1543" s="2">
        <v>45590</v>
      </c>
      <c r="B1543">
        <v>37150</v>
      </c>
      <c r="C1543">
        <v>1759</v>
      </c>
      <c r="D1543">
        <v>10</v>
      </c>
      <c r="E1543" s="1" t="s">
        <v>22</v>
      </c>
      <c r="F1543">
        <v>4</v>
      </c>
      <c r="G1543" s="1" t="s">
        <v>23</v>
      </c>
      <c r="H1543">
        <v>36971.428571428572</v>
      </c>
      <c r="I1543">
        <v>35873.333333333336</v>
      </c>
      <c r="J1543">
        <v>37250</v>
      </c>
      <c r="K1543">
        <v>36750</v>
      </c>
      <c r="L1543">
        <v>35250</v>
      </c>
      <c r="M1543">
        <v>-100</v>
      </c>
      <c r="N1543">
        <v>130.45930000000001</v>
      </c>
      <c r="O1543">
        <v>7.5482755999999998E-2</v>
      </c>
      <c r="P1543">
        <v>15621.5</v>
      </c>
      <c r="Q1543">
        <v>28.5</v>
      </c>
      <c r="R1543">
        <v>3.38</v>
      </c>
      <c r="S1543">
        <v>79.31</v>
      </c>
      <c r="T1543">
        <v>25</v>
      </c>
      <c r="U1543" s="1" t="s">
        <v>74</v>
      </c>
      <c r="V1543">
        <v>-0.27</v>
      </c>
    </row>
    <row r="1544" spans="1:22" x14ac:dyDescent="0.3">
      <c r="A1544" s="2">
        <v>45591</v>
      </c>
      <c r="B1544">
        <v>37150</v>
      </c>
      <c r="C1544">
        <v>1760</v>
      </c>
      <c r="D1544">
        <v>10</v>
      </c>
      <c r="E1544" s="1" t="s">
        <v>22</v>
      </c>
      <c r="F1544">
        <v>5</v>
      </c>
      <c r="G1544" s="1" t="s">
        <v>23</v>
      </c>
      <c r="H1544">
        <v>37028.571428571428</v>
      </c>
      <c r="I1544">
        <v>35936.666666666664</v>
      </c>
      <c r="J1544">
        <v>37150</v>
      </c>
      <c r="K1544">
        <v>36750</v>
      </c>
      <c r="L1544">
        <v>35250</v>
      </c>
      <c r="M1544">
        <v>0</v>
      </c>
      <c r="N1544">
        <v>130.45930000000001</v>
      </c>
      <c r="O1544">
        <v>7.5482755999999998E-2</v>
      </c>
      <c r="P1544">
        <v>15621.5</v>
      </c>
      <c r="Q1544">
        <v>28.21</v>
      </c>
      <c r="R1544">
        <v>1.5</v>
      </c>
      <c r="S1544">
        <v>79.52</v>
      </c>
      <c r="T1544">
        <v>26</v>
      </c>
      <c r="U1544" s="1" t="s">
        <v>74</v>
      </c>
      <c r="V1544">
        <v>-0.27</v>
      </c>
    </row>
    <row r="1545" spans="1:22" x14ac:dyDescent="0.3">
      <c r="A1545" s="2">
        <v>45592</v>
      </c>
      <c r="B1545">
        <v>37150</v>
      </c>
      <c r="C1545">
        <v>1761</v>
      </c>
      <c r="D1545">
        <v>10</v>
      </c>
      <c r="E1545" s="1" t="s">
        <v>22</v>
      </c>
      <c r="F1545">
        <v>6</v>
      </c>
      <c r="G1545" s="1" t="s">
        <v>23</v>
      </c>
      <c r="H1545">
        <v>37085.714285714283</v>
      </c>
      <c r="I1545">
        <v>35991.666666666664</v>
      </c>
      <c r="J1545">
        <v>37150</v>
      </c>
      <c r="K1545">
        <v>36750</v>
      </c>
      <c r="L1545">
        <v>35500</v>
      </c>
      <c r="M1545">
        <v>0</v>
      </c>
      <c r="N1545">
        <v>130.45930000000001</v>
      </c>
      <c r="O1545">
        <v>7.5482755999999998E-2</v>
      </c>
      <c r="P1545">
        <v>15621.5</v>
      </c>
      <c r="Q1545">
        <v>27.56</v>
      </c>
      <c r="R1545">
        <v>3.27</v>
      </c>
      <c r="S1545">
        <v>81.3</v>
      </c>
      <c r="T1545">
        <v>27</v>
      </c>
      <c r="U1545" s="1" t="s">
        <v>74</v>
      </c>
      <c r="V1545">
        <v>-0.27</v>
      </c>
    </row>
    <row r="1546" spans="1:22" x14ac:dyDescent="0.3">
      <c r="A1546" s="2">
        <v>45593</v>
      </c>
      <c r="B1546">
        <v>38000</v>
      </c>
      <c r="C1546">
        <v>1762</v>
      </c>
      <c r="D1546">
        <v>10</v>
      </c>
      <c r="E1546" s="1" t="s">
        <v>22</v>
      </c>
      <c r="F1546">
        <v>0</v>
      </c>
      <c r="G1546" s="1" t="s">
        <v>23</v>
      </c>
      <c r="H1546">
        <v>37192.857142857145</v>
      </c>
      <c r="I1546">
        <v>36075</v>
      </c>
      <c r="J1546">
        <v>37150</v>
      </c>
      <c r="K1546">
        <v>37250</v>
      </c>
      <c r="L1546">
        <v>35500</v>
      </c>
      <c r="M1546">
        <v>850</v>
      </c>
      <c r="N1546">
        <v>130.45930000000001</v>
      </c>
      <c r="O1546">
        <v>7.5482755999999998E-2</v>
      </c>
      <c r="P1546">
        <v>15688.099609999999</v>
      </c>
      <c r="Q1546">
        <v>27.84</v>
      </c>
      <c r="R1546">
        <v>1.24</v>
      </c>
      <c r="S1546">
        <v>81.05</v>
      </c>
      <c r="T1546">
        <v>28</v>
      </c>
      <c r="U1546" s="1" t="s">
        <v>69</v>
      </c>
      <c r="V1546">
        <v>2.29</v>
      </c>
    </row>
    <row r="1547" spans="1:22" x14ac:dyDescent="0.3">
      <c r="A1547" s="2">
        <v>45594</v>
      </c>
      <c r="B1547">
        <v>38650</v>
      </c>
      <c r="C1547">
        <v>1763</v>
      </c>
      <c r="D1547">
        <v>10</v>
      </c>
      <c r="E1547" s="1" t="s">
        <v>22</v>
      </c>
      <c r="F1547">
        <v>1</v>
      </c>
      <c r="G1547" s="1" t="s">
        <v>23</v>
      </c>
      <c r="H1547">
        <v>37514.285714285717</v>
      </c>
      <c r="I1547">
        <v>36180</v>
      </c>
      <c r="J1547">
        <v>38000</v>
      </c>
      <c r="K1547">
        <v>36400</v>
      </c>
      <c r="L1547">
        <v>35500</v>
      </c>
      <c r="M1547">
        <v>650</v>
      </c>
      <c r="N1547">
        <v>130.45930000000001</v>
      </c>
      <c r="O1547">
        <v>7.5482755999999998E-2</v>
      </c>
      <c r="P1547">
        <v>15747</v>
      </c>
      <c r="Q1547">
        <v>27.95</v>
      </c>
      <c r="R1547">
        <v>0.49</v>
      </c>
      <c r="S1547">
        <v>79.010000000000005</v>
      </c>
      <c r="T1547">
        <v>29</v>
      </c>
      <c r="U1547" s="1" t="s">
        <v>73</v>
      </c>
      <c r="V1547">
        <v>1.71</v>
      </c>
    </row>
    <row r="1548" spans="1:22" x14ac:dyDescent="0.3">
      <c r="A1548" s="2">
        <v>45595</v>
      </c>
      <c r="B1548">
        <v>38400</v>
      </c>
      <c r="C1548">
        <v>1764</v>
      </c>
      <c r="D1548">
        <v>10</v>
      </c>
      <c r="E1548" s="1" t="s">
        <v>22</v>
      </c>
      <c r="F1548">
        <v>2</v>
      </c>
      <c r="G1548" s="1" t="s">
        <v>23</v>
      </c>
      <c r="H1548">
        <v>37678.571428571428</v>
      </c>
      <c r="I1548">
        <v>36293.333333333336</v>
      </c>
      <c r="J1548">
        <v>38650</v>
      </c>
      <c r="K1548">
        <v>37250</v>
      </c>
      <c r="L1548">
        <v>35000</v>
      </c>
      <c r="M1548">
        <v>-250</v>
      </c>
      <c r="N1548">
        <v>130.45930000000001</v>
      </c>
      <c r="O1548">
        <v>7.5482755999999998E-2</v>
      </c>
      <c r="P1548">
        <v>15768</v>
      </c>
      <c r="Q1548">
        <v>27.75</v>
      </c>
      <c r="R1548">
        <v>0.95</v>
      </c>
      <c r="S1548">
        <v>81.8</v>
      </c>
      <c r="T1548">
        <v>30</v>
      </c>
      <c r="U1548" s="1" t="s">
        <v>35</v>
      </c>
      <c r="V1548">
        <v>-0.65</v>
      </c>
    </row>
    <row r="1549" spans="1:22" x14ac:dyDescent="0.3">
      <c r="A1549" s="2">
        <v>45596</v>
      </c>
      <c r="B1549">
        <v>38900</v>
      </c>
      <c r="C1549">
        <v>1765</v>
      </c>
      <c r="D1549">
        <v>10</v>
      </c>
      <c r="E1549" s="1" t="s">
        <v>22</v>
      </c>
      <c r="F1549">
        <v>3</v>
      </c>
      <c r="G1549" s="1" t="s">
        <v>23</v>
      </c>
      <c r="H1549">
        <v>37914.285714285717</v>
      </c>
      <c r="I1549">
        <v>36406.666666666664</v>
      </c>
      <c r="J1549">
        <v>38400</v>
      </c>
      <c r="K1549">
        <v>37250</v>
      </c>
      <c r="L1549">
        <v>35500</v>
      </c>
      <c r="M1549">
        <v>500</v>
      </c>
      <c r="N1549">
        <v>130.45930000000001</v>
      </c>
      <c r="O1549">
        <v>7.5482755999999998E-2</v>
      </c>
      <c r="P1549">
        <v>15695.5</v>
      </c>
      <c r="Q1549">
        <v>27.38</v>
      </c>
      <c r="R1549">
        <v>1.1299999999999999</v>
      </c>
      <c r="S1549">
        <v>82</v>
      </c>
      <c r="T1549">
        <v>31</v>
      </c>
      <c r="U1549" s="1" t="s">
        <v>26</v>
      </c>
      <c r="V1549">
        <v>1.3</v>
      </c>
    </row>
    <row r="1550" spans="1:22" x14ac:dyDescent="0.3">
      <c r="A1550" s="2">
        <v>45597</v>
      </c>
      <c r="B1550">
        <v>38900</v>
      </c>
      <c r="C1550">
        <v>1766</v>
      </c>
      <c r="D1550">
        <v>11</v>
      </c>
      <c r="E1550" s="1" t="s">
        <v>22</v>
      </c>
      <c r="F1550">
        <v>4</v>
      </c>
      <c r="G1550" s="1" t="s">
        <v>23</v>
      </c>
      <c r="H1550">
        <v>38164.285714285717</v>
      </c>
      <c r="I1550">
        <v>36553.333333333336</v>
      </c>
      <c r="J1550">
        <v>38900</v>
      </c>
      <c r="K1550">
        <v>37150</v>
      </c>
      <c r="L1550">
        <v>34500</v>
      </c>
      <c r="M1550">
        <v>0</v>
      </c>
      <c r="N1550">
        <v>130.85310000000001</v>
      </c>
      <c r="O1550">
        <v>0.30185659399999998</v>
      </c>
      <c r="P1550">
        <v>15713</v>
      </c>
      <c r="Q1550">
        <v>27.27</v>
      </c>
      <c r="R1550">
        <v>6.7</v>
      </c>
      <c r="S1550">
        <v>79.91</v>
      </c>
      <c r="T1550">
        <v>1</v>
      </c>
      <c r="U1550" s="1" t="s">
        <v>25</v>
      </c>
      <c r="V1550">
        <v>0</v>
      </c>
    </row>
    <row r="1551" spans="1:22" x14ac:dyDescent="0.3">
      <c r="A1551" s="2">
        <v>45598</v>
      </c>
      <c r="B1551">
        <v>38900</v>
      </c>
      <c r="C1551">
        <v>1767</v>
      </c>
      <c r="D1551">
        <v>11</v>
      </c>
      <c r="E1551" s="1" t="s">
        <v>22</v>
      </c>
      <c r="F1551">
        <v>5</v>
      </c>
      <c r="G1551" s="1" t="s">
        <v>23</v>
      </c>
      <c r="H1551">
        <v>38414.285714285717</v>
      </c>
      <c r="I1551">
        <v>36678.333333333336</v>
      </c>
      <c r="J1551">
        <v>38900</v>
      </c>
      <c r="K1551">
        <v>37150</v>
      </c>
      <c r="L1551">
        <v>35150</v>
      </c>
      <c r="M1551">
        <v>0</v>
      </c>
      <c r="N1551">
        <v>130.85310000000001</v>
      </c>
      <c r="O1551">
        <v>0.30185659399999998</v>
      </c>
      <c r="P1551">
        <v>15713</v>
      </c>
      <c r="Q1551">
        <v>27.59</v>
      </c>
      <c r="R1551">
        <v>2.54</v>
      </c>
      <c r="S1551">
        <v>77.510000000000005</v>
      </c>
      <c r="T1551">
        <v>2</v>
      </c>
      <c r="U1551" s="1" t="s">
        <v>25</v>
      </c>
      <c r="V1551">
        <v>0</v>
      </c>
    </row>
    <row r="1552" spans="1:22" x14ac:dyDescent="0.3">
      <c r="A1552" s="2">
        <v>45599</v>
      </c>
      <c r="B1552">
        <v>38900</v>
      </c>
      <c r="C1552">
        <v>1768</v>
      </c>
      <c r="D1552">
        <v>11</v>
      </c>
      <c r="E1552" s="1" t="s">
        <v>22</v>
      </c>
      <c r="F1552">
        <v>6</v>
      </c>
      <c r="G1552" s="1" t="s">
        <v>23</v>
      </c>
      <c r="H1552">
        <v>38664.285714285717</v>
      </c>
      <c r="I1552">
        <v>36803.333333333336</v>
      </c>
      <c r="J1552">
        <v>38900</v>
      </c>
      <c r="K1552">
        <v>37150</v>
      </c>
      <c r="L1552">
        <v>35150</v>
      </c>
      <c r="M1552">
        <v>0</v>
      </c>
      <c r="N1552">
        <v>130.85310000000001</v>
      </c>
      <c r="O1552">
        <v>0.30185659399999998</v>
      </c>
      <c r="P1552">
        <v>15713</v>
      </c>
      <c r="Q1552">
        <v>27.14</v>
      </c>
      <c r="R1552">
        <v>2.87</v>
      </c>
      <c r="S1552">
        <v>79.55</v>
      </c>
      <c r="T1552">
        <v>3</v>
      </c>
      <c r="U1552" s="1" t="s">
        <v>25</v>
      </c>
      <c r="V1552">
        <v>0</v>
      </c>
    </row>
    <row r="1553" spans="1:22" x14ac:dyDescent="0.3">
      <c r="A1553" s="2">
        <v>45600</v>
      </c>
      <c r="B1553">
        <v>38650</v>
      </c>
      <c r="C1553">
        <v>1769</v>
      </c>
      <c r="D1553">
        <v>11</v>
      </c>
      <c r="E1553" s="1" t="s">
        <v>22</v>
      </c>
      <c r="F1553">
        <v>0</v>
      </c>
      <c r="G1553" s="1" t="s">
        <v>23</v>
      </c>
      <c r="H1553">
        <v>38757.142857142855</v>
      </c>
      <c r="I1553">
        <v>36920</v>
      </c>
      <c r="J1553">
        <v>38900</v>
      </c>
      <c r="K1553">
        <v>38000</v>
      </c>
      <c r="L1553">
        <v>35150</v>
      </c>
      <c r="M1553">
        <v>-250</v>
      </c>
      <c r="N1553">
        <v>130.85310000000001</v>
      </c>
      <c r="O1553">
        <v>0.30185659399999998</v>
      </c>
      <c r="P1553">
        <v>15842</v>
      </c>
      <c r="Q1553">
        <v>27.34</v>
      </c>
      <c r="R1553">
        <v>4.42</v>
      </c>
      <c r="S1553">
        <v>81.61</v>
      </c>
      <c r="T1553">
        <v>4</v>
      </c>
      <c r="U1553" s="1" t="s">
        <v>35</v>
      </c>
      <c r="V1553">
        <v>-0.64</v>
      </c>
    </row>
    <row r="1554" spans="1:22" x14ac:dyDescent="0.3">
      <c r="A1554" s="2">
        <v>45601</v>
      </c>
      <c r="B1554">
        <v>38650</v>
      </c>
      <c r="C1554">
        <v>1770</v>
      </c>
      <c r="D1554">
        <v>11</v>
      </c>
      <c r="E1554" s="1" t="s">
        <v>22</v>
      </c>
      <c r="F1554">
        <v>1</v>
      </c>
      <c r="G1554" s="1" t="s">
        <v>23</v>
      </c>
      <c r="H1554">
        <v>38757.142857142855</v>
      </c>
      <c r="I1554">
        <v>37036.666666666664</v>
      </c>
      <c r="J1554">
        <v>38650</v>
      </c>
      <c r="K1554">
        <v>38650</v>
      </c>
      <c r="L1554">
        <v>35150</v>
      </c>
      <c r="M1554">
        <v>0</v>
      </c>
      <c r="N1554">
        <v>130.85310000000001</v>
      </c>
      <c r="O1554">
        <v>0.30185659399999998</v>
      </c>
      <c r="P1554">
        <v>15790</v>
      </c>
      <c r="Q1554">
        <v>27.22</v>
      </c>
      <c r="R1554">
        <v>15.51</v>
      </c>
      <c r="S1554">
        <v>79.28</v>
      </c>
      <c r="T1554">
        <v>5</v>
      </c>
      <c r="U1554" s="1" t="s">
        <v>25</v>
      </c>
      <c r="V1554">
        <v>0</v>
      </c>
    </row>
    <row r="1555" spans="1:22" x14ac:dyDescent="0.3">
      <c r="A1555" s="2">
        <v>45602</v>
      </c>
      <c r="B1555">
        <v>38900</v>
      </c>
      <c r="C1555">
        <v>1771</v>
      </c>
      <c r="D1555">
        <v>11</v>
      </c>
      <c r="E1555" s="1" t="s">
        <v>22</v>
      </c>
      <c r="F1555">
        <v>2</v>
      </c>
      <c r="G1555" s="1" t="s">
        <v>23</v>
      </c>
      <c r="H1555">
        <v>38828.571428571428</v>
      </c>
      <c r="I1555">
        <v>37133.333333333336</v>
      </c>
      <c r="J1555">
        <v>38650</v>
      </c>
      <c r="K1555">
        <v>38400</v>
      </c>
      <c r="L1555">
        <v>36000</v>
      </c>
      <c r="M1555">
        <v>250</v>
      </c>
      <c r="N1555">
        <v>130.85310000000001</v>
      </c>
      <c r="O1555">
        <v>0.30185659399999998</v>
      </c>
      <c r="P1555">
        <v>15665</v>
      </c>
      <c r="Q1555">
        <v>27.53</v>
      </c>
      <c r="R1555">
        <v>1.01</v>
      </c>
      <c r="S1555">
        <v>79.56</v>
      </c>
      <c r="T1555">
        <v>6</v>
      </c>
      <c r="U1555" s="1" t="s">
        <v>34</v>
      </c>
      <c r="V1555">
        <v>0.65</v>
      </c>
    </row>
    <row r="1556" spans="1:22" x14ac:dyDescent="0.3">
      <c r="A1556" s="2">
        <v>45603</v>
      </c>
      <c r="B1556">
        <v>38900</v>
      </c>
      <c r="C1556">
        <v>1772</v>
      </c>
      <c r="D1556">
        <v>11</v>
      </c>
      <c r="E1556" s="1" t="s">
        <v>22</v>
      </c>
      <c r="F1556">
        <v>3</v>
      </c>
      <c r="G1556" s="1" t="s">
        <v>23</v>
      </c>
      <c r="H1556">
        <v>38828.571428571428</v>
      </c>
      <c r="I1556">
        <v>37230</v>
      </c>
      <c r="J1556">
        <v>38900</v>
      </c>
      <c r="K1556">
        <v>38900</v>
      </c>
      <c r="L1556">
        <v>36000</v>
      </c>
      <c r="M1556">
        <v>0</v>
      </c>
      <c r="N1556">
        <v>130.85310000000001</v>
      </c>
      <c r="O1556">
        <v>0.30185659399999998</v>
      </c>
      <c r="P1556">
        <v>15818.200199999999</v>
      </c>
      <c r="Q1556">
        <v>27.96</v>
      </c>
      <c r="R1556">
        <v>1.22</v>
      </c>
      <c r="S1556">
        <v>76.95</v>
      </c>
      <c r="T1556">
        <v>7</v>
      </c>
      <c r="U1556" s="1" t="s">
        <v>25</v>
      </c>
      <c r="V1556">
        <v>0</v>
      </c>
    </row>
    <row r="1557" spans="1:22" x14ac:dyDescent="0.3">
      <c r="A1557" s="2">
        <v>45604</v>
      </c>
      <c r="B1557">
        <v>38900</v>
      </c>
      <c r="C1557">
        <v>1773</v>
      </c>
      <c r="D1557">
        <v>11</v>
      </c>
      <c r="E1557" s="1" t="s">
        <v>22</v>
      </c>
      <c r="F1557">
        <v>4</v>
      </c>
      <c r="G1557" s="1" t="s">
        <v>23</v>
      </c>
      <c r="H1557">
        <v>38828.571428571428</v>
      </c>
      <c r="I1557">
        <v>37326.666666666664</v>
      </c>
      <c r="J1557">
        <v>38900</v>
      </c>
      <c r="K1557">
        <v>38900</v>
      </c>
      <c r="L1557">
        <v>36000</v>
      </c>
      <c r="M1557">
        <v>0</v>
      </c>
      <c r="N1557">
        <v>130.85310000000001</v>
      </c>
      <c r="O1557">
        <v>0.30185659399999998</v>
      </c>
      <c r="P1557">
        <v>15558</v>
      </c>
      <c r="Q1557">
        <v>28.04</v>
      </c>
      <c r="R1557">
        <v>4.22</v>
      </c>
      <c r="S1557">
        <v>78.430000000000007</v>
      </c>
      <c r="T1557">
        <v>8</v>
      </c>
      <c r="U1557" s="1" t="s">
        <v>25</v>
      </c>
      <c r="V1557">
        <v>0</v>
      </c>
    </row>
    <row r="1558" spans="1:22" x14ac:dyDescent="0.3">
      <c r="A1558" s="2">
        <v>45605</v>
      </c>
      <c r="B1558">
        <v>38900</v>
      </c>
      <c r="C1558">
        <v>1774</v>
      </c>
      <c r="D1558">
        <v>11</v>
      </c>
      <c r="E1558" s="1" t="s">
        <v>22</v>
      </c>
      <c r="F1558">
        <v>5</v>
      </c>
      <c r="G1558" s="1" t="s">
        <v>23</v>
      </c>
      <c r="H1558">
        <v>38828.571428571428</v>
      </c>
      <c r="I1558">
        <v>37423.333333333336</v>
      </c>
      <c r="J1558">
        <v>38900</v>
      </c>
      <c r="K1558">
        <v>38900</v>
      </c>
      <c r="L1558">
        <v>36000</v>
      </c>
      <c r="M1558">
        <v>0</v>
      </c>
      <c r="N1558">
        <v>130.85310000000001</v>
      </c>
      <c r="O1558">
        <v>0.30185659399999998</v>
      </c>
      <c r="P1558">
        <v>15558</v>
      </c>
      <c r="Q1558">
        <v>28.07</v>
      </c>
      <c r="R1558">
        <v>0.56999999999999995</v>
      </c>
      <c r="S1558">
        <v>77.290000000000006</v>
      </c>
      <c r="T1558">
        <v>9</v>
      </c>
      <c r="U1558" s="1" t="s">
        <v>25</v>
      </c>
      <c r="V1558">
        <v>0</v>
      </c>
    </row>
    <row r="1559" spans="1:22" x14ac:dyDescent="0.3">
      <c r="A1559" s="2">
        <v>45606</v>
      </c>
      <c r="B1559">
        <v>38900</v>
      </c>
      <c r="C1559">
        <v>1775</v>
      </c>
      <c r="D1559">
        <v>11</v>
      </c>
      <c r="E1559" s="1" t="s">
        <v>22</v>
      </c>
      <c r="F1559">
        <v>6</v>
      </c>
      <c r="G1559" s="1" t="s">
        <v>23</v>
      </c>
      <c r="H1559">
        <v>38828.571428571428</v>
      </c>
      <c r="I1559">
        <v>37553.333333333336</v>
      </c>
      <c r="J1559">
        <v>38900</v>
      </c>
      <c r="K1559">
        <v>38900</v>
      </c>
      <c r="L1559">
        <v>35000</v>
      </c>
      <c r="M1559">
        <v>0</v>
      </c>
      <c r="N1559">
        <v>130.85310000000001</v>
      </c>
      <c r="O1559">
        <v>0.30185659399999998</v>
      </c>
      <c r="P1559">
        <v>15558</v>
      </c>
      <c r="Q1559">
        <v>27.9</v>
      </c>
      <c r="R1559">
        <v>0.38</v>
      </c>
      <c r="S1559">
        <v>77.97</v>
      </c>
      <c r="T1559">
        <v>10</v>
      </c>
      <c r="U1559" s="1" t="s">
        <v>25</v>
      </c>
      <c r="V1559">
        <v>0</v>
      </c>
    </row>
    <row r="1560" spans="1:22" x14ac:dyDescent="0.3">
      <c r="A1560" s="2">
        <v>45607</v>
      </c>
      <c r="B1560">
        <v>42750</v>
      </c>
      <c r="C1560">
        <v>1776</v>
      </c>
      <c r="D1560">
        <v>11</v>
      </c>
      <c r="E1560" s="1" t="s">
        <v>22</v>
      </c>
      <c r="F1560">
        <v>0</v>
      </c>
      <c r="G1560" s="1" t="s">
        <v>23</v>
      </c>
      <c r="H1560">
        <v>39414.285714285717</v>
      </c>
      <c r="I1560">
        <v>37811.666666666664</v>
      </c>
      <c r="J1560">
        <v>38900</v>
      </c>
      <c r="K1560">
        <v>38650</v>
      </c>
      <c r="L1560">
        <v>35000</v>
      </c>
      <c r="M1560">
        <v>3850</v>
      </c>
      <c r="N1560">
        <v>130.85310000000001</v>
      </c>
      <c r="O1560">
        <v>0.30185659399999998</v>
      </c>
      <c r="P1560">
        <v>15647.200199999999</v>
      </c>
      <c r="Q1560">
        <v>28.18</v>
      </c>
      <c r="R1560">
        <v>0.53</v>
      </c>
      <c r="S1560">
        <v>74.819999999999993</v>
      </c>
      <c r="T1560">
        <v>11</v>
      </c>
      <c r="U1560" s="1" t="s">
        <v>115</v>
      </c>
      <c r="V1560">
        <v>9.9</v>
      </c>
    </row>
    <row r="1561" spans="1:22" x14ac:dyDescent="0.3">
      <c r="A1561" s="2">
        <v>45608</v>
      </c>
      <c r="B1561">
        <v>43750</v>
      </c>
      <c r="C1561">
        <v>1777</v>
      </c>
      <c r="D1561">
        <v>11</v>
      </c>
      <c r="E1561" s="1" t="s">
        <v>22</v>
      </c>
      <c r="F1561">
        <v>1</v>
      </c>
      <c r="G1561" s="1" t="s">
        <v>23</v>
      </c>
      <c r="H1561">
        <v>40142.857142857145</v>
      </c>
      <c r="I1561">
        <v>38103.333333333336</v>
      </c>
      <c r="J1561">
        <v>42750</v>
      </c>
      <c r="K1561">
        <v>38650</v>
      </c>
      <c r="L1561">
        <v>35000</v>
      </c>
      <c r="M1561">
        <v>1000</v>
      </c>
      <c r="N1561">
        <v>130.85310000000001</v>
      </c>
      <c r="O1561">
        <v>0.30185659399999998</v>
      </c>
      <c r="P1561">
        <v>15765</v>
      </c>
      <c r="Q1561">
        <v>27.98</v>
      </c>
      <c r="R1561">
        <v>1.25</v>
      </c>
      <c r="S1561">
        <v>79.7</v>
      </c>
      <c r="T1561">
        <v>12</v>
      </c>
      <c r="U1561" s="1" t="s">
        <v>29</v>
      </c>
      <c r="V1561">
        <v>2.34</v>
      </c>
    </row>
    <row r="1562" spans="1:22" x14ac:dyDescent="0.3">
      <c r="A1562" s="2">
        <v>45609</v>
      </c>
      <c r="B1562">
        <v>45000</v>
      </c>
      <c r="C1562">
        <v>1778</v>
      </c>
      <c r="D1562">
        <v>11</v>
      </c>
      <c r="E1562" s="1" t="s">
        <v>22</v>
      </c>
      <c r="F1562">
        <v>2</v>
      </c>
      <c r="G1562" s="1" t="s">
        <v>23</v>
      </c>
      <c r="H1562">
        <v>41014.285714285717</v>
      </c>
      <c r="I1562">
        <v>38406.666666666664</v>
      </c>
      <c r="J1562">
        <v>43750</v>
      </c>
      <c r="K1562">
        <v>38900</v>
      </c>
      <c r="L1562">
        <v>35900</v>
      </c>
      <c r="M1562">
        <v>1250</v>
      </c>
      <c r="N1562">
        <v>130.85310000000001</v>
      </c>
      <c r="O1562">
        <v>0.30185659399999998</v>
      </c>
      <c r="P1562">
        <v>15788.900390000001</v>
      </c>
      <c r="Q1562">
        <v>27.97</v>
      </c>
      <c r="R1562">
        <v>2.35</v>
      </c>
      <c r="S1562">
        <v>79.3</v>
      </c>
      <c r="T1562">
        <v>13</v>
      </c>
      <c r="U1562" s="1" t="s">
        <v>36</v>
      </c>
      <c r="V1562">
        <v>2.86</v>
      </c>
    </row>
    <row r="1563" spans="1:22" x14ac:dyDescent="0.3">
      <c r="A1563" s="2">
        <v>45610</v>
      </c>
      <c r="B1563">
        <v>45250</v>
      </c>
      <c r="C1563">
        <v>1779</v>
      </c>
      <c r="D1563">
        <v>11</v>
      </c>
      <c r="E1563" s="1" t="s">
        <v>22</v>
      </c>
      <c r="F1563">
        <v>3</v>
      </c>
      <c r="G1563" s="1" t="s">
        <v>23</v>
      </c>
      <c r="H1563">
        <v>41921.428571428572</v>
      </c>
      <c r="I1563">
        <v>38715</v>
      </c>
      <c r="J1563">
        <v>45000</v>
      </c>
      <c r="K1563">
        <v>38900</v>
      </c>
      <c r="L1563">
        <v>36000</v>
      </c>
      <c r="M1563">
        <v>250</v>
      </c>
      <c r="N1563">
        <v>130.85310000000001</v>
      </c>
      <c r="O1563">
        <v>0.30185659399999998</v>
      </c>
      <c r="P1563">
        <v>15847.200199999999</v>
      </c>
      <c r="Q1563">
        <v>27.68</v>
      </c>
      <c r="R1563">
        <v>1.83</v>
      </c>
      <c r="S1563">
        <v>82.03</v>
      </c>
      <c r="T1563">
        <v>14</v>
      </c>
      <c r="U1563" s="1" t="s">
        <v>34</v>
      </c>
      <c r="V1563">
        <v>0.56000000000000005</v>
      </c>
    </row>
    <row r="1564" spans="1:22" x14ac:dyDescent="0.3">
      <c r="A1564" s="2">
        <v>45611</v>
      </c>
      <c r="B1564">
        <v>45750</v>
      </c>
      <c r="C1564">
        <v>1780</v>
      </c>
      <c r="D1564">
        <v>11</v>
      </c>
      <c r="E1564" s="1" t="s">
        <v>22</v>
      </c>
      <c r="F1564">
        <v>4</v>
      </c>
      <c r="G1564" s="1" t="s">
        <v>23</v>
      </c>
      <c r="H1564">
        <v>42900</v>
      </c>
      <c r="I1564">
        <v>39031.666666666664</v>
      </c>
      <c r="J1564">
        <v>45250</v>
      </c>
      <c r="K1564">
        <v>38900</v>
      </c>
      <c r="L1564">
        <v>36250</v>
      </c>
      <c r="M1564">
        <v>500</v>
      </c>
      <c r="N1564">
        <v>130.85310000000001</v>
      </c>
      <c r="O1564">
        <v>0.30185659399999998</v>
      </c>
      <c r="P1564">
        <v>15933.299800000001</v>
      </c>
      <c r="Q1564">
        <v>27.93</v>
      </c>
      <c r="R1564">
        <v>0.85</v>
      </c>
      <c r="S1564">
        <v>81.489999999999995</v>
      </c>
      <c r="T1564">
        <v>15</v>
      </c>
      <c r="U1564" s="1" t="s">
        <v>26</v>
      </c>
      <c r="V1564">
        <v>1.1000000000000001</v>
      </c>
    </row>
    <row r="1565" spans="1:22" x14ac:dyDescent="0.3">
      <c r="A1565" s="2">
        <v>45612</v>
      </c>
      <c r="B1565">
        <v>45750</v>
      </c>
      <c r="C1565">
        <v>1781</v>
      </c>
      <c r="D1565">
        <v>11</v>
      </c>
      <c r="E1565" s="1" t="s">
        <v>22</v>
      </c>
      <c r="F1565">
        <v>5</v>
      </c>
      <c r="G1565" s="1" t="s">
        <v>23</v>
      </c>
      <c r="H1565">
        <v>43878.571428571428</v>
      </c>
      <c r="I1565">
        <v>39351.666666666664</v>
      </c>
      <c r="J1565">
        <v>45750</v>
      </c>
      <c r="K1565">
        <v>38900</v>
      </c>
      <c r="L1565">
        <v>36150</v>
      </c>
      <c r="M1565">
        <v>0</v>
      </c>
      <c r="N1565">
        <v>130.85310000000001</v>
      </c>
      <c r="O1565">
        <v>0.30185659399999998</v>
      </c>
      <c r="P1565">
        <v>15933.299800000001</v>
      </c>
      <c r="Q1565">
        <v>27.86</v>
      </c>
      <c r="R1565">
        <v>2.87</v>
      </c>
      <c r="S1565">
        <v>81.88</v>
      </c>
      <c r="T1565">
        <v>16</v>
      </c>
      <c r="U1565" s="1" t="s">
        <v>26</v>
      </c>
      <c r="V1565">
        <v>1.1000000000000001</v>
      </c>
    </row>
    <row r="1566" spans="1:22" x14ac:dyDescent="0.3">
      <c r="A1566" s="2">
        <v>45613</v>
      </c>
      <c r="B1566">
        <v>45750</v>
      </c>
      <c r="C1566">
        <v>1782</v>
      </c>
      <c r="D1566">
        <v>11</v>
      </c>
      <c r="E1566" s="1" t="s">
        <v>22</v>
      </c>
      <c r="F1566">
        <v>6</v>
      </c>
      <c r="G1566" s="1" t="s">
        <v>23</v>
      </c>
      <c r="H1566">
        <v>44857.142857142855</v>
      </c>
      <c r="I1566">
        <v>39651.666666666664</v>
      </c>
      <c r="J1566">
        <v>45750</v>
      </c>
      <c r="K1566">
        <v>38900</v>
      </c>
      <c r="L1566">
        <v>36750</v>
      </c>
      <c r="M1566">
        <v>0</v>
      </c>
      <c r="N1566">
        <v>130.85310000000001</v>
      </c>
      <c r="O1566">
        <v>0.30185659399999998</v>
      </c>
      <c r="P1566">
        <v>15933.299800000001</v>
      </c>
      <c r="Q1566">
        <v>27.24</v>
      </c>
      <c r="R1566">
        <v>7.43</v>
      </c>
      <c r="S1566">
        <v>80.36</v>
      </c>
      <c r="T1566">
        <v>17</v>
      </c>
      <c r="U1566" s="1" t="s">
        <v>26</v>
      </c>
      <c r="V1566">
        <v>1.1000000000000001</v>
      </c>
    </row>
    <row r="1567" spans="1:22" x14ac:dyDescent="0.3">
      <c r="A1567" s="2">
        <v>45614</v>
      </c>
      <c r="B1567">
        <v>48650</v>
      </c>
      <c r="C1567">
        <v>1783</v>
      </c>
      <c r="D1567">
        <v>11</v>
      </c>
      <c r="E1567" s="1" t="s">
        <v>22</v>
      </c>
      <c r="F1567">
        <v>0</v>
      </c>
      <c r="G1567" s="1" t="s">
        <v>23</v>
      </c>
      <c r="H1567">
        <v>45700</v>
      </c>
      <c r="I1567">
        <v>40048.333333333336</v>
      </c>
      <c r="J1567">
        <v>45750</v>
      </c>
      <c r="K1567">
        <v>42750</v>
      </c>
      <c r="L1567">
        <v>36750</v>
      </c>
      <c r="M1567">
        <v>2900</v>
      </c>
      <c r="N1567">
        <v>130.85310000000001</v>
      </c>
      <c r="O1567">
        <v>0.30185659399999998</v>
      </c>
      <c r="P1567">
        <v>15891.299800000001</v>
      </c>
      <c r="Q1567">
        <v>27.34</v>
      </c>
      <c r="R1567">
        <v>8.64</v>
      </c>
      <c r="S1567">
        <v>84.65</v>
      </c>
      <c r="T1567">
        <v>18</v>
      </c>
      <c r="U1567" s="1" t="s">
        <v>116</v>
      </c>
      <c r="V1567">
        <v>6.34</v>
      </c>
    </row>
    <row r="1568" spans="1:22" x14ac:dyDescent="0.3">
      <c r="A1568" s="2">
        <v>45615</v>
      </c>
      <c r="B1568">
        <v>48650</v>
      </c>
      <c r="C1568">
        <v>1784</v>
      </c>
      <c r="D1568">
        <v>11</v>
      </c>
      <c r="E1568" s="1" t="s">
        <v>22</v>
      </c>
      <c r="F1568">
        <v>1</v>
      </c>
      <c r="G1568" s="1" t="s">
        <v>23</v>
      </c>
      <c r="H1568">
        <v>46400</v>
      </c>
      <c r="I1568">
        <v>40445</v>
      </c>
      <c r="J1568">
        <v>48650</v>
      </c>
      <c r="K1568">
        <v>43750</v>
      </c>
      <c r="L1568">
        <v>36750</v>
      </c>
      <c r="M1568">
        <v>0</v>
      </c>
      <c r="N1568">
        <v>130.85310000000001</v>
      </c>
      <c r="O1568">
        <v>0.30185659399999998</v>
      </c>
      <c r="P1568">
        <v>15806.099609999999</v>
      </c>
      <c r="Q1568">
        <v>27.7</v>
      </c>
      <c r="R1568">
        <v>3.45</v>
      </c>
      <c r="S1568">
        <v>84.6</v>
      </c>
      <c r="T1568">
        <v>19</v>
      </c>
      <c r="U1568" s="1" t="s">
        <v>25</v>
      </c>
      <c r="V1568">
        <v>0</v>
      </c>
    </row>
    <row r="1569" spans="1:22" x14ac:dyDescent="0.3">
      <c r="A1569" s="2">
        <v>45616</v>
      </c>
      <c r="B1569">
        <v>49000</v>
      </c>
      <c r="C1569">
        <v>1785</v>
      </c>
      <c r="D1569">
        <v>11</v>
      </c>
      <c r="E1569" s="1" t="s">
        <v>22</v>
      </c>
      <c r="F1569">
        <v>2</v>
      </c>
      <c r="G1569" s="1" t="s">
        <v>23</v>
      </c>
      <c r="H1569">
        <v>46971.428571428572</v>
      </c>
      <c r="I1569">
        <v>40836.666666666664</v>
      </c>
      <c r="J1569">
        <v>48650</v>
      </c>
      <c r="K1569">
        <v>45000</v>
      </c>
      <c r="L1569">
        <v>37250</v>
      </c>
      <c r="M1569">
        <v>350</v>
      </c>
      <c r="N1569">
        <v>130.85310000000001</v>
      </c>
      <c r="O1569">
        <v>0.30185659399999998</v>
      </c>
      <c r="P1569">
        <v>15817.099609999999</v>
      </c>
      <c r="Q1569">
        <v>27.53</v>
      </c>
      <c r="R1569">
        <v>2.25</v>
      </c>
      <c r="S1569">
        <v>82.76</v>
      </c>
      <c r="T1569">
        <v>20</v>
      </c>
      <c r="U1569" s="1" t="s">
        <v>68</v>
      </c>
      <c r="V1569">
        <v>0.72</v>
      </c>
    </row>
    <row r="1570" spans="1:22" x14ac:dyDescent="0.3">
      <c r="A1570" s="2">
        <v>45617</v>
      </c>
      <c r="B1570">
        <v>49250</v>
      </c>
      <c r="C1570">
        <v>1786</v>
      </c>
      <c r="D1570">
        <v>11</v>
      </c>
      <c r="E1570" s="1" t="s">
        <v>22</v>
      </c>
      <c r="F1570">
        <v>3</v>
      </c>
      <c r="G1570" s="1" t="s">
        <v>23</v>
      </c>
      <c r="H1570">
        <v>47542.857142857145</v>
      </c>
      <c r="I1570">
        <v>41265</v>
      </c>
      <c r="J1570">
        <v>49000</v>
      </c>
      <c r="K1570">
        <v>45250</v>
      </c>
      <c r="L1570">
        <v>36400</v>
      </c>
      <c r="M1570">
        <v>250</v>
      </c>
      <c r="N1570">
        <v>130.85310000000001</v>
      </c>
      <c r="O1570">
        <v>0.30185659399999998</v>
      </c>
      <c r="P1570">
        <v>15913</v>
      </c>
      <c r="Q1570">
        <v>27.42</v>
      </c>
      <c r="R1570">
        <v>12.93</v>
      </c>
      <c r="S1570">
        <v>84.77</v>
      </c>
      <c r="T1570">
        <v>21</v>
      </c>
      <c r="U1570" s="1" t="s">
        <v>34</v>
      </c>
      <c r="V1570">
        <v>0.51</v>
      </c>
    </row>
    <row r="1571" spans="1:22" x14ac:dyDescent="0.3">
      <c r="A1571" s="2">
        <v>45618</v>
      </c>
      <c r="B1571">
        <v>49250</v>
      </c>
      <c r="C1571">
        <v>1787</v>
      </c>
      <c r="D1571">
        <v>11</v>
      </c>
      <c r="E1571" s="1" t="s">
        <v>22</v>
      </c>
      <c r="F1571">
        <v>4</v>
      </c>
      <c r="G1571" s="1" t="s">
        <v>23</v>
      </c>
      <c r="H1571">
        <v>48042.857142857145</v>
      </c>
      <c r="I1571">
        <v>41665</v>
      </c>
      <c r="J1571">
        <v>49250</v>
      </c>
      <c r="K1571">
        <v>45750</v>
      </c>
      <c r="L1571">
        <v>37250</v>
      </c>
      <c r="M1571">
        <v>0</v>
      </c>
      <c r="N1571">
        <v>130.85310000000001</v>
      </c>
      <c r="O1571">
        <v>0.30185659399999998</v>
      </c>
      <c r="P1571">
        <v>15816.900390000001</v>
      </c>
      <c r="Q1571">
        <v>27.67</v>
      </c>
      <c r="R1571">
        <v>2.78</v>
      </c>
      <c r="S1571">
        <v>82.22</v>
      </c>
      <c r="T1571">
        <v>22</v>
      </c>
      <c r="U1571" s="1" t="s">
        <v>25</v>
      </c>
      <c r="V1571">
        <v>0</v>
      </c>
    </row>
    <row r="1572" spans="1:22" x14ac:dyDescent="0.3">
      <c r="A1572" s="2">
        <v>45619</v>
      </c>
      <c r="B1572">
        <v>49250</v>
      </c>
      <c r="C1572">
        <v>1788</v>
      </c>
      <c r="D1572">
        <v>11</v>
      </c>
      <c r="E1572" s="1" t="s">
        <v>22</v>
      </c>
      <c r="F1572">
        <v>5</v>
      </c>
      <c r="G1572" s="1" t="s">
        <v>23</v>
      </c>
      <c r="H1572">
        <v>48542.857142857145</v>
      </c>
      <c r="I1572">
        <v>42065</v>
      </c>
      <c r="J1572">
        <v>49250</v>
      </c>
      <c r="K1572">
        <v>45750</v>
      </c>
      <c r="L1572">
        <v>37250</v>
      </c>
      <c r="M1572">
        <v>0</v>
      </c>
      <c r="N1572">
        <v>130.85310000000001</v>
      </c>
      <c r="O1572">
        <v>0.30185659399999998</v>
      </c>
      <c r="P1572">
        <v>15816.900390000001</v>
      </c>
      <c r="Q1572">
        <v>27.8</v>
      </c>
      <c r="R1572">
        <v>9.6300000000000008</v>
      </c>
      <c r="S1572">
        <v>84.51</v>
      </c>
      <c r="T1572">
        <v>23</v>
      </c>
      <c r="U1572" s="1" t="s">
        <v>25</v>
      </c>
      <c r="V1572">
        <v>0</v>
      </c>
    </row>
    <row r="1573" spans="1:22" x14ac:dyDescent="0.3">
      <c r="A1573" s="2">
        <v>45620</v>
      </c>
      <c r="B1573">
        <v>49250</v>
      </c>
      <c r="C1573">
        <v>1789</v>
      </c>
      <c r="D1573">
        <v>11</v>
      </c>
      <c r="E1573" s="1" t="s">
        <v>22</v>
      </c>
      <c r="F1573">
        <v>6</v>
      </c>
      <c r="G1573" s="1" t="s">
        <v>23</v>
      </c>
      <c r="H1573">
        <v>49042.857142857145</v>
      </c>
      <c r="I1573">
        <v>42468.333333333336</v>
      </c>
      <c r="J1573">
        <v>49250</v>
      </c>
      <c r="K1573">
        <v>45750</v>
      </c>
      <c r="L1573">
        <v>37150</v>
      </c>
      <c r="M1573">
        <v>0</v>
      </c>
      <c r="N1573">
        <v>130.85310000000001</v>
      </c>
      <c r="O1573">
        <v>0.30185659399999998</v>
      </c>
      <c r="P1573">
        <v>15816.900390000001</v>
      </c>
      <c r="Q1573">
        <v>27.87</v>
      </c>
      <c r="R1573">
        <v>8.52</v>
      </c>
      <c r="S1573">
        <v>82.41</v>
      </c>
      <c r="T1573">
        <v>24</v>
      </c>
      <c r="U1573" s="1" t="s">
        <v>25</v>
      </c>
      <c r="V1573">
        <v>0</v>
      </c>
    </row>
    <row r="1574" spans="1:22" x14ac:dyDescent="0.3">
      <c r="A1574" s="2">
        <v>45621</v>
      </c>
      <c r="B1574">
        <v>47900</v>
      </c>
      <c r="C1574">
        <v>1790</v>
      </c>
      <c r="D1574">
        <v>11</v>
      </c>
      <c r="E1574" s="1" t="s">
        <v>22</v>
      </c>
      <c r="F1574">
        <v>0</v>
      </c>
      <c r="G1574" s="1" t="s">
        <v>23</v>
      </c>
      <c r="H1574">
        <v>48935.714285714283</v>
      </c>
      <c r="I1574">
        <v>42826.666666666664</v>
      </c>
      <c r="J1574">
        <v>49250</v>
      </c>
      <c r="K1574">
        <v>48650</v>
      </c>
      <c r="L1574">
        <v>37150</v>
      </c>
      <c r="M1574">
        <v>-1350</v>
      </c>
      <c r="N1574">
        <v>130.85310000000001</v>
      </c>
      <c r="O1574">
        <v>0.30185659399999998</v>
      </c>
      <c r="P1574">
        <v>15940</v>
      </c>
      <c r="Q1574">
        <v>27.96</v>
      </c>
      <c r="R1574">
        <v>9.5</v>
      </c>
      <c r="S1574">
        <v>81.61</v>
      </c>
      <c r="T1574">
        <v>25</v>
      </c>
      <c r="U1574" s="1" t="s">
        <v>96</v>
      </c>
      <c r="V1574">
        <v>-2.74</v>
      </c>
    </row>
    <row r="1575" spans="1:22" x14ac:dyDescent="0.3">
      <c r="A1575" s="2">
        <v>45622</v>
      </c>
      <c r="B1575">
        <v>47650</v>
      </c>
      <c r="C1575">
        <v>1791</v>
      </c>
      <c r="D1575">
        <v>11</v>
      </c>
      <c r="E1575" s="1" t="s">
        <v>22</v>
      </c>
      <c r="F1575">
        <v>1</v>
      </c>
      <c r="G1575" s="1" t="s">
        <v>23</v>
      </c>
      <c r="H1575">
        <v>48792.857142857145</v>
      </c>
      <c r="I1575">
        <v>43176.666666666664</v>
      </c>
      <c r="J1575">
        <v>47900</v>
      </c>
      <c r="K1575">
        <v>48650</v>
      </c>
      <c r="L1575">
        <v>37150</v>
      </c>
      <c r="M1575">
        <v>-250</v>
      </c>
      <c r="N1575">
        <v>130.85310000000001</v>
      </c>
      <c r="O1575">
        <v>0.30185659399999998</v>
      </c>
      <c r="P1575">
        <v>15901.200199999999</v>
      </c>
      <c r="Q1575">
        <v>26.99</v>
      </c>
      <c r="R1575">
        <v>10.35</v>
      </c>
      <c r="S1575">
        <v>84.32</v>
      </c>
      <c r="T1575">
        <v>26</v>
      </c>
      <c r="U1575" s="1" t="s">
        <v>35</v>
      </c>
      <c r="V1575">
        <v>-0.52</v>
      </c>
    </row>
    <row r="1576" spans="1:22" x14ac:dyDescent="0.3">
      <c r="A1576" s="2">
        <v>45623</v>
      </c>
      <c r="B1576">
        <v>47650</v>
      </c>
      <c r="C1576">
        <v>1792</v>
      </c>
      <c r="D1576">
        <v>11</v>
      </c>
      <c r="E1576" s="1" t="s">
        <v>22</v>
      </c>
      <c r="F1576">
        <v>2</v>
      </c>
      <c r="G1576" s="1" t="s">
        <v>23</v>
      </c>
      <c r="H1576">
        <v>48600</v>
      </c>
      <c r="I1576">
        <v>43498.333333333336</v>
      </c>
      <c r="J1576">
        <v>47650</v>
      </c>
      <c r="K1576">
        <v>49000</v>
      </c>
      <c r="L1576">
        <v>38000</v>
      </c>
      <c r="M1576">
        <v>0</v>
      </c>
      <c r="N1576">
        <v>130.85310000000001</v>
      </c>
      <c r="O1576">
        <v>0.30185659399999998</v>
      </c>
      <c r="P1576">
        <v>15930</v>
      </c>
      <c r="Q1576">
        <v>27.05</v>
      </c>
      <c r="R1576">
        <v>2.14</v>
      </c>
      <c r="S1576">
        <v>85.79</v>
      </c>
      <c r="T1576">
        <v>27</v>
      </c>
      <c r="U1576" s="1" t="s">
        <v>25</v>
      </c>
      <c r="V1576">
        <v>0</v>
      </c>
    </row>
    <row r="1577" spans="1:22" x14ac:dyDescent="0.3">
      <c r="A1577" s="2">
        <v>45624</v>
      </c>
      <c r="B1577">
        <v>47400</v>
      </c>
      <c r="C1577">
        <v>1793</v>
      </c>
      <c r="D1577">
        <v>11</v>
      </c>
      <c r="E1577" s="1" t="s">
        <v>22</v>
      </c>
      <c r="F1577">
        <v>3</v>
      </c>
      <c r="G1577" s="1" t="s">
        <v>23</v>
      </c>
      <c r="H1577">
        <v>48335.714285714283</v>
      </c>
      <c r="I1577">
        <v>43790</v>
      </c>
      <c r="J1577">
        <v>47650</v>
      </c>
      <c r="K1577">
        <v>49250</v>
      </c>
      <c r="L1577">
        <v>38650</v>
      </c>
      <c r="M1577">
        <v>-250</v>
      </c>
      <c r="N1577">
        <v>130.85310000000001</v>
      </c>
      <c r="O1577">
        <v>0.30185659399999998</v>
      </c>
      <c r="P1577">
        <v>15863.5</v>
      </c>
      <c r="Q1577">
        <v>27.69</v>
      </c>
      <c r="R1577">
        <v>2.11</v>
      </c>
      <c r="S1577">
        <v>82.96</v>
      </c>
      <c r="T1577">
        <v>28</v>
      </c>
      <c r="U1577" s="1" t="s">
        <v>35</v>
      </c>
      <c r="V1577">
        <v>-0.52</v>
      </c>
    </row>
    <row r="1578" spans="1:22" x14ac:dyDescent="0.3">
      <c r="A1578" s="2">
        <v>45625</v>
      </c>
      <c r="B1578">
        <v>47150</v>
      </c>
      <c r="C1578">
        <v>1794</v>
      </c>
      <c r="D1578">
        <v>11</v>
      </c>
      <c r="E1578" s="1" t="s">
        <v>22</v>
      </c>
      <c r="F1578">
        <v>4</v>
      </c>
      <c r="G1578" s="1" t="s">
        <v>23</v>
      </c>
      <c r="H1578">
        <v>48035.714285714283</v>
      </c>
      <c r="I1578">
        <v>44081.666666666664</v>
      </c>
      <c r="J1578">
        <v>47400</v>
      </c>
      <c r="K1578">
        <v>49250</v>
      </c>
      <c r="L1578">
        <v>38400</v>
      </c>
      <c r="M1578">
        <v>-250</v>
      </c>
      <c r="N1578">
        <v>130.85310000000001</v>
      </c>
      <c r="O1578">
        <v>0.30185659399999998</v>
      </c>
      <c r="P1578">
        <v>15878</v>
      </c>
      <c r="Q1578">
        <v>27.16</v>
      </c>
      <c r="R1578">
        <v>7.26</v>
      </c>
      <c r="S1578">
        <v>86.64</v>
      </c>
      <c r="T1578">
        <v>29</v>
      </c>
      <c r="U1578" s="1" t="s">
        <v>35</v>
      </c>
      <c r="V1578">
        <v>-0.53</v>
      </c>
    </row>
    <row r="1579" spans="1:22" x14ac:dyDescent="0.3">
      <c r="A1579" s="2">
        <v>45626</v>
      </c>
      <c r="B1579">
        <v>47150</v>
      </c>
      <c r="C1579">
        <v>1795</v>
      </c>
      <c r="D1579">
        <v>11</v>
      </c>
      <c r="E1579" s="1" t="s">
        <v>22</v>
      </c>
      <c r="F1579">
        <v>5</v>
      </c>
      <c r="G1579" s="1" t="s">
        <v>23</v>
      </c>
      <c r="H1579">
        <v>47735.714285714283</v>
      </c>
      <c r="I1579">
        <v>44356.666666666664</v>
      </c>
      <c r="J1579">
        <v>47150</v>
      </c>
      <c r="K1579">
        <v>49250</v>
      </c>
      <c r="L1579">
        <v>38900</v>
      </c>
      <c r="M1579">
        <v>0</v>
      </c>
      <c r="N1579">
        <v>130.85310000000001</v>
      </c>
      <c r="O1579">
        <v>0.30185659399999998</v>
      </c>
      <c r="P1579">
        <v>15878</v>
      </c>
      <c r="Q1579">
        <v>27.04</v>
      </c>
      <c r="R1579">
        <v>6.03</v>
      </c>
      <c r="S1579">
        <v>86.99</v>
      </c>
      <c r="T1579">
        <v>30</v>
      </c>
      <c r="U1579" s="1" t="s">
        <v>35</v>
      </c>
      <c r="V1579">
        <v>-0.53</v>
      </c>
    </row>
    <row r="1580" spans="1:22" x14ac:dyDescent="0.3">
      <c r="A1580" s="2">
        <v>45627</v>
      </c>
      <c r="B1580">
        <v>47150</v>
      </c>
      <c r="C1580">
        <v>1796</v>
      </c>
      <c r="D1580">
        <v>12</v>
      </c>
      <c r="E1580" s="1" t="s">
        <v>22</v>
      </c>
      <c r="F1580">
        <v>6</v>
      </c>
      <c r="G1580" s="1" t="s">
        <v>23</v>
      </c>
      <c r="H1580">
        <v>47435.714285714283</v>
      </c>
      <c r="I1580">
        <v>44631.666666666664</v>
      </c>
      <c r="J1580">
        <v>47150</v>
      </c>
      <c r="K1580">
        <v>49250</v>
      </c>
      <c r="L1580">
        <v>38900</v>
      </c>
      <c r="M1580">
        <v>0</v>
      </c>
      <c r="N1580">
        <v>131.4315</v>
      </c>
      <c r="O1580">
        <v>0.44202238999999999</v>
      </c>
      <c r="P1580">
        <v>15878</v>
      </c>
      <c r="Q1580">
        <v>27.01</v>
      </c>
      <c r="R1580">
        <v>3.24</v>
      </c>
      <c r="S1580">
        <v>83.07</v>
      </c>
      <c r="T1580">
        <v>1</v>
      </c>
      <c r="U1580" s="1" t="s">
        <v>35</v>
      </c>
      <c r="V1580">
        <v>-0.53</v>
      </c>
    </row>
    <row r="1581" spans="1:22" x14ac:dyDescent="0.3">
      <c r="A1581" s="2">
        <v>45628</v>
      </c>
      <c r="B1581">
        <v>46500</v>
      </c>
      <c r="C1581">
        <v>1797</v>
      </c>
      <c r="D1581">
        <v>12</v>
      </c>
      <c r="E1581" s="1" t="s">
        <v>22</v>
      </c>
      <c r="F1581">
        <v>0</v>
      </c>
      <c r="G1581" s="1" t="s">
        <v>23</v>
      </c>
      <c r="H1581">
        <v>47235.714285714283</v>
      </c>
      <c r="I1581">
        <v>44885</v>
      </c>
      <c r="J1581">
        <v>47150</v>
      </c>
      <c r="K1581">
        <v>47900</v>
      </c>
      <c r="L1581">
        <v>38900</v>
      </c>
      <c r="M1581">
        <v>-650</v>
      </c>
      <c r="N1581">
        <v>131.4315</v>
      </c>
      <c r="O1581">
        <v>0.44202238999999999</v>
      </c>
      <c r="P1581">
        <v>15829</v>
      </c>
      <c r="Q1581">
        <v>26.98</v>
      </c>
      <c r="R1581">
        <v>10.95</v>
      </c>
      <c r="S1581">
        <v>85.2</v>
      </c>
      <c r="T1581">
        <v>2</v>
      </c>
      <c r="U1581" s="1" t="s">
        <v>72</v>
      </c>
      <c r="V1581">
        <v>-1.38</v>
      </c>
    </row>
    <row r="1582" spans="1:22" x14ac:dyDescent="0.3">
      <c r="A1582" s="2">
        <v>45629</v>
      </c>
      <c r="B1582">
        <v>46500</v>
      </c>
      <c r="C1582">
        <v>1798</v>
      </c>
      <c r="D1582">
        <v>12</v>
      </c>
      <c r="E1582" s="1" t="s">
        <v>22</v>
      </c>
      <c r="F1582">
        <v>1</v>
      </c>
      <c r="G1582" s="1" t="s">
        <v>23</v>
      </c>
      <c r="H1582">
        <v>47071.428571428572</v>
      </c>
      <c r="I1582">
        <v>45138.333333333336</v>
      </c>
      <c r="J1582">
        <v>46500</v>
      </c>
      <c r="K1582">
        <v>47650</v>
      </c>
      <c r="L1582">
        <v>38900</v>
      </c>
      <c r="M1582">
        <v>0</v>
      </c>
      <c r="N1582">
        <v>131.4315</v>
      </c>
      <c r="O1582">
        <v>0.44202238999999999</v>
      </c>
      <c r="P1582">
        <v>15910</v>
      </c>
      <c r="Q1582">
        <v>27.17</v>
      </c>
      <c r="R1582">
        <v>2.78</v>
      </c>
      <c r="S1582">
        <v>83.47</v>
      </c>
      <c r="T1582">
        <v>3</v>
      </c>
      <c r="U1582" s="1" t="s">
        <v>25</v>
      </c>
      <c r="V1582">
        <v>0</v>
      </c>
    </row>
    <row r="1583" spans="1:22" x14ac:dyDescent="0.3">
      <c r="A1583" s="2">
        <v>45630</v>
      </c>
      <c r="B1583">
        <v>47250</v>
      </c>
      <c r="C1583">
        <v>1799</v>
      </c>
      <c r="D1583">
        <v>12</v>
      </c>
      <c r="E1583" s="1" t="s">
        <v>22</v>
      </c>
      <c r="F1583">
        <v>2</v>
      </c>
      <c r="G1583" s="1" t="s">
        <v>23</v>
      </c>
      <c r="H1583">
        <v>47014.285714285717</v>
      </c>
      <c r="I1583">
        <v>45425</v>
      </c>
      <c r="J1583">
        <v>46500</v>
      </c>
      <c r="K1583">
        <v>47650</v>
      </c>
      <c r="L1583">
        <v>38650</v>
      </c>
      <c r="M1583">
        <v>750</v>
      </c>
      <c r="N1583">
        <v>131.4315</v>
      </c>
      <c r="O1583">
        <v>0.44202238999999999</v>
      </c>
      <c r="P1583">
        <v>15940</v>
      </c>
      <c r="Q1583">
        <v>27.34</v>
      </c>
      <c r="R1583">
        <v>3.27</v>
      </c>
      <c r="S1583">
        <v>84.34</v>
      </c>
      <c r="T1583">
        <v>4</v>
      </c>
      <c r="U1583" s="1" t="s">
        <v>52</v>
      </c>
      <c r="V1583">
        <v>1.61</v>
      </c>
    </row>
    <row r="1584" spans="1:22" x14ac:dyDescent="0.3">
      <c r="A1584" s="2">
        <v>45631</v>
      </c>
      <c r="B1584">
        <v>48750</v>
      </c>
      <c r="C1584">
        <v>1800</v>
      </c>
      <c r="D1584">
        <v>12</v>
      </c>
      <c r="E1584" s="1" t="s">
        <v>22</v>
      </c>
      <c r="F1584">
        <v>3</v>
      </c>
      <c r="G1584" s="1" t="s">
        <v>23</v>
      </c>
      <c r="H1584">
        <v>47207.142857142855</v>
      </c>
      <c r="I1584">
        <v>45761.666666666664</v>
      </c>
      <c r="J1584">
        <v>47250</v>
      </c>
      <c r="K1584">
        <v>47400</v>
      </c>
      <c r="L1584">
        <v>38650</v>
      </c>
      <c r="M1584">
        <v>1500</v>
      </c>
      <c r="N1584">
        <v>131.4315</v>
      </c>
      <c r="O1584">
        <v>0.44202238999999999</v>
      </c>
      <c r="P1584">
        <v>15906.599609999999</v>
      </c>
      <c r="Q1584">
        <v>27.12</v>
      </c>
      <c r="R1584">
        <v>3.68</v>
      </c>
      <c r="S1584">
        <v>85.84</v>
      </c>
      <c r="T1584">
        <v>5</v>
      </c>
      <c r="U1584" s="1" t="s">
        <v>31</v>
      </c>
      <c r="V1584">
        <v>3.17</v>
      </c>
    </row>
    <row r="1585" spans="1:22" x14ac:dyDescent="0.3">
      <c r="A1585" s="2">
        <v>45632</v>
      </c>
      <c r="B1585">
        <v>48750</v>
      </c>
      <c r="C1585">
        <v>1801</v>
      </c>
      <c r="D1585">
        <v>12</v>
      </c>
      <c r="E1585" s="1" t="s">
        <v>22</v>
      </c>
      <c r="F1585">
        <v>4</v>
      </c>
      <c r="G1585" s="1" t="s">
        <v>23</v>
      </c>
      <c r="H1585">
        <v>47435.714285714283</v>
      </c>
      <c r="I1585">
        <v>46090</v>
      </c>
      <c r="J1585">
        <v>48750</v>
      </c>
      <c r="K1585">
        <v>47150</v>
      </c>
      <c r="L1585">
        <v>38900</v>
      </c>
      <c r="M1585">
        <v>0</v>
      </c>
      <c r="N1585">
        <v>131.4315</v>
      </c>
      <c r="O1585">
        <v>0.44202238999999999</v>
      </c>
      <c r="P1585">
        <v>15839.799800000001</v>
      </c>
      <c r="Q1585">
        <v>27.02</v>
      </c>
      <c r="R1585">
        <v>7.27</v>
      </c>
      <c r="S1585">
        <v>85.94</v>
      </c>
      <c r="T1585">
        <v>6</v>
      </c>
      <c r="U1585" s="1" t="s">
        <v>25</v>
      </c>
      <c r="V1585">
        <v>0</v>
      </c>
    </row>
    <row r="1586" spans="1:22" x14ac:dyDescent="0.3">
      <c r="A1586" s="2">
        <v>45633</v>
      </c>
      <c r="B1586">
        <v>48750</v>
      </c>
      <c r="C1586">
        <v>1802</v>
      </c>
      <c r="D1586">
        <v>12</v>
      </c>
      <c r="E1586" s="1" t="s">
        <v>22</v>
      </c>
      <c r="F1586">
        <v>5</v>
      </c>
      <c r="G1586" s="1" t="s">
        <v>23</v>
      </c>
      <c r="H1586">
        <v>47664.285714285717</v>
      </c>
      <c r="I1586">
        <v>46418.333333333336</v>
      </c>
      <c r="J1586">
        <v>48750</v>
      </c>
      <c r="K1586">
        <v>47150</v>
      </c>
      <c r="L1586">
        <v>38900</v>
      </c>
      <c r="M1586">
        <v>0</v>
      </c>
      <c r="N1586">
        <v>131.4315</v>
      </c>
      <c r="O1586">
        <v>0.44202238999999999</v>
      </c>
      <c r="P1586">
        <v>15839.799800000001</v>
      </c>
      <c r="Q1586">
        <v>26.51</v>
      </c>
      <c r="R1586">
        <v>7.09</v>
      </c>
      <c r="S1586">
        <v>84.26</v>
      </c>
      <c r="T1586">
        <v>7</v>
      </c>
      <c r="U1586" s="1" t="s">
        <v>25</v>
      </c>
      <c r="V1586">
        <v>0</v>
      </c>
    </row>
    <row r="1587" spans="1:22" x14ac:dyDescent="0.3">
      <c r="A1587" s="2">
        <v>45634</v>
      </c>
      <c r="B1587">
        <v>48750</v>
      </c>
      <c r="C1587">
        <v>1803</v>
      </c>
      <c r="D1587">
        <v>12</v>
      </c>
      <c r="E1587" s="1" t="s">
        <v>22</v>
      </c>
      <c r="F1587">
        <v>6</v>
      </c>
      <c r="G1587" s="1" t="s">
        <v>23</v>
      </c>
      <c r="H1587">
        <v>47892.857142857145</v>
      </c>
      <c r="I1587">
        <v>46746.666666666664</v>
      </c>
      <c r="J1587">
        <v>48750</v>
      </c>
      <c r="K1587">
        <v>47150</v>
      </c>
      <c r="L1587">
        <v>38900</v>
      </c>
      <c r="M1587">
        <v>0</v>
      </c>
      <c r="N1587">
        <v>131.4315</v>
      </c>
      <c r="O1587">
        <v>0.44202238999999999</v>
      </c>
      <c r="P1587">
        <v>15839.799800000001</v>
      </c>
      <c r="Q1587">
        <v>26.66</v>
      </c>
      <c r="R1587">
        <v>2.54</v>
      </c>
      <c r="S1587">
        <v>83.76</v>
      </c>
      <c r="T1587">
        <v>8</v>
      </c>
      <c r="U1587" s="1" t="s">
        <v>25</v>
      </c>
      <c r="V1587">
        <v>0</v>
      </c>
    </row>
    <row r="1588" spans="1:22" x14ac:dyDescent="0.3">
      <c r="A1588" s="2">
        <v>45635</v>
      </c>
      <c r="B1588">
        <v>48500</v>
      </c>
      <c r="C1588">
        <v>1804</v>
      </c>
      <c r="D1588">
        <v>12</v>
      </c>
      <c r="E1588" s="1" t="s">
        <v>22</v>
      </c>
      <c r="F1588">
        <v>0</v>
      </c>
      <c r="G1588" s="1" t="s">
        <v>23</v>
      </c>
      <c r="H1588">
        <v>48178.571428571428</v>
      </c>
      <c r="I1588">
        <v>47066.666666666664</v>
      </c>
      <c r="J1588">
        <v>48750</v>
      </c>
      <c r="K1588">
        <v>46500</v>
      </c>
      <c r="L1588">
        <v>38900</v>
      </c>
      <c r="M1588">
        <v>-250</v>
      </c>
      <c r="N1588">
        <v>131.4315</v>
      </c>
      <c r="O1588">
        <v>0.44202238999999999</v>
      </c>
      <c r="P1588">
        <v>15825.799800000001</v>
      </c>
      <c r="Q1588">
        <v>27.14</v>
      </c>
      <c r="R1588">
        <v>5.36</v>
      </c>
      <c r="S1588">
        <v>84.06</v>
      </c>
      <c r="T1588">
        <v>9</v>
      </c>
      <c r="U1588" s="1" t="s">
        <v>35</v>
      </c>
      <c r="V1588">
        <v>-0.51</v>
      </c>
    </row>
    <row r="1589" spans="1:22" x14ac:dyDescent="0.3">
      <c r="A1589" s="2">
        <v>45636</v>
      </c>
      <c r="B1589">
        <v>48750</v>
      </c>
      <c r="C1589">
        <v>1805</v>
      </c>
      <c r="D1589">
        <v>12</v>
      </c>
      <c r="E1589" s="1" t="s">
        <v>22</v>
      </c>
      <c r="F1589">
        <v>1</v>
      </c>
      <c r="G1589" s="1" t="s">
        <v>23</v>
      </c>
      <c r="H1589">
        <v>48500</v>
      </c>
      <c r="I1589">
        <v>47395</v>
      </c>
      <c r="J1589">
        <v>48500</v>
      </c>
      <c r="K1589">
        <v>46500</v>
      </c>
      <c r="L1589">
        <v>38900</v>
      </c>
      <c r="M1589">
        <v>250</v>
      </c>
      <c r="N1589">
        <v>131.4315</v>
      </c>
      <c r="O1589">
        <v>0.44202238999999999</v>
      </c>
      <c r="P1589">
        <v>15864</v>
      </c>
      <c r="Q1589">
        <v>27.28</v>
      </c>
      <c r="R1589">
        <v>7.13</v>
      </c>
      <c r="S1589">
        <v>85.09</v>
      </c>
      <c r="T1589">
        <v>10</v>
      </c>
      <c r="U1589" s="1" t="s">
        <v>34</v>
      </c>
      <c r="V1589">
        <v>0.52</v>
      </c>
    </row>
    <row r="1590" spans="1:22" x14ac:dyDescent="0.3">
      <c r="A1590" s="2">
        <v>45637</v>
      </c>
      <c r="B1590">
        <v>48750</v>
      </c>
      <c r="C1590">
        <v>1806</v>
      </c>
      <c r="D1590">
        <v>12</v>
      </c>
      <c r="E1590" s="1" t="s">
        <v>22</v>
      </c>
      <c r="F1590">
        <v>2</v>
      </c>
      <c r="G1590" s="1" t="s">
        <v>23</v>
      </c>
      <c r="H1590">
        <v>48714.285714285717</v>
      </c>
      <c r="I1590">
        <v>47595</v>
      </c>
      <c r="J1590">
        <v>48750</v>
      </c>
      <c r="K1590">
        <v>47250</v>
      </c>
      <c r="L1590">
        <v>42750</v>
      </c>
      <c r="M1590">
        <v>0</v>
      </c>
      <c r="N1590">
        <v>131.4315</v>
      </c>
      <c r="O1590">
        <v>0.44202238999999999</v>
      </c>
      <c r="P1590">
        <v>15908</v>
      </c>
      <c r="Q1590">
        <v>27.04</v>
      </c>
      <c r="R1590">
        <v>6.61</v>
      </c>
      <c r="S1590">
        <v>85.42</v>
      </c>
      <c r="T1590">
        <v>11</v>
      </c>
      <c r="U1590" s="1" t="s">
        <v>25</v>
      </c>
      <c r="V1590">
        <v>0</v>
      </c>
    </row>
    <row r="1591" spans="1:22" x14ac:dyDescent="0.3">
      <c r="A1591" s="2">
        <v>45638</v>
      </c>
      <c r="B1591">
        <v>47750</v>
      </c>
      <c r="C1591">
        <v>1807</v>
      </c>
      <c r="D1591">
        <v>12</v>
      </c>
      <c r="E1591" s="1" t="s">
        <v>22</v>
      </c>
      <c r="F1591">
        <v>3</v>
      </c>
      <c r="G1591" s="1" t="s">
        <v>23</v>
      </c>
      <c r="H1591">
        <v>48571.428571428572</v>
      </c>
      <c r="I1591">
        <v>47728.333333333336</v>
      </c>
      <c r="J1591">
        <v>48750</v>
      </c>
      <c r="K1591">
        <v>48750</v>
      </c>
      <c r="L1591">
        <v>43750</v>
      </c>
      <c r="M1591">
        <v>-1000</v>
      </c>
      <c r="N1591">
        <v>131.4315</v>
      </c>
      <c r="O1591">
        <v>0.44202238999999999</v>
      </c>
      <c r="P1591">
        <v>15963</v>
      </c>
      <c r="Q1591">
        <v>26.83</v>
      </c>
      <c r="R1591">
        <v>24.51</v>
      </c>
      <c r="S1591">
        <v>86.21</v>
      </c>
      <c r="T1591">
        <v>12</v>
      </c>
      <c r="U1591" s="1" t="s">
        <v>30</v>
      </c>
      <c r="V1591">
        <v>-2.0499999999999998</v>
      </c>
    </row>
    <row r="1592" spans="1:22" x14ac:dyDescent="0.3">
      <c r="A1592" s="2">
        <v>45639</v>
      </c>
      <c r="B1592">
        <v>48000</v>
      </c>
      <c r="C1592">
        <v>1808</v>
      </c>
      <c r="D1592">
        <v>12</v>
      </c>
      <c r="E1592" s="1" t="s">
        <v>22</v>
      </c>
      <c r="F1592">
        <v>4</v>
      </c>
      <c r="G1592" s="1" t="s">
        <v>23</v>
      </c>
      <c r="H1592">
        <v>48464.285714285717</v>
      </c>
      <c r="I1592">
        <v>47828.333333333336</v>
      </c>
      <c r="J1592">
        <v>47750</v>
      </c>
      <c r="K1592">
        <v>48750</v>
      </c>
      <c r="L1592">
        <v>45000</v>
      </c>
      <c r="M1592">
        <v>250</v>
      </c>
      <c r="N1592">
        <v>131.4315</v>
      </c>
      <c r="O1592">
        <v>0.44202238999999999</v>
      </c>
      <c r="P1592">
        <v>15967.400390000001</v>
      </c>
      <c r="Q1592">
        <v>26.72</v>
      </c>
      <c r="R1592">
        <v>19.05</v>
      </c>
      <c r="S1592">
        <v>85.36</v>
      </c>
      <c r="T1592">
        <v>13</v>
      </c>
      <c r="U1592" s="1" t="s">
        <v>34</v>
      </c>
      <c r="V1592">
        <v>0.52</v>
      </c>
    </row>
    <row r="1593" spans="1:22" x14ac:dyDescent="0.3">
      <c r="A1593" s="2">
        <v>45640</v>
      </c>
      <c r="B1593">
        <v>48000</v>
      </c>
      <c r="C1593">
        <v>1809</v>
      </c>
      <c r="D1593">
        <v>12</v>
      </c>
      <c r="E1593" s="1" t="s">
        <v>22</v>
      </c>
      <c r="F1593">
        <v>5</v>
      </c>
      <c r="G1593" s="1" t="s">
        <v>23</v>
      </c>
      <c r="H1593">
        <v>48357.142857142855</v>
      </c>
      <c r="I1593">
        <v>47920</v>
      </c>
      <c r="J1593">
        <v>48000</v>
      </c>
      <c r="K1593">
        <v>48750</v>
      </c>
      <c r="L1593">
        <v>45250</v>
      </c>
      <c r="M1593">
        <v>0</v>
      </c>
      <c r="N1593">
        <v>131.4315</v>
      </c>
      <c r="O1593">
        <v>0.44202238999999999</v>
      </c>
      <c r="P1593">
        <v>15967.400390000001</v>
      </c>
      <c r="Q1593">
        <v>26.86</v>
      </c>
      <c r="R1593">
        <v>10.16</v>
      </c>
      <c r="S1593">
        <v>86.79</v>
      </c>
      <c r="T1593">
        <v>14</v>
      </c>
      <c r="U1593" s="1" t="s">
        <v>34</v>
      </c>
      <c r="V1593">
        <v>0.52</v>
      </c>
    </row>
    <row r="1594" spans="1:22" x14ac:dyDescent="0.3">
      <c r="A1594" s="2">
        <v>45641</v>
      </c>
      <c r="B1594">
        <v>48000</v>
      </c>
      <c r="C1594">
        <v>1810</v>
      </c>
      <c r="D1594">
        <v>12</v>
      </c>
      <c r="E1594" s="1" t="s">
        <v>22</v>
      </c>
      <c r="F1594">
        <v>6</v>
      </c>
      <c r="G1594" s="1" t="s">
        <v>23</v>
      </c>
      <c r="H1594">
        <v>48250</v>
      </c>
      <c r="I1594">
        <v>47995</v>
      </c>
      <c r="J1594">
        <v>48000</v>
      </c>
      <c r="K1594">
        <v>48750</v>
      </c>
      <c r="L1594">
        <v>45750</v>
      </c>
      <c r="M1594">
        <v>0</v>
      </c>
      <c r="N1594">
        <v>131.4315</v>
      </c>
      <c r="O1594">
        <v>0.44202238999999999</v>
      </c>
      <c r="P1594">
        <v>15967.400390000001</v>
      </c>
      <c r="Q1594">
        <v>26.94</v>
      </c>
      <c r="R1594">
        <v>13.82</v>
      </c>
      <c r="S1594">
        <v>88.02</v>
      </c>
      <c r="T1594">
        <v>15</v>
      </c>
      <c r="U1594" s="1" t="s">
        <v>34</v>
      </c>
      <c r="V1594">
        <v>0.52</v>
      </c>
    </row>
    <row r="1595" spans="1:22" x14ac:dyDescent="0.3">
      <c r="A1595" s="2">
        <v>45642</v>
      </c>
      <c r="B1595">
        <v>48250</v>
      </c>
      <c r="C1595">
        <v>1811</v>
      </c>
      <c r="D1595">
        <v>12</v>
      </c>
      <c r="E1595" s="1" t="s">
        <v>22</v>
      </c>
      <c r="F1595">
        <v>0</v>
      </c>
      <c r="G1595" s="1" t="s">
        <v>23</v>
      </c>
      <c r="H1595">
        <v>48214.285714285717</v>
      </c>
      <c r="I1595">
        <v>48078.333333333336</v>
      </c>
      <c r="J1595">
        <v>48000</v>
      </c>
      <c r="K1595">
        <v>48500</v>
      </c>
      <c r="L1595">
        <v>45750</v>
      </c>
      <c r="M1595">
        <v>250</v>
      </c>
      <c r="N1595">
        <v>131.4315</v>
      </c>
      <c r="O1595">
        <v>0.44202238999999999</v>
      </c>
      <c r="P1595">
        <v>16025.799800000001</v>
      </c>
      <c r="Q1595">
        <v>26.77</v>
      </c>
      <c r="R1595">
        <v>5.24</v>
      </c>
      <c r="S1595">
        <v>85.47</v>
      </c>
      <c r="T1595">
        <v>16</v>
      </c>
      <c r="U1595" s="1" t="s">
        <v>34</v>
      </c>
      <c r="V1595">
        <v>0.52</v>
      </c>
    </row>
    <row r="1596" spans="1:22" x14ac:dyDescent="0.3">
      <c r="A1596" s="2">
        <v>45643</v>
      </c>
      <c r="B1596">
        <v>48250</v>
      </c>
      <c r="C1596">
        <v>1812</v>
      </c>
      <c r="D1596">
        <v>12</v>
      </c>
      <c r="E1596" s="1" t="s">
        <v>22</v>
      </c>
      <c r="F1596">
        <v>1</v>
      </c>
      <c r="G1596" s="1" t="s">
        <v>23</v>
      </c>
      <c r="H1596">
        <v>48142.857142857145</v>
      </c>
      <c r="I1596">
        <v>48161.666666666664</v>
      </c>
      <c r="J1596">
        <v>48250</v>
      </c>
      <c r="K1596">
        <v>48750</v>
      </c>
      <c r="L1596">
        <v>45750</v>
      </c>
      <c r="M1596">
        <v>0</v>
      </c>
      <c r="N1596">
        <v>131.4315</v>
      </c>
      <c r="O1596">
        <v>0.44202238999999999</v>
      </c>
      <c r="P1596">
        <v>15955</v>
      </c>
      <c r="Q1596">
        <v>27.54</v>
      </c>
      <c r="R1596">
        <v>2.29</v>
      </c>
      <c r="S1596">
        <v>82.76</v>
      </c>
      <c r="T1596">
        <v>17</v>
      </c>
      <c r="U1596" s="1" t="s">
        <v>25</v>
      </c>
      <c r="V1596">
        <v>0</v>
      </c>
    </row>
    <row r="1597" spans="1:22" x14ac:dyDescent="0.3">
      <c r="A1597" s="2">
        <v>45644</v>
      </c>
      <c r="B1597">
        <v>48250</v>
      </c>
      <c r="C1597">
        <v>1813</v>
      </c>
      <c r="D1597">
        <v>12</v>
      </c>
      <c r="E1597" s="1" t="s">
        <v>22</v>
      </c>
      <c r="F1597">
        <v>2</v>
      </c>
      <c r="G1597" s="1" t="s">
        <v>23</v>
      </c>
      <c r="H1597">
        <v>48071.428571428572</v>
      </c>
      <c r="I1597">
        <v>48148.333333333336</v>
      </c>
      <c r="J1597">
        <v>48250</v>
      </c>
      <c r="K1597">
        <v>48750</v>
      </c>
      <c r="L1597">
        <v>48650</v>
      </c>
      <c r="M1597">
        <v>0</v>
      </c>
      <c r="N1597">
        <v>131.4315</v>
      </c>
      <c r="O1597">
        <v>0.44202238999999999</v>
      </c>
      <c r="P1597">
        <v>15926.200199999999</v>
      </c>
      <c r="Q1597">
        <v>27.68</v>
      </c>
      <c r="R1597">
        <v>4.5599999999999996</v>
      </c>
      <c r="S1597">
        <v>84.63</v>
      </c>
      <c r="T1597">
        <v>18</v>
      </c>
      <c r="U1597" s="1" t="s">
        <v>25</v>
      </c>
      <c r="V1597">
        <v>0</v>
      </c>
    </row>
    <row r="1598" spans="1:22" x14ac:dyDescent="0.3">
      <c r="A1598" s="2">
        <v>45645</v>
      </c>
      <c r="B1598">
        <v>47750</v>
      </c>
      <c r="C1598">
        <v>1814</v>
      </c>
      <c r="D1598">
        <v>12</v>
      </c>
      <c r="E1598" s="1" t="s">
        <v>22</v>
      </c>
      <c r="F1598">
        <v>3</v>
      </c>
      <c r="G1598" s="1" t="s">
        <v>23</v>
      </c>
      <c r="H1598">
        <v>48071.428571428572</v>
      </c>
      <c r="I1598">
        <v>48118.333333333336</v>
      </c>
      <c r="J1598">
        <v>48250</v>
      </c>
      <c r="K1598">
        <v>47750</v>
      </c>
      <c r="L1598">
        <v>48650</v>
      </c>
      <c r="M1598">
        <v>-500</v>
      </c>
      <c r="N1598">
        <v>131.4315</v>
      </c>
      <c r="O1598">
        <v>0.44202238999999999</v>
      </c>
      <c r="P1598">
        <v>16145.299800000001</v>
      </c>
      <c r="Q1598">
        <v>27.62</v>
      </c>
      <c r="R1598">
        <v>3.83</v>
      </c>
      <c r="S1598">
        <v>86.28</v>
      </c>
      <c r="T1598">
        <v>19</v>
      </c>
      <c r="U1598" s="1" t="s">
        <v>24</v>
      </c>
      <c r="V1598">
        <v>-1.04</v>
      </c>
    </row>
    <row r="1599" spans="1:22" x14ac:dyDescent="0.3">
      <c r="A1599" s="2">
        <v>45646</v>
      </c>
      <c r="B1599">
        <v>47750</v>
      </c>
      <c r="C1599">
        <v>1815</v>
      </c>
      <c r="D1599">
        <v>12</v>
      </c>
      <c r="E1599" s="1" t="s">
        <v>22</v>
      </c>
      <c r="F1599">
        <v>4</v>
      </c>
      <c r="G1599" s="1" t="s">
        <v>23</v>
      </c>
      <c r="H1599">
        <v>48035.714285714283</v>
      </c>
      <c r="I1599">
        <v>48076.666666666664</v>
      </c>
      <c r="J1599">
        <v>47750</v>
      </c>
      <c r="K1599">
        <v>48000</v>
      </c>
      <c r="L1599">
        <v>49000</v>
      </c>
      <c r="M1599">
        <v>0</v>
      </c>
      <c r="N1599">
        <v>131.4315</v>
      </c>
      <c r="O1599">
        <v>0.44202238999999999</v>
      </c>
      <c r="P1599">
        <v>15981.299800000001</v>
      </c>
      <c r="Q1599">
        <v>27.86</v>
      </c>
      <c r="R1599">
        <v>4.91</v>
      </c>
      <c r="S1599">
        <v>85.19</v>
      </c>
      <c r="T1599">
        <v>20</v>
      </c>
      <c r="U1599" s="1" t="s">
        <v>25</v>
      </c>
      <c r="V1599">
        <v>0</v>
      </c>
    </row>
    <row r="1600" spans="1:22" x14ac:dyDescent="0.3">
      <c r="A1600" s="2">
        <v>45647</v>
      </c>
      <c r="B1600">
        <v>47750</v>
      </c>
      <c r="C1600">
        <v>1816</v>
      </c>
      <c r="D1600">
        <v>12</v>
      </c>
      <c r="E1600" s="1" t="s">
        <v>22</v>
      </c>
      <c r="F1600">
        <v>5</v>
      </c>
      <c r="G1600" s="1" t="s">
        <v>23</v>
      </c>
      <c r="H1600">
        <v>48000</v>
      </c>
      <c r="I1600">
        <v>48026.666666666664</v>
      </c>
      <c r="J1600">
        <v>47750</v>
      </c>
      <c r="K1600">
        <v>48000</v>
      </c>
      <c r="L1600">
        <v>49250</v>
      </c>
      <c r="M1600">
        <v>0</v>
      </c>
      <c r="N1600">
        <v>131.4315</v>
      </c>
      <c r="O1600">
        <v>0.44202238999999999</v>
      </c>
      <c r="P1600">
        <v>15981.299800000001</v>
      </c>
      <c r="Q1600">
        <v>27.91</v>
      </c>
      <c r="R1600">
        <v>3.13</v>
      </c>
      <c r="S1600">
        <v>82.04</v>
      </c>
      <c r="T1600">
        <v>21</v>
      </c>
      <c r="U1600" s="1" t="s">
        <v>25</v>
      </c>
      <c r="V1600">
        <v>0</v>
      </c>
    </row>
    <row r="1601" spans="1:22" x14ac:dyDescent="0.3">
      <c r="A1601" s="2">
        <v>45648</v>
      </c>
      <c r="B1601">
        <v>47750</v>
      </c>
      <c r="C1601">
        <v>1817</v>
      </c>
      <c r="D1601">
        <v>12</v>
      </c>
      <c r="E1601" s="1" t="s">
        <v>22</v>
      </c>
      <c r="F1601">
        <v>6</v>
      </c>
      <c r="G1601" s="1" t="s">
        <v>23</v>
      </c>
      <c r="H1601">
        <v>47964.285714285717</v>
      </c>
      <c r="I1601">
        <v>47976.666666666664</v>
      </c>
      <c r="J1601">
        <v>47750</v>
      </c>
      <c r="K1601">
        <v>48000</v>
      </c>
      <c r="L1601">
        <v>49250</v>
      </c>
      <c r="M1601">
        <v>0</v>
      </c>
      <c r="N1601">
        <v>131.4315</v>
      </c>
      <c r="O1601">
        <v>0.44202238999999999</v>
      </c>
      <c r="P1601">
        <v>15981.299800000001</v>
      </c>
      <c r="Q1601">
        <v>27.75</v>
      </c>
      <c r="R1601">
        <v>13.02</v>
      </c>
      <c r="S1601">
        <v>80.02</v>
      </c>
      <c r="T1601">
        <v>22</v>
      </c>
      <c r="U1601" s="1" t="s">
        <v>25</v>
      </c>
      <c r="V1601">
        <v>0</v>
      </c>
    </row>
    <row r="1602" spans="1:22" x14ac:dyDescent="0.3">
      <c r="A1602" s="2">
        <v>45649</v>
      </c>
      <c r="B1602">
        <v>47000</v>
      </c>
      <c r="C1602">
        <v>1818</v>
      </c>
      <c r="D1602">
        <v>12</v>
      </c>
      <c r="E1602" s="1" t="s">
        <v>22</v>
      </c>
      <c r="F1602">
        <v>0</v>
      </c>
      <c r="G1602" s="1" t="s">
        <v>23</v>
      </c>
      <c r="H1602">
        <v>47785.714285714283</v>
      </c>
      <c r="I1602">
        <v>47901.666666666664</v>
      </c>
      <c r="J1602">
        <v>47750</v>
      </c>
      <c r="K1602">
        <v>48250</v>
      </c>
      <c r="L1602">
        <v>49250</v>
      </c>
      <c r="M1602">
        <v>-750</v>
      </c>
      <c r="N1602">
        <v>131.4315</v>
      </c>
      <c r="O1602">
        <v>0.44202238999999999</v>
      </c>
      <c r="P1602">
        <v>16159.299800000001</v>
      </c>
      <c r="Q1602">
        <v>27.32</v>
      </c>
      <c r="R1602">
        <v>6.07</v>
      </c>
      <c r="S1602">
        <v>84.23</v>
      </c>
      <c r="T1602">
        <v>23</v>
      </c>
      <c r="U1602" s="1" t="s">
        <v>42</v>
      </c>
      <c r="V1602">
        <v>-1.57</v>
      </c>
    </row>
    <row r="1603" spans="1:22" x14ac:dyDescent="0.3">
      <c r="A1603" s="2">
        <v>45650</v>
      </c>
      <c r="B1603">
        <v>46650</v>
      </c>
      <c r="C1603">
        <v>1819</v>
      </c>
      <c r="D1603">
        <v>12</v>
      </c>
      <c r="E1603" s="1" t="s">
        <v>22</v>
      </c>
      <c r="F1603">
        <v>1</v>
      </c>
      <c r="G1603" s="1" t="s">
        <v>23</v>
      </c>
      <c r="H1603">
        <v>47557.142857142855</v>
      </c>
      <c r="I1603">
        <v>47815</v>
      </c>
      <c r="J1603">
        <v>47000</v>
      </c>
      <c r="K1603">
        <v>48250</v>
      </c>
      <c r="L1603">
        <v>49250</v>
      </c>
      <c r="M1603">
        <v>-350</v>
      </c>
      <c r="N1603">
        <v>131.4315</v>
      </c>
      <c r="O1603">
        <v>0.44202238999999999</v>
      </c>
      <c r="P1603">
        <v>16217.599609999999</v>
      </c>
      <c r="Q1603">
        <v>27.12</v>
      </c>
      <c r="R1603">
        <v>2.46</v>
      </c>
      <c r="S1603">
        <v>86.63</v>
      </c>
      <c r="T1603">
        <v>24</v>
      </c>
      <c r="U1603" s="1" t="s">
        <v>77</v>
      </c>
      <c r="V1603">
        <v>-0.74</v>
      </c>
    </row>
    <row r="1604" spans="1:22" x14ac:dyDescent="0.3">
      <c r="A1604" s="2">
        <v>45651</v>
      </c>
      <c r="B1604">
        <v>46650</v>
      </c>
      <c r="C1604">
        <v>1820</v>
      </c>
      <c r="D1604">
        <v>12</v>
      </c>
      <c r="E1604" s="1" t="s">
        <v>22</v>
      </c>
      <c r="F1604">
        <v>2</v>
      </c>
      <c r="G1604" s="1" t="s">
        <v>44</v>
      </c>
      <c r="H1604">
        <v>47328.571428571428</v>
      </c>
      <c r="I1604">
        <v>47773.333333333336</v>
      </c>
      <c r="J1604">
        <v>46650</v>
      </c>
      <c r="K1604">
        <v>48250</v>
      </c>
      <c r="L1604">
        <v>47900</v>
      </c>
      <c r="M1604">
        <v>0</v>
      </c>
      <c r="N1604">
        <v>131.4315</v>
      </c>
      <c r="O1604">
        <v>0.44202238999999999</v>
      </c>
      <c r="P1604">
        <v>15970.799800000001</v>
      </c>
      <c r="Q1604">
        <v>26.76</v>
      </c>
      <c r="R1604">
        <v>10.23</v>
      </c>
      <c r="S1604">
        <v>87.48</v>
      </c>
      <c r="T1604">
        <v>25</v>
      </c>
      <c r="U1604" s="1" t="s">
        <v>25</v>
      </c>
      <c r="V1604">
        <v>0</v>
      </c>
    </row>
    <row r="1605" spans="1:22" x14ac:dyDescent="0.3">
      <c r="A1605" s="2">
        <v>45652</v>
      </c>
      <c r="B1605">
        <v>46650</v>
      </c>
      <c r="C1605">
        <v>1821</v>
      </c>
      <c r="D1605">
        <v>12</v>
      </c>
      <c r="E1605" s="1" t="s">
        <v>22</v>
      </c>
      <c r="F1605">
        <v>3</v>
      </c>
      <c r="G1605" s="1" t="s">
        <v>23</v>
      </c>
      <c r="H1605">
        <v>47171.428571428572</v>
      </c>
      <c r="I1605">
        <v>47740</v>
      </c>
      <c r="J1605">
        <v>46650</v>
      </c>
      <c r="K1605">
        <v>47750</v>
      </c>
      <c r="L1605">
        <v>47650</v>
      </c>
      <c r="M1605">
        <v>0</v>
      </c>
      <c r="N1605">
        <v>131.4315</v>
      </c>
      <c r="O1605">
        <v>0.44202238999999999</v>
      </c>
      <c r="P1605">
        <v>15069.400390000001</v>
      </c>
      <c r="Q1605">
        <v>26.48</v>
      </c>
      <c r="R1605">
        <v>26.86</v>
      </c>
      <c r="S1605">
        <v>87.04</v>
      </c>
      <c r="T1605">
        <v>26</v>
      </c>
      <c r="U1605" s="1" t="s">
        <v>25</v>
      </c>
      <c r="V1605">
        <v>0</v>
      </c>
    </row>
    <row r="1606" spans="1:22" x14ac:dyDescent="0.3">
      <c r="A1606" s="2">
        <v>45653</v>
      </c>
      <c r="B1606">
        <v>46250</v>
      </c>
      <c r="C1606">
        <v>1822</v>
      </c>
      <c r="D1606">
        <v>12</v>
      </c>
      <c r="E1606" s="1" t="s">
        <v>22</v>
      </c>
      <c r="F1606">
        <v>4</v>
      </c>
      <c r="G1606" s="1" t="s">
        <v>23</v>
      </c>
      <c r="H1606">
        <v>46957.142857142855</v>
      </c>
      <c r="I1606">
        <v>47693.333333333336</v>
      </c>
      <c r="J1606">
        <v>46650</v>
      </c>
      <c r="K1606">
        <v>47750</v>
      </c>
      <c r="L1606">
        <v>47650</v>
      </c>
      <c r="M1606">
        <v>-400</v>
      </c>
      <c r="N1606">
        <v>131.4315</v>
      </c>
      <c r="O1606">
        <v>0.44202238999999999</v>
      </c>
      <c r="P1606">
        <v>16189</v>
      </c>
      <c r="Q1606">
        <v>26.86</v>
      </c>
      <c r="R1606">
        <v>5.83</v>
      </c>
      <c r="S1606">
        <v>85.58</v>
      </c>
      <c r="T1606">
        <v>27</v>
      </c>
      <c r="U1606" s="1" t="s">
        <v>99</v>
      </c>
      <c r="V1606">
        <v>-0.86</v>
      </c>
    </row>
    <row r="1607" spans="1:22" x14ac:dyDescent="0.3">
      <c r="A1607" s="2">
        <v>45654</v>
      </c>
      <c r="B1607">
        <v>46250</v>
      </c>
      <c r="C1607">
        <v>1823</v>
      </c>
      <c r="D1607">
        <v>12</v>
      </c>
      <c r="E1607" s="1" t="s">
        <v>22</v>
      </c>
      <c r="F1607">
        <v>5</v>
      </c>
      <c r="G1607" s="1" t="s">
        <v>23</v>
      </c>
      <c r="H1607">
        <v>46742.857142857145</v>
      </c>
      <c r="I1607">
        <v>47655</v>
      </c>
      <c r="J1607">
        <v>46250</v>
      </c>
      <c r="K1607">
        <v>47750</v>
      </c>
      <c r="L1607">
        <v>47400</v>
      </c>
      <c r="M1607">
        <v>0</v>
      </c>
      <c r="N1607">
        <v>131.4315</v>
      </c>
      <c r="O1607">
        <v>0.44202238999999999</v>
      </c>
      <c r="P1607">
        <v>16189</v>
      </c>
      <c r="Q1607">
        <v>26.72</v>
      </c>
      <c r="R1607">
        <v>13.18</v>
      </c>
      <c r="S1607">
        <v>87.08</v>
      </c>
      <c r="T1607">
        <v>28</v>
      </c>
      <c r="U1607" s="1" t="s">
        <v>99</v>
      </c>
      <c r="V1607">
        <v>-0.86</v>
      </c>
    </row>
    <row r="1608" spans="1:22" x14ac:dyDescent="0.3">
      <c r="A1608" s="2">
        <v>45655</v>
      </c>
      <c r="B1608">
        <v>46250</v>
      </c>
      <c r="C1608">
        <v>1824</v>
      </c>
      <c r="D1608">
        <v>12</v>
      </c>
      <c r="E1608" s="1" t="s">
        <v>22</v>
      </c>
      <c r="F1608">
        <v>6</v>
      </c>
      <c r="G1608" s="1" t="s">
        <v>23</v>
      </c>
      <c r="H1608">
        <v>46528.571428571428</v>
      </c>
      <c r="I1608">
        <v>47625</v>
      </c>
      <c r="J1608">
        <v>46250</v>
      </c>
      <c r="K1608">
        <v>47750</v>
      </c>
      <c r="L1608">
        <v>47150</v>
      </c>
      <c r="M1608">
        <v>0</v>
      </c>
      <c r="N1608">
        <v>131.4315</v>
      </c>
      <c r="O1608">
        <v>0.44202238999999999</v>
      </c>
      <c r="P1608">
        <v>16189</v>
      </c>
      <c r="Q1608">
        <v>26.85</v>
      </c>
      <c r="R1608">
        <v>7</v>
      </c>
      <c r="S1608">
        <v>83.1</v>
      </c>
      <c r="T1608">
        <v>29</v>
      </c>
      <c r="U1608" s="1" t="s">
        <v>99</v>
      </c>
      <c r="V1608">
        <v>-0.86</v>
      </c>
    </row>
    <row r="1609" spans="1:22" x14ac:dyDescent="0.3">
      <c r="A1609" s="2">
        <v>45656</v>
      </c>
      <c r="B1609">
        <v>47000</v>
      </c>
      <c r="C1609">
        <v>1825</v>
      </c>
      <c r="D1609">
        <v>12</v>
      </c>
      <c r="E1609" s="1" t="s">
        <v>22</v>
      </c>
      <c r="F1609">
        <v>0</v>
      </c>
      <c r="G1609" s="1" t="s">
        <v>23</v>
      </c>
      <c r="H1609">
        <v>46528.571428571428</v>
      </c>
      <c r="I1609">
        <v>47620</v>
      </c>
      <c r="J1609">
        <v>46250</v>
      </c>
      <c r="K1609">
        <v>47000</v>
      </c>
      <c r="L1609">
        <v>47150</v>
      </c>
      <c r="M1609">
        <v>750</v>
      </c>
      <c r="N1609">
        <v>131.4315</v>
      </c>
      <c r="O1609">
        <v>0.44202238999999999</v>
      </c>
      <c r="P1609">
        <v>16178</v>
      </c>
      <c r="Q1609">
        <v>27.44</v>
      </c>
      <c r="R1609">
        <v>5.91</v>
      </c>
      <c r="S1609">
        <v>79.790000000000006</v>
      </c>
      <c r="T1609">
        <v>30</v>
      </c>
      <c r="U1609" s="1" t="s">
        <v>52</v>
      </c>
      <c r="V1609">
        <v>1.62</v>
      </c>
    </row>
    <row r="1610" spans="1:22" x14ac:dyDescent="0.3">
      <c r="A1610" s="2">
        <v>45657</v>
      </c>
      <c r="B1610">
        <v>46900</v>
      </c>
      <c r="C1610">
        <v>1826</v>
      </c>
      <c r="D1610">
        <v>12</v>
      </c>
      <c r="E1610" s="1" t="s">
        <v>22</v>
      </c>
      <c r="F1610">
        <v>1</v>
      </c>
      <c r="G1610" s="1" t="s">
        <v>23</v>
      </c>
      <c r="H1610">
        <v>46564.285714285717</v>
      </c>
      <c r="I1610">
        <v>47611.666666666664</v>
      </c>
      <c r="J1610">
        <v>47000</v>
      </c>
      <c r="K1610">
        <v>46650</v>
      </c>
      <c r="L1610">
        <v>47150</v>
      </c>
      <c r="M1610">
        <v>-100</v>
      </c>
      <c r="N1610">
        <v>131.4315</v>
      </c>
      <c r="O1610">
        <v>0.44202238999999999</v>
      </c>
      <c r="P1610">
        <v>16085.599609999999</v>
      </c>
      <c r="Q1610">
        <v>26.7</v>
      </c>
      <c r="R1610">
        <v>6.64</v>
      </c>
      <c r="S1610">
        <v>85.32</v>
      </c>
      <c r="T1610">
        <v>31</v>
      </c>
      <c r="U1610" s="1" t="s">
        <v>74</v>
      </c>
      <c r="V1610">
        <v>-0.21</v>
      </c>
    </row>
    <row r="1611" spans="1:22" x14ac:dyDescent="0.3">
      <c r="A1611" s="2">
        <v>45658</v>
      </c>
      <c r="B1611">
        <v>46900</v>
      </c>
      <c r="C1611">
        <v>1827</v>
      </c>
      <c r="D1611">
        <v>1</v>
      </c>
      <c r="E1611" s="1" t="s">
        <v>22</v>
      </c>
      <c r="F1611">
        <v>2</v>
      </c>
      <c r="G1611" s="1" t="s">
        <v>44</v>
      </c>
      <c r="H1611">
        <v>46600</v>
      </c>
      <c r="I1611">
        <v>47625</v>
      </c>
      <c r="J1611">
        <v>46900</v>
      </c>
      <c r="K1611">
        <v>46650</v>
      </c>
      <c r="L1611">
        <v>46500</v>
      </c>
      <c r="M1611">
        <v>0</v>
      </c>
      <c r="N1611">
        <v>130.43469999999999</v>
      </c>
      <c r="O1611">
        <v>-0.75841788300000001</v>
      </c>
      <c r="P1611">
        <v>16085.599609999999</v>
      </c>
      <c r="Q1611">
        <v>26.61</v>
      </c>
      <c r="R1611">
        <v>4.59</v>
      </c>
      <c r="S1611">
        <v>83.84</v>
      </c>
      <c r="T1611">
        <v>1</v>
      </c>
      <c r="U1611" s="1" t="s">
        <v>25</v>
      </c>
      <c r="V1611">
        <v>0</v>
      </c>
    </row>
    <row r="1612" spans="1:22" x14ac:dyDescent="0.3">
      <c r="A1612" s="2">
        <v>45659</v>
      </c>
      <c r="B1612">
        <v>46400</v>
      </c>
      <c r="C1612">
        <v>1828</v>
      </c>
      <c r="D1612">
        <v>1</v>
      </c>
      <c r="E1612" s="1" t="s">
        <v>22</v>
      </c>
      <c r="F1612">
        <v>3</v>
      </c>
      <c r="G1612" s="1" t="s">
        <v>23</v>
      </c>
      <c r="H1612">
        <v>46564.285714285717</v>
      </c>
      <c r="I1612">
        <v>47621.666666666664</v>
      </c>
      <c r="J1612">
        <v>46900</v>
      </c>
      <c r="K1612">
        <v>46650</v>
      </c>
      <c r="L1612">
        <v>46500</v>
      </c>
      <c r="M1612">
        <v>-500</v>
      </c>
      <c r="N1612">
        <v>130.43469999999999</v>
      </c>
      <c r="O1612">
        <v>-0.75841788300000001</v>
      </c>
      <c r="P1612">
        <v>16230.5</v>
      </c>
      <c r="Q1612">
        <v>26.78</v>
      </c>
      <c r="R1612">
        <v>10.4</v>
      </c>
      <c r="S1612">
        <v>82.92</v>
      </c>
      <c r="T1612">
        <v>2</v>
      </c>
      <c r="U1612" s="1" t="s">
        <v>24</v>
      </c>
      <c r="V1612">
        <v>-1.07</v>
      </c>
    </row>
    <row r="1613" spans="1:22" x14ac:dyDescent="0.3">
      <c r="A1613" s="2">
        <v>45660</v>
      </c>
      <c r="B1613">
        <v>46400</v>
      </c>
      <c r="C1613">
        <v>1829</v>
      </c>
      <c r="D1613">
        <v>1</v>
      </c>
      <c r="E1613" s="1" t="s">
        <v>22</v>
      </c>
      <c r="F1613">
        <v>4</v>
      </c>
      <c r="G1613" s="1" t="s">
        <v>23</v>
      </c>
      <c r="H1613">
        <v>46585.714285714283</v>
      </c>
      <c r="I1613">
        <v>47593.333333333336</v>
      </c>
      <c r="J1613">
        <v>46400</v>
      </c>
      <c r="K1613">
        <v>46250</v>
      </c>
      <c r="L1613">
        <v>47250</v>
      </c>
      <c r="M1613">
        <v>0</v>
      </c>
      <c r="N1613">
        <v>130.43469999999999</v>
      </c>
      <c r="O1613">
        <v>-0.75841788300000001</v>
      </c>
      <c r="P1613">
        <v>16201.099609999999</v>
      </c>
      <c r="Q1613">
        <v>26.38</v>
      </c>
      <c r="R1613">
        <v>7.04</v>
      </c>
      <c r="S1613">
        <v>86.28</v>
      </c>
      <c r="T1613">
        <v>3</v>
      </c>
      <c r="U1613" s="1" t="s">
        <v>25</v>
      </c>
      <c r="V1613">
        <v>0</v>
      </c>
    </row>
    <row r="1614" spans="1:22" x14ac:dyDescent="0.3">
      <c r="A1614" s="2">
        <v>45661</v>
      </c>
      <c r="B1614">
        <v>46400</v>
      </c>
      <c r="C1614">
        <v>1830</v>
      </c>
      <c r="D1614">
        <v>1</v>
      </c>
      <c r="E1614" s="1" t="s">
        <v>22</v>
      </c>
      <c r="F1614">
        <v>5</v>
      </c>
      <c r="G1614" s="1" t="s">
        <v>23</v>
      </c>
      <c r="H1614">
        <v>46607.142857142855</v>
      </c>
      <c r="I1614">
        <v>47515</v>
      </c>
      <c r="J1614">
        <v>46400</v>
      </c>
      <c r="K1614">
        <v>46250</v>
      </c>
      <c r="L1614">
        <v>48750</v>
      </c>
      <c r="M1614">
        <v>0</v>
      </c>
      <c r="N1614">
        <v>130.43469999999999</v>
      </c>
      <c r="O1614">
        <v>-0.75841788300000001</v>
      </c>
      <c r="P1614">
        <v>16201.099609999999</v>
      </c>
      <c r="Q1614">
        <v>26.53</v>
      </c>
      <c r="R1614">
        <v>4.6399999999999997</v>
      </c>
      <c r="S1614">
        <v>85.41</v>
      </c>
      <c r="T1614">
        <v>4</v>
      </c>
      <c r="U1614" s="1" t="s">
        <v>25</v>
      </c>
      <c r="V1614">
        <v>0</v>
      </c>
    </row>
    <row r="1615" spans="1:22" x14ac:dyDescent="0.3">
      <c r="A1615" s="2">
        <v>45662</v>
      </c>
      <c r="B1615">
        <v>46400</v>
      </c>
      <c r="C1615">
        <v>1831</v>
      </c>
      <c r="D1615">
        <v>1</v>
      </c>
      <c r="E1615" s="1" t="s">
        <v>22</v>
      </c>
      <c r="F1615">
        <v>6</v>
      </c>
      <c r="G1615" s="1" t="s">
        <v>23</v>
      </c>
      <c r="H1615">
        <v>46628.571428571428</v>
      </c>
      <c r="I1615">
        <v>47436.666666666664</v>
      </c>
      <c r="J1615">
        <v>46400</v>
      </c>
      <c r="K1615">
        <v>46250</v>
      </c>
      <c r="L1615">
        <v>48750</v>
      </c>
      <c r="M1615">
        <v>0</v>
      </c>
      <c r="N1615">
        <v>130.43469999999999</v>
      </c>
      <c r="O1615">
        <v>-0.75841788300000001</v>
      </c>
      <c r="P1615">
        <v>16201.099609999999</v>
      </c>
      <c r="Q1615">
        <v>26.23</v>
      </c>
      <c r="R1615">
        <v>9.17</v>
      </c>
      <c r="S1615">
        <v>85.22</v>
      </c>
      <c r="T1615">
        <v>5</v>
      </c>
      <c r="U1615" s="1" t="s">
        <v>25</v>
      </c>
      <c r="V1615">
        <v>0</v>
      </c>
    </row>
    <row r="1616" spans="1:22" x14ac:dyDescent="0.3">
      <c r="A1616" s="2">
        <v>45663</v>
      </c>
      <c r="B1616">
        <v>46250</v>
      </c>
      <c r="C1616">
        <v>1832</v>
      </c>
      <c r="D1616">
        <v>1</v>
      </c>
      <c r="E1616" s="1" t="s">
        <v>22</v>
      </c>
      <c r="F1616">
        <v>0</v>
      </c>
      <c r="G1616" s="1" t="s">
        <v>23</v>
      </c>
      <c r="H1616">
        <v>46521.428571428572</v>
      </c>
      <c r="I1616">
        <v>47353.333333333336</v>
      </c>
      <c r="J1616">
        <v>46400</v>
      </c>
      <c r="K1616">
        <v>47000</v>
      </c>
      <c r="L1616">
        <v>48750</v>
      </c>
      <c r="M1616">
        <v>-150</v>
      </c>
      <c r="N1616">
        <v>130.43469999999999</v>
      </c>
      <c r="O1616">
        <v>-0.75841788300000001</v>
      </c>
      <c r="P1616">
        <v>16178.799800000001</v>
      </c>
      <c r="Q1616">
        <v>26.86</v>
      </c>
      <c r="R1616">
        <v>2.8</v>
      </c>
      <c r="S1616">
        <v>82.19</v>
      </c>
      <c r="T1616">
        <v>6</v>
      </c>
      <c r="U1616" s="1" t="s">
        <v>101</v>
      </c>
      <c r="V1616">
        <v>-0.32</v>
      </c>
    </row>
    <row r="1617" spans="1:22" x14ac:dyDescent="0.3">
      <c r="A1617" s="2">
        <v>45664</v>
      </c>
      <c r="B1617">
        <v>46000</v>
      </c>
      <c r="C1617">
        <v>1833</v>
      </c>
      <c r="D1617">
        <v>1</v>
      </c>
      <c r="E1617" s="1" t="s">
        <v>22</v>
      </c>
      <c r="F1617">
        <v>1</v>
      </c>
      <c r="G1617" s="1" t="s">
        <v>23</v>
      </c>
      <c r="H1617">
        <v>46392.857142857145</v>
      </c>
      <c r="I1617">
        <v>47261.666666666664</v>
      </c>
      <c r="J1617">
        <v>46250</v>
      </c>
      <c r="K1617">
        <v>46900</v>
      </c>
      <c r="L1617">
        <v>48750</v>
      </c>
      <c r="M1617">
        <v>-250</v>
      </c>
      <c r="N1617">
        <v>130.43469999999999</v>
      </c>
      <c r="O1617">
        <v>-0.75841788300000001</v>
      </c>
      <c r="P1617">
        <v>16179.099609999999</v>
      </c>
      <c r="Q1617">
        <v>27.96</v>
      </c>
      <c r="R1617">
        <v>1.83</v>
      </c>
      <c r="S1617">
        <v>76.91</v>
      </c>
      <c r="T1617">
        <v>7</v>
      </c>
      <c r="U1617" s="1" t="s">
        <v>35</v>
      </c>
      <c r="V1617">
        <v>-0.54</v>
      </c>
    </row>
    <row r="1618" spans="1:22" x14ac:dyDescent="0.3">
      <c r="A1618" s="2">
        <v>45665</v>
      </c>
      <c r="B1618">
        <v>46000</v>
      </c>
      <c r="C1618">
        <v>1834</v>
      </c>
      <c r="D1618">
        <v>1</v>
      </c>
      <c r="E1618" s="1" t="s">
        <v>22</v>
      </c>
      <c r="F1618">
        <v>2</v>
      </c>
      <c r="G1618" s="1" t="s">
        <v>23</v>
      </c>
      <c r="H1618">
        <v>46264.285714285717</v>
      </c>
      <c r="I1618">
        <v>47178.333333333336</v>
      </c>
      <c r="J1618">
        <v>46000</v>
      </c>
      <c r="K1618">
        <v>46900</v>
      </c>
      <c r="L1618">
        <v>48500</v>
      </c>
      <c r="M1618">
        <v>0</v>
      </c>
      <c r="N1618">
        <v>130.43469999999999</v>
      </c>
      <c r="O1618">
        <v>-0.75841788300000001</v>
      </c>
      <c r="P1618">
        <v>16157.700199999999</v>
      </c>
      <c r="Q1618">
        <v>27.63</v>
      </c>
      <c r="R1618">
        <v>2.98</v>
      </c>
      <c r="S1618">
        <v>83.18</v>
      </c>
      <c r="T1618">
        <v>8</v>
      </c>
      <c r="U1618" s="1" t="s">
        <v>25</v>
      </c>
      <c r="V1618">
        <v>0</v>
      </c>
    </row>
    <row r="1619" spans="1:22" x14ac:dyDescent="0.3">
      <c r="A1619" s="2">
        <v>45666</v>
      </c>
      <c r="B1619">
        <v>46000</v>
      </c>
      <c r="C1619">
        <v>1835</v>
      </c>
      <c r="D1619">
        <v>1</v>
      </c>
      <c r="E1619" s="1" t="s">
        <v>22</v>
      </c>
      <c r="F1619">
        <v>3</v>
      </c>
      <c r="G1619" s="1" t="s">
        <v>23</v>
      </c>
      <c r="H1619">
        <v>46207.142857142855</v>
      </c>
      <c r="I1619">
        <v>47086.666666666664</v>
      </c>
      <c r="J1619">
        <v>46000</v>
      </c>
      <c r="K1619">
        <v>46400</v>
      </c>
      <c r="L1619">
        <v>48750</v>
      </c>
      <c r="M1619">
        <v>0</v>
      </c>
      <c r="N1619">
        <v>130.43469999999999</v>
      </c>
      <c r="O1619">
        <v>-0.75841788300000001</v>
      </c>
      <c r="P1619">
        <v>16187.599609999999</v>
      </c>
      <c r="Q1619">
        <v>27.11</v>
      </c>
      <c r="R1619">
        <v>3.92</v>
      </c>
      <c r="S1619">
        <v>83.55</v>
      </c>
      <c r="T1619">
        <v>9</v>
      </c>
      <c r="U1619" s="1" t="s">
        <v>25</v>
      </c>
      <c r="V1619">
        <v>0</v>
      </c>
    </row>
    <row r="1620" spans="1:22" x14ac:dyDescent="0.3">
      <c r="A1620" s="2">
        <v>45667</v>
      </c>
      <c r="B1620">
        <v>46000</v>
      </c>
      <c r="C1620">
        <v>1836</v>
      </c>
      <c r="D1620">
        <v>1</v>
      </c>
      <c r="E1620" s="1" t="s">
        <v>22</v>
      </c>
      <c r="F1620">
        <v>4</v>
      </c>
      <c r="G1620" s="1" t="s">
        <v>23</v>
      </c>
      <c r="H1620">
        <v>46150</v>
      </c>
      <c r="I1620">
        <v>46995</v>
      </c>
      <c r="J1620">
        <v>46000</v>
      </c>
      <c r="K1620">
        <v>46400</v>
      </c>
      <c r="L1620">
        <v>48750</v>
      </c>
      <c r="M1620">
        <v>0</v>
      </c>
      <c r="N1620">
        <v>130.43469999999999</v>
      </c>
      <c r="O1620">
        <v>-0.75841788300000001</v>
      </c>
      <c r="P1620">
        <v>16237</v>
      </c>
      <c r="Q1620">
        <v>27.05</v>
      </c>
      <c r="R1620">
        <v>4.8</v>
      </c>
      <c r="S1620">
        <v>83.97</v>
      </c>
      <c r="T1620">
        <v>10</v>
      </c>
      <c r="U1620" s="1" t="s">
        <v>25</v>
      </c>
      <c r="V1620">
        <v>0</v>
      </c>
    </row>
    <row r="1621" spans="1:22" x14ac:dyDescent="0.3">
      <c r="A1621" s="2">
        <v>45668</v>
      </c>
      <c r="B1621">
        <v>46000</v>
      </c>
      <c r="C1621">
        <v>1837</v>
      </c>
      <c r="D1621">
        <v>1</v>
      </c>
      <c r="E1621" s="1" t="s">
        <v>22</v>
      </c>
      <c r="F1621">
        <v>5</v>
      </c>
      <c r="G1621" s="1" t="s">
        <v>23</v>
      </c>
      <c r="H1621">
        <v>46092.857142857145</v>
      </c>
      <c r="I1621">
        <v>46936.666666666664</v>
      </c>
      <c r="J1621">
        <v>46000</v>
      </c>
      <c r="K1621">
        <v>46400</v>
      </c>
      <c r="L1621">
        <v>47750</v>
      </c>
      <c r="M1621">
        <v>0</v>
      </c>
      <c r="N1621">
        <v>130.43469999999999</v>
      </c>
      <c r="O1621">
        <v>-0.75841788300000001</v>
      </c>
      <c r="P1621">
        <v>16237</v>
      </c>
      <c r="Q1621">
        <v>26.31</v>
      </c>
      <c r="R1621">
        <v>16.32</v>
      </c>
      <c r="S1621">
        <v>86.03</v>
      </c>
      <c r="T1621">
        <v>11</v>
      </c>
      <c r="U1621" s="1" t="s">
        <v>25</v>
      </c>
      <c r="V1621">
        <v>0</v>
      </c>
    </row>
    <row r="1622" spans="1:22" x14ac:dyDescent="0.3">
      <c r="A1622" s="2">
        <v>45669</v>
      </c>
      <c r="B1622">
        <v>46000</v>
      </c>
      <c r="C1622">
        <v>1838</v>
      </c>
      <c r="D1622">
        <v>1</v>
      </c>
      <c r="E1622" s="1" t="s">
        <v>22</v>
      </c>
      <c r="F1622">
        <v>6</v>
      </c>
      <c r="G1622" s="1" t="s">
        <v>23</v>
      </c>
      <c r="H1622">
        <v>46035.714285714283</v>
      </c>
      <c r="I1622">
        <v>46870</v>
      </c>
      <c r="J1622">
        <v>46000</v>
      </c>
      <c r="K1622">
        <v>46400</v>
      </c>
      <c r="L1622">
        <v>48000</v>
      </c>
      <c r="M1622">
        <v>0</v>
      </c>
      <c r="N1622">
        <v>130.43469999999999</v>
      </c>
      <c r="O1622">
        <v>-0.75841788300000001</v>
      </c>
      <c r="P1622">
        <v>16237</v>
      </c>
      <c r="Q1622">
        <v>26.74</v>
      </c>
      <c r="R1622">
        <v>3.45</v>
      </c>
      <c r="S1622">
        <v>84.49</v>
      </c>
      <c r="T1622">
        <v>12</v>
      </c>
      <c r="U1622" s="1" t="s">
        <v>25</v>
      </c>
      <c r="V1622">
        <v>0</v>
      </c>
    </row>
    <row r="1623" spans="1:22" x14ac:dyDescent="0.3">
      <c r="A1623" s="2">
        <v>45670</v>
      </c>
      <c r="B1623">
        <v>45500</v>
      </c>
      <c r="C1623">
        <v>1839</v>
      </c>
      <c r="D1623">
        <v>1</v>
      </c>
      <c r="E1623" s="1" t="s">
        <v>22</v>
      </c>
      <c r="F1623">
        <v>0</v>
      </c>
      <c r="G1623" s="1" t="s">
        <v>23</v>
      </c>
      <c r="H1623">
        <v>45928.571428571428</v>
      </c>
      <c r="I1623">
        <v>46786.666666666664</v>
      </c>
      <c r="J1623">
        <v>46000</v>
      </c>
      <c r="K1623">
        <v>46250</v>
      </c>
      <c r="L1623">
        <v>48000</v>
      </c>
      <c r="M1623">
        <v>-500</v>
      </c>
      <c r="N1623">
        <v>130.43469999999999</v>
      </c>
      <c r="O1623">
        <v>-0.75841788300000001</v>
      </c>
      <c r="P1623">
        <v>16268</v>
      </c>
      <c r="Q1623">
        <v>26.46</v>
      </c>
      <c r="R1623">
        <v>7.59</v>
      </c>
      <c r="S1623">
        <v>85.62</v>
      </c>
      <c r="T1623">
        <v>13</v>
      </c>
      <c r="U1623" s="1" t="s">
        <v>24</v>
      </c>
      <c r="V1623">
        <v>-1.0900000000000001</v>
      </c>
    </row>
    <row r="1624" spans="1:22" x14ac:dyDescent="0.3">
      <c r="A1624" s="2">
        <v>45671</v>
      </c>
      <c r="B1624">
        <v>45900</v>
      </c>
      <c r="C1624">
        <v>1840</v>
      </c>
      <c r="D1624">
        <v>1</v>
      </c>
      <c r="E1624" s="1" t="s">
        <v>22</v>
      </c>
      <c r="F1624">
        <v>1</v>
      </c>
      <c r="G1624" s="1" t="s">
        <v>23</v>
      </c>
      <c r="H1624">
        <v>45914.285714285717</v>
      </c>
      <c r="I1624">
        <v>46716.666666666664</v>
      </c>
      <c r="J1624">
        <v>45500</v>
      </c>
      <c r="K1624">
        <v>46000</v>
      </c>
      <c r="L1624">
        <v>48000</v>
      </c>
      <c r="M1624">
        <v>400</v>
      </c>
      <c r="N1624">
        <v>130.43469999999999</v>
      </c>
      <c r="O1624">
        <v>-0.75841788300000001</v>
      </c>
      <c r="P1624">
        <v>16295.200199999999</v>
      </c>
      <c r="Q1624">
        <v>26.21</v>
      </c>
      <c r="R1624">
        <v>8.26</v>
      </c>
      <c r="S1624">
        <v>87.75</v>
      </c>
      <c r="T1624">
        <v>14</v>
      </c>
      <c r="U1624" s="1" t="s">
        <v>70</v>
      </c>
      <c r="V1624">
        <v>0.88</v>
      </c>
    </row>
    <row r="1625" spans="1:22" x14ac:dyDescent="0.3">
      <c r="A1625" s="2">
        <v>45672</v>
      </c>
      <c r="B1625">
        <v>45250</v>
      </c>
      <c r="C1625">
        <v>1841</v>
      </c>
      <c r="D1625">
        <v>1</v>
      </c>
      <c r="E1625" s="1" t="s">
        <v>22</v>
      </c>
      <c r="F1625">
        <v>2</v>
      </c>
      <c r="G1625" s="1" t="s">
        <v>23</v>
      </c>
      <c r="H1625">
        <v>45807.142857142855</v>
      </c>
      <c r="I1625">
        <v>46616.666666666664</v>
      </c>
      <c r="J1625">
        <v>45900</v>
      </c>
      <c r="K1625">
        <v>46000</v>
      </c>
      <c r="L1625">
        <v>48250</v>
      </c>
      <c r="M1625">
        <v>-650</v>
      </c>
      <c r="N1625">
        <v>130.43469999999999</v>
      </c>
      <c r="O1625">
        <v>-0.75841788300000001</v>
      </c>
      <c r="P1625">
        <v>16320</v>
      </c>
      <c r="Q1625">
        <v>26.77</v>
      </c>
      <c r="R1625">
        <v>12.17</v>
      </c>
      <c r="S1625">
        <v>85.27</v>
      </c>
      <c r="T1625">
        <v>15</v>
      </c>
      <c r="U1625" s="1" t="s">
        <v>72</v>
      </c>
      <c r="V1625">
        <v>-1.42</v>
      </c>
    </row>
    <row r="1626" spans="1:22" x14ac:dyDescent="0.3">
      <c r="A1626" s="2">
        <v>45673</v>
      </c>
      <c r="B1626">
        <v>45250</v>
      </c>
      <c r="C1626">
        <v>1842</v>
      </c>
      <c r="D1626">
        <v>1</v>
      </c>
      <c r="E1626" s="1" t="s">
        <v>22</v>
      </c>
      <c r="F1626">
        <v>3</v>
      </c>
      <c r="G1626" s="1" t="s">
        <v>23</v>
      </c>
      <c r="H1626">
        <v>45700</v>
      </c>
      <c r="I1626">
        <v>46516.666666666664</v>
      </c>
      <c r="J1626">
        <v>45250</v>
      </c>
      <c r="K1626">
        <v>46000</v>
      </c>
      <c r="L1626">
        <v>48250</v>
      </c>
      <c r="M1626">
        <v>0</v>
      </c>
      <c r="N1626">
        <v>130.43469999999999</v>
      </c>
      <c r="O1626">
        <v>-0.75841788300000001</v>
      </c>
      <c r="P1626">
        <v>16360.799800000001</v>
      </c>
      <c r="Q1626">
        <v>26.65</v>
      </c>
      <c r="R1626">
        <v>12.48</v>
      </c>
      <c r="S1626">
        <v>85.21</v>
      </c>
      <c r="T1626">
        <v>16</v>
      </c>
      <c r="U1626" s="1" t="s">
        <v>25</v>
      </c>
      <c r="V1626">
        <v>0</v>
      </c>
    </row>
    <row r="1627" spans="1:22" x14ac:dyDescent="0.3">
      <c r="A1627" s="2">
        <v>45674</v>
      </c>
      <c r="B1627">
        <v>45250</v>
      </c>
      <c r="C1627">
        <v>1843</v>
      </c>
      <c r="D1627">
        <v>1</v>
      </c>
      <c r="E1627" s="1" t="s">
        <v>22</v>
      </c>
      <c r="F1627">
        <v>4</v>
      </c>
      <c r="G1627" s="1" t="s">
        <v>23</v>
      </c>
      <c r="H1627">
        <v>45592.857142857145</v>
      </c>
      <c r="I1627">
        <v>46416.666666666664</v>
      </c>
      <c r="J1627">
        <v>45250</v>
      </c>
      <c r="K1627">
        <v>46000</v>
      </c>
      <c r="L1627">
        <v>48250</v>
      </c>
      <c r="M1627">
        <v>0</v>
      </c>
      <c r="N1627">
        <v>130.43469999999999</v>
      </c>
      <c r="O1627">
        <v>-0.75841788300000001</v>
      </c>
      <c r="P1627">
        <v>16368.799800000001</v>
      </c>
      <c r="Q1627">
        <v>27.02</v>
      </c>
      <c r="R1627">
        <v>15.28</v>
      </c>
      <c r="S1627">
        <v>86.15</v>
      </c>
      <c r="T1627">
        <v>17</v>
      </c>
      <c r="U1627" s="1" t="s">
        <v>25</v>
      </c>
      <c r="V1627">
        <v>0</v>
      </c>
    </row>
    <row r="1628" spans="1:22" x14ac:dyDescent="0.3">
      <c r="A1628" s="2">
        <v>45677</v>
      </c>
      <c r="B1628">
        <v>44250</v>
      </c>
      <c r="C1628">
        <v>1846</v>
      </c>
      <c r="D1628">
        <v>1</v>
      </c>
      <c r="E1628" s="1" t="s">
        <v>22</v>
      </c>
      <c r="F1628">
        <v>0</v>
      </c>
      <c r="G1628" s="1" t="s">
        <v>23</v>
      </c>
      <c r="K1628">
        <v>45500</v>
      </c>
      <c r="L1628">
        <v>47750</v>
      </c>
      <c r="N1628">
        <v>130.43469999999999</v>
      </c>
      <c r="O1628">
        <v>-0.75841788300000001</v>
      </c>
      <c r="P1628">
        <v>16367.099609999999</v>
      </c>
      <c r="Q1628">
        <v>27.31</v>
      </c>
      <c r="R1628">
        <v>7.66</v>
      </c>
      <c r="S1628">
        <v>83.26</v>
      </c>
      <c r="T1628">
        <v>20</v>
      </c>
      <c r="U1628" s="1" t="s">
        <v>30</v>
      </c>
      <c r="V1628">
        <v>-2.21</v>
      </c>
    </row>
    <row r="1629" spans="1:22" x14ac:dyDescent="0.3">
      <c r="A1629" s="2">
        <v>45678</v>
      </c>
      <c r="B1629">
        <v>44150</v>
      </c>
      <c r="C1629">
        <v>1847</v>
      </c>
      <c r="D1629">
        <v>1</v>
      </c>
      <c r="E1629" s="1" t="s">
        <v>22</v>
      </c>
      <c r="F1629">
        <v>1</v>
      </c>
      <c r="G1629" s="1" t="s">
        <v>23</v>
      </c>
      <c r="J1629">
        <v>44250</v>
      </c>
      <c r="K1629">
        <v>45900</v>
      </c>
      <c r="L1629">
        <v>47750</v>
      </c>
      <c r="M1629">
        <v>-100</v>
      </c>
      <c r="N1629">
        <v>130.43469999999999</v>
      </c>
      <c r="O1629">
        <v>-0.75841788300000001</v>
      </c>
      <c r="P1629">
        <v>16245</v>
      </c>
      <c r="Q1629">
        <v>27.32</v>
      </c>
      <c r="R1629">
        <v>5.53</v>
      </c>
      <c r="S1629">
        <v>82.06</v>
      </c>
      <c r="T1629">
        <v>21</v>
      </c>
      <c r="U1629" s="1" t="s">
        <v>74</v>
      </c>
      <c r="V1629">
        <v>-0.23</v>
      </c>
    </row>
    <row r="1630" spans="1:22" x14ac:dyDescent="0.3">
      <c r="A1630" s="2">
        <v>45679</v>
      </c>
      <c r="B1630">
        <v>43650</v>
      </c>
      <c r="C1630">
        <v>1848</v>
      </c>
      <c r="D1630">
        <v>1</v>
      </c>
      <c r="E1630" s="1" t="s">
        <v>22</v>
      </c>
      <c r="F1630">
        <v>2</v>
      </c>
      <c r="G1630" s="1" t="s">
        <v>23</v>
      </c>
      <c r="J1630">
        <v>44150</v>
      </c>
      <c r="K1630">
        <v>45250</v>
      </c>
      <c r="L1630">
        <v>47000</v>
      </c>
      <c r="M1630">
        <v>-500</v>
      </c>
      <c r="N1630">
        <v>130.43469999999999</v>
      </c>
      <c r="O1630">
        <v>-0.75841788300000001</v>
      </c>
      <c r="P1630">
        <v>16330.799800000001</v>
      </c>
      <c r="Q1630">
        <v>26.55</v>
      </c>
      <c r="R1630">
        <v>8.73</v>
      </c>
      <c r="S1630">
        <v>86.19</v>
      </c>
      <c r="T1630">
        <v>22</v>
      </c>
      <c r="U1630" s="1" t="s">
        <v>24</v>
      </c>
      <c r="V1630">
        <v>-1.1299999999999999</v>
      </c>
    </row>
    <row r="1631" spans="1:22" x14ac:dyDescent="0.3">
      <c r="A1631" s="2">
        <v>45680</v>
      </c>
      <c r="B1631">
        <v>43650</v>
      </c>
      <c r="C1631">
        <v>1849</v>
      </c>
      <c r="D1631">
        <v>1</v>
      </c>
      <c r="E1631" s="1" t="s">
        <v>22</v>
      </c>
      <c r="F1631">
        <v>3</v>
      </c>
      <c r="G1631" s="1" t="s">
        <v>23</v>
      </c>
      <c r="J1631">
        <v>43650</v>
      </c>
      <c r="K1631">
        <v>45250</v>
      </c>
      <c r="L1631">
        <v>46650</v>
      </c>
      <c r="M1631">
        <v>0</v>
      </c>
      <c r="N1631">
        <v>130.43469999999999</v>
      </c>
      <c r="O1631">
        <v>-0.75841788300000001</v>
      </c>
      <c r="P1631">
        <v>16232.799800000001</v>
      </c>
      <c r="Q1631">
        <v>26.2</v>
      </c>
      <c r="R1631">
        <v>12.23</v>
      </c>
      <c r="S1631">
        <v>84.88</v>
      </c>
      <c r="T1631">
        <v>23</v>
      </c>
      <c r="U1631" s="1" t="s">
        <v>25</v>
      </c>
      <c r="V1631">
        <v>0</v>
      </c>
    </row>
    <row r="1632" spans="1:22" x14ac:dyDescent="0.3">
      <c r="A1632" s="2">
        <v>45681</v>
      </c>
      <c r="B1632">
        <v>43400</v>
      </c>
      <c r="C1632">
        <v>1850</v>
      </c>
      <c r="D1632">
        <v>1</v>
      </c>
      <c r="E1632" s="1" t="s">
        <v>22</v>
      </c>
      <c r="F1632">
        <v>4</v>
      </c>
      <c r="G1632" s="1" t="s">
        <v>23</v>
      </c>
      <c r="J1632">
        <v>43650</v>
      </c>
      <c r="K1632">
        <v>45250</v>
      </c>
      <c r="L1632">
        <v>46650</v>
      </c>
      <c r="M1632">
        <v>-250</v>
      </c>
      <c r="N1632">
        <v>130.43469999999999</v>
      </c>
      <c r="O1632">
        <v>-0.75841788300000001</v>
      </c>
      <c r="P1632">
        <v>16230.900390000001</v>
      </c>
      <c r="Q1632">
        <v>26.32</v>
      </c>
      <c r="R1632">
        <v>6.48</v>
      </c>
      <c r="S1632">
        <v>86.96</v>
      </c>
      <c r="T1632">
        <v>24</v>
      </c>
      <c r="U1632" s="1" t="s">
        <v>35</v>
      </c>
      <c r="V1632">
        <v>-0.56999999999999995</v>
      </c>
    </row>
    <row r="1633" spans="1:22" x14ac:dyDescent="0.3">
      <c r="A1633" s="2">
        <v>45684</v>
      </c>
      <c r="B1633">
        <v>43400</v>
      </c>
      <c r="C1633">
        <v>1853</v>
      </c>
      <c r="D1633">
        <v>1</v>
      </c>
      <c r="E1633" s="1" t="s">
        <v>22</v>
      </c>
      <c r="F1633">
        <v>0</v>
      </c>
      <c r="G1633" s="1" t="s">
        <v>23</v>
      </c>
      <c r="K1633">
        <v>44250</v>
      </c>
      <c r="L1633">
        <v>46250</v>
      </c>
      <c r="N1633">
        <v>130.43469999999999</v>
      </c>
      <c r="O1633">
        <v>-0.75841788300000001</v>
      </c>
      <c r="P1633">
        <v>16164.900390000001</v>
      </c>
      <c r="Q1633">
        <v>26.62</v>
      </c>
      <c r="R1633">
        <v>13.54</v>
      </c>
      <c r="S1633">
        <v>84.26</v>
      </c>
      <c r="T1633">
        <v>27</v>
      </c>
      <c r="U1633" s="1"/>
      <c r="V1633">
        <v>0</v>
      </c>
    </row>
    <row r="1634" spans="1:22" x14ac:dyDescent="0.3">
      <c r="A1634" s="2">
        <v>45685</v>
      </c>
      <c r="B1634">
        <v>43400</v>
      </c>
      <c r="C1634">
        <v>1854</v>
      </c>
      <c r="D1634">
        <v>1</v>
      </c>
      <c r="E1634" s="1" t="s">
        <v>22</v>
      </c>
      <c r="F1634">
        <v>1</v>
      </c>
      <c r="G1634" s="1" t="s">
        <v>23</v>
      </c>
      <c r="J1634">
        <v>43400</v>
      </c>
      <c r="K1634">
        <v>44150</v>
      </c>
      <c r="L1634">
        <v>46250</v>
      </c>
      <c r="M1634">
        <v>0</v>
      </c>
      <c r="N1634">
        <v>130.43469999999999</v>
      </c>
      <c r="O1634">
        <v>-0.75841788300000001</v>
      </c>
      <c r="P1634">
        <v>16155.599609999999</v>
      </c>
      <c r="Q1634">
        <v>26.45</v>
      </c>
      <c r="R1634">
        <v>5.83</v>
      </c>
      <c r="S1634">
        <v>82.79</v>
      </c>
      <c r="T1634">
        <v>28</v>
      </c>
      <c r="U1634" s="1" t="s">
        <v>25</v>
      </c>
      <c r="V1634">
        <v>0</v>
      </c>
    </row>
    <row r="1635" spans="1:22" x14ac:dyDescent="0.3">
      <c r="A1635" s="2">
        <v>45686</v>
      </c>
      <c r="B1635">
        <v>43400</v>
      </c>
      <c r="C1635">
        <v>1855</v>
      </c>
      <c r="D1635">
        <v>1</v>
      </c>
      <c r="E1635" s="1" t="s">
        <v>22</v>
      </c>
      <c r="F1635">
        <v>2</v>
      </c>
      <c r="G1635" s="1" t="s">
        <v>44</v>
      </c>
      <c r="J1635">
        <v>43400</v>
      </c>
      <c r="K1635">
        <v>43650</v>
      </c>
      <c r="L1635">
        <v>47000</v>
      </c>
      <c r="M1635">
        <v>0</v>
      </c>
      <c r="N1635">
        <v>130.43469999999999</v>
      </c>
      <c r="O1635">
        <v>-0.75841788300000001</v>
      </c>
      <c r="P1635">
        <v>15881.200199999999</v>
      </c>
      <c r="Q1635">
        <v>26.77</v>
      </c>
      <c r="R1635">
        <v>26.41</v>
      </c>
      <c r="S1635">
        <v>82.74</v>
      </c>
      <c r="T1635">
        <v>29</v>
      </c>
      <c r="U1635" s="1" t="s">
        <v>25</v>
      </c>
      <c r="V1635">
        <v>0</v>
      </c>
    </row>
    <row r="1636" spans="1:22" x14ac:dyDescent="0.3">
      <c r="A1636" s="2">
        <v>45687</v>
      </c>
      <c r="B1636">
        <v>42150</v>
      </c>
      <c r="C1636">
        <v>1856</v>
      </c>
      <c r="D1636">
        <v>1</v>
      </c>
      <c r="E1636" s="1" t="s">
        <v>22</v>
      </c>
      <c r="F1636">
        <v>3</v>
      </c>
      <c r="G1636" s="1" t="s">
        <v>23</v>
      </c>
      <c r="J1636">
        <v>43400</v>
      </c>
      <c r="K1636">
        <v>43650</v>
      </c>
      <c r="L1636">
        <v>46900</v>
      </c>
      <c r="M1636">
        <v>-1250</v>
      </c>
      <c r="N1636">
        <v>130.43469999999999</v>
      </c>
      <c r="O1636">
        <v>-0.75841788300000001</v>
      </c>
      <c r="P1636">
        <v>16238</v>
      </c>
      <c r="Q1636">
        <v>27.09</v>
      </c>
      <c r="R1636">
        <v>2.21</v>
      </c>
      <c r="S1636">
        <v>83.5</v>
      </c>
      <c r="T1636">
        <v>30</v>
      </c>
      <c r="U1636" s="1" t="s">
        <v>40</v>
      </c>
      <c r="V1636">
        <v>-2.88</v>
      </c>
    </row>
    <row r="1637" spans="1:22" x14ac:dyDescent="0.3">
      <c r="A1637" s="2">
        <v>45688</v>
      </c>
      <c r="B1637">
        <v>42150</v>
      </c>
      <c r="C1637">
        <v>1857</v>
      </c>
      <c r="D1637">
        <v>1</v>
      </c>
      <c r="E1637" s="1" t="s">
        <v>22</v>
      </c>
      <c r="F1637">
        <v>4</v>
      </c>
      <c r="G1637" s="1" t="s">
        <v>23</v>
      </c>
      <c r="J1637">
        <v>42150</v>
      </c>
      <c r="K1637">
        <v>43400</v>
      </c>
      <c r="L1637">
        <v>46900</v>
      </c>
      <c r="M1637">
        <v>0</v>
      </c>
      <c r="N1637">
        <v>130.43469999999999</v>
      </c>
      <c r="O1637">
        <v>-0.75841788300000001</v>
      </c>
      <c r="P1637">
        <v>16274.5</v>
      </c>
      <c r="Q1637">
        <v>26.67</v>
      </c>
      <c r="R1637">
        <v>9.93</v>
      </c>
      <c r="S1637">
        <v>87.43</v>
      </c>
      <c r="T1637">
        <v>31</v>
      </c>
      <c r="U1637" s="1" t="s">
        <v>25</v>
      </c>
      <c r="V1637">
        <v>0</v>
      </c>
    </row>
    <row r="1638" spans="1:22" x14ac:dyDescent="0.3">
      <c r="A1638" s="2">
        <v>45689</v>
      </c>
      <c r="B1638">
        <v>42150</v>
      </c>
      <c r="C1638">
        <v>1858</v>
      </c>
      <c r="D1638">
        <v>2</v>
      </c>
      <c r="E1638" s="1" t="s">
        <v>22</v>
      </c>
      <c r="F1638">
        <v>5</v>
      </c>
      <c r="G1638" s="1" t="s">
        <v>23</v>
      </c>
      <c r="J1638">
        <v>42150</v>
      </c>
      <c r="L1638">
        <v>46400</v>
      </c>
      <c r="M1638">
        <v>0</v>
      </c>
      <c r="N1638">
        <v>129.80709999999999</v>
      </c>
      <c r="O1638">
        <v>-0.48116030500000001</v>
      </c>
      <c r="P1638">
        <v>16274.5</v>
      </c>
      <c r="Q1638">
        <v>25.92</v>
      </c>
      <c r="R1638">
        <v>9.92</v>
      </c>
      <c r="S1638">
        <v>85.37</v>
      </c>
      <c r="T1638">
        <v>1</v>
      </c>
      <c r="U1638" s="1" t="s">
        <v>25</v>
      </c>
      <c r="V1638">
        <v>0</v>
      </c>
    </row>
    <row r="1639" spans="1:22" x14ac:dyDescent="0.3">
      <c r="A1639" s="2">
        <v>45690</v>
      </c>
      <c r="B1639">
        <v>42150</v>
      </c>
      <c r="C1639">
        <v>1859</v>
      </c>
      <c r="D1639">
        <v>2</v>
      </c>
      <c r="E1639" s="1" t="s">
        <v>22</v>
      </c>
      <c r="F1639">
        <v>6</v>
      </c>
      <c r="G1639" s="1" t="s">
        <v>23</v>
      </c>
      <c r="H1639">
        <v>42685.714285714283</v>
      </c>
      <c r="J1639">
        <v>42150</v>
      </c>
      <c r="L1639">
        <v>46400</v>
      </c>
      <c r="M1639">
        <v>0</v>
      </c>
      <c r="N1639">
        <v>129.80709999999999</v>
      </c>
      <c r="O1639">
        <v>-0.48116030500000001</v>
      </c>
      <c r="P1639">
        <v>16274.5</v>
      </c>
      <c r="Q1639">
        <v>25.71</v>
      </c>
      <c r="R1639">
        <v>3.9</v>
      </c>
      <c r="S1639">
        <v>76.819999999999993</v>
      </c>
      <c r="T1639">
        <v>2</v>
      </c>
      <c r="U1639" s="1" t="s">
        <v>25</v>
      </c>
      <c r="V1639">
        <v>0</v>
      </c>
    </row>
    <row r="1640" spans="1:22" x14ac:dyDescent="0.3">
      <c r="A1640" s="2">
        <v>45691</v>
      </c>
      <c r="B1640">
        <v>40150</v>
      </c>
      <c r="C1640">
        <v>1860</v>
      </c>
      <c r="D1640">
        <v>2</v>
      </c>
      <c r="E1640" s="1" t="s">
        <v>22</v>
      </c>
      <c r="F1640">
        <v>0</v>
      </c>
      <c r="G1640" s="1" t="s">
        <v>23</v>
      </c>
      <c r="H1640">
        <v>42221.428571428572</v>
      </c>
      <c r="J1640">
        <v>42150</v>
      </c>
      <c r="K1640">
        <v>43400</v>
      </c>
      <c r="L1640">
        <v>46400</v>
      </c>
      <c r="M1640">
        <v>-2000</v>
      </c>
      <c r="N1640">
        <v>129.80709999999999</v>
      </c>
      <c r="O1640">
        <v>-0.48116030500000001</v>
      </c>
      <c r="P1640">
        <v>16341.299800000001</v>
      </c>
      <c r="Q1640">
        <v>26.63</v>
      </c>
      <c r="R1640">
        <v>2.94</v>
      </c>
      <c r="S1640">
        <v>81.39</v>
      </c>
      <c r="T1640">
        <v>3</v>
      </c>
      <c r="U1640" s="1" t="s">
        <v>45</v>
      </c>
      <c r="V1640">
        <v>-4.74</v>
      </c>
    </row>
    <row r="1641" spans="1:22" x14ac:dyDescent="0.3">
      <c r="A1641" s="2">
        <v>45692</v>
      </c>
      <c r="B1641">
        <v>39900</v>
      </c>
      <c r="C1641">
        <v>1861</v>
      </c>
      <c r="D1641">
        <v>2</v>
      </c>
      <c r="E1641" s="1" t="s">
        <v>22</v>
      </c>
      <c r="F1641">
        <v>1</v>
      </c>
      <c r="G1641" s="1" t="s">
        <v>23</v>
      </c>
      <c r="H1641">
        <v>41721.428571428572</v>
      </c>
      <c r="J1641">
        <v>40150</v>
      </c>
      <c r="K1641">
        <v>43400</v>
      </c>
      <c r="L1641">
        <v>46400</v>
      </c>
      <c r="M1641">
        <v>-250</v>
      </c>
      <c r="N1641">
        <v>129.80709999999999</v>
      </c>
      <c r="O1641">
        <v>-0.48116030500000001</v>
      </c>
      <c r="P1641">
        <v>16320</v>
      </c>
      <c r="Q1641">
        <v>25.87</v>
      </c>
      <c r="R1641">
        <v>7.18</v>
      </c>
      <c r="S1641">
        <v>83.71</v>
      </c>
      <c r="T1641">
        <v>4</v>
      </c>
      <c r="U1641" s="1" t="s">
        <v>35</v>
      </c>
      <c r="V1641">
        <v>-0.62</v>
      </c>
    </row>
    <row r="1642" spans="1:22" x14ac:dyDescent="0.3">
      <c r="A1642" s="2">
        <v>45693</v>
      </c>
      <c r="B1642">
        <v>39900</v>
      </c>
      <c r="C1642">
        <v>1862</v>
      </c>
      <c r="D1642">
        <v>2</v>
      </c>
      <c r="E1642" s="1" t="s">
        <v>22</v>
      </c>
      <c r="F1642">
        <v>2</v>
      </c>
      <c r="G1642" s="1" t="s">
        <v>23</v>
      </c>
      <c r="H1642">
        <v>41221.428571428572</v>
      </c>
      <c r="J1642">
        <v>39900</v>
      </c>
      <c r="K1642">
        <v>43400</v>
      </c>
      <c r="L1642">
        <v>46250</v>
      </c>
      <c r="M1642">
        <v>0</v>
      </c>
      <c r="N1642">
        <v>129.80709999999999</v>
      </c>
      <c r="O1642">
        <v>-0.48116030500000001</v>
      </c>
      <c r="P1642">
        <v>16299.099609999999</v>
      </c>
      <c r="Q1642">
        <v>26.26</v>
      </c>
      <c r="R1642">
        <v>9.86</v>
      </c>
      <c r="S1642">
        <v>84.46</v>
      </c>
      <c r="T1642">
        <v>5</v>
      </c>
      <c r="U1642" s="1" t="s">
        <v>25</v>
      </c>
      <c r="V1642">
        <v>0</v>
      </c>
    </row>
    <row r="1643" spans="1:22" x14ac:dyDescent="0.3">
      <c r="A1643" s="2">
        <v>45694</v>
      </c>
      <c r="B1643">
        <v>40750</v>
      </c>
      <c r="C1643">
        <v>1863</v>
      </c>
      <c r="D1643">
        <v>2</v>
      </c>
      <c r="E1643" s="1" t="s">
        <v>22</v>
      </c>
      <c r="F1643">
        <v>3</v>
      </c>
      <c r="G1643" s="1" t="s">
        <v>23</v>
      </c>
      <c r="H1643">
        <v>41021.428571428572</v>
      </c>
      <c r="J1643">
        <v>39900</v>
      </c>
      <c r="K1643">
        <v>42150</v>
      </c>
      <c r="L1643">
        <v>46000</v>
      </c>
      <c r="M1643">
        <v>850</v>
      </c>
      <c r="N1643">
        <v>129.80709999999999</v>
      </c>
      <c r="O1643">
        <v>-0.48116030500000001</v>
      </c>
      <c r="P1643">
        <v>16298.099609999999</v>
      </c>
      <c r="Q1643">
        <v>26.23</v>
      </c>
      <c r="R1643">
        <v>17.64</v>
      </c>
      <c r="S1643">
        <v>87.29</v>
      </c>
      <c r="T1643">
        <v>6</v>
      </c>
      <c r="U1643" s="1" t="s">
        <v>69</v>
      </c>
      <c r="V1643">
        <v>2.13</v>
      </c>
    </row>
    <row r="1644" spans="1:22" x14ac:dyDescent="0.3">
      <c r="A1644" s="2">
        <v>45695</v>
      </c>
      <c r="B1644">
        <v>40750</v>
      </c>
      <c r="C1644">
        <v>1864</v>
      </c>
      <c r="D1644">
        <v>2</v>
      </c>
      <c r="E1644" s="1" t="s">
        <v>22</v>
      </c>
      <c r="F1644">
        <v>4</v>
      </c>
      <c r="G1644" s="1" t="s">
        <v>23</v>
      </c>
      <c r="H1644">
        <v>40821.428571428572</v>
      </c>
      <c r="J1644">
        <v>40750</v>
      </c>
      <c r="K1644">
        <v>42150</v>
      </c>
      <c r="L1644">
        <v>46000</v>
      </c>
      <c r="M1644">
        <v>0</v>
      </c>
      <c r="N1644">
        <v>129.80709999999999</v>
      </c>
      <c r="O1644">
        <v>-0.48116030500000001</v>
      </c>
      <c r="P1644">
        <v>16327</v>
      </c>
      <c r="Q1644">
        <v>26.44</v>
      </c>
      <c r="R1644">
        <v>4.5199999999999996</v>
      </c>
      <c r="S1644">
        <v>83.96</v>
      </c>
      <c r="T1644">
        <v>7</v>
      </c>
      <c r="U1644" s="1" t="s">
        <v>25</v>
      </c>
      <c r="V1644">
        <v>0</v>
      </c>
    </row>
    <row r="1645" spans="1:22" x14ac:dyDescent="0.3">
      <c r="A1645" s="2">
        <v>45696</v>
      </c>
      <c r="B1645">
        <v>40750</v>
      </c>
      <c r="C1645">
        <v>1865</v>
      </c>
      <c r="D1645">
        <v>2</v>
      </c>
      <c r="E1645" s="1" t="s">
        <v>22</v>
      </c>
      <c r="F1645">
        <v>5</v>
      </c>
      <c r="G1645" s="1" t="s">
        <v>23</v>
      </c>
      <c r="H1645">
        <v>40621.428571428572</v>
      </c>
      <c r="J1645">
        <v>40750</v>
      </c>
      <c r="K1645">
        <v>42150</v>
      </c>
      <c r="L1645">
        <v>46000</v>
      </c>
      <c r="M1645">
        <v>0</v>
      </c>
      <c r="N1645">
        <v>129.80709999999999</v>
      </c>
      <c r="O1645">
        <v>-0.48116030500000001</v>
      </c>
      <c r="P1645">
        <v>16327</v>
      </c>
      <c r="Q1645">
        <v>26.78</v>
      </c>
      <c r="R1645">
        <v>2.92</v>
      </c>
      <c r="S1645">
        <v>85.35</v>
      </c>
      <c r="T1645">
        <v>8</v>
      </c>
      <c r="U1645" s="1" t="s">
        <v>25</v>
      </c>
      <c r="V1645">
        <v>0</v>
      </c>
    </row>
    <row r="1646" spans="1:22" x14ac:dyDescent="0.3">
      <c r="A1646" s="2">
        <v>45697</v>
      </c>
      <c r="B1646">
        <v>40750</v>
      </c>
      <c r="C1646">
        <v>1866</v>
      </c>
      <c r="D1646">
        <v>2</v>
      </c>
      <c r="E1646" s="1" t="s">
        <v>22</v>
      </c>
      <c r="F1646">
        <v>6</v>
      </c>
      <c r="G1646" s="1" t="s">
        <v>23</v>
      </c>
      <c r="H1646">
        <v>40421.428571428572</v>
      </c>
      <c r="J1646">
        <v>40750</v>
      </c>
      <c r="K1646">
        <v>42150</v>
      </c>
      <c r="L1646">
        <v>46000</v>
      </c>
      <c r="M1646">
        <v>0</v>
      </c>
      <c r="N1646">
        <v>129.80709999999999</v>
      </c>
      <c r="O1646">
        <v>-0.48116030500000001</v>
      </c>
      <c r="P1646">
        <v>16327</v>
      </c>
      <c r="Q1646">
        <v>27.1</v>
      </c>
      <c r="R1646">
        <v>4.96</v>
      </c>
      <c r="S1646">
        <v>85.05</v>
      </c>
      <c r="T1646">
        <v>9</v>
      </c>
      <c r="U1646" s="1" t="s">
        <v>25</v>
      </c>
      <c r="V1646">
        <v>0</v>
      </c>
    </row>
    <row r="1647" spans="1:22" x14ac:dyDescent="0.3">
      <c r="A1647" s="2">
        <v>45698</v>
      </c>
      <c r="B1647">
        <v>41250</v>
      </c>
      <c r="C1647">
        <v>1867</v>
      </c>
      <c r="D1647">
        <v>2</v>
      </c>
      <c r="E1647" s="1" t="s">
        <v>22</v>
      </c>
      <c r="F1647">
        <v>0</v>
      </c>
      <c r="G1647" s="1" t="s">
        <v>23</v>
      </c>
      <c r="H1647">
        <v>40578.571428571428</v>
      </c>
      <c r="J1647">
        <v>40750</v>
      </c>
      <c r="K1647">
        <v>40150</v>
      </c>
      <c r="L1647">
        <v>46000</v>
      </c>
      <c r="M1647">
        <v>500</v>
      </c>
      <c r="N1647">
        <v>129.80709999999999</v>
      </c>
      <c r="O1647">
        <v>-0.48116030500000001</v>
      </c>
      <c r="P1647">
        <v>16314.700199999999</v>
      </c>
      <c r="Q1647">
        <v>26.75</v>
      </c>
      <c r="R1647">
        <v>8.5500000000000007</v>
      </c>
      <c r="S1647">
        <v>86.95</v>
      </c>
      <c r="T1647">
        <v>10</v>
      </c>
      <c r="U1647" s="1" t="s">
        <v>26</v>
      </c>
      <c r="V1647">
        <v>1.23</v>
      </c>
    </row>
    <row r="1648" spans="1:22" x14ac:dyDescent="0.3">
      <c r="A1648" s="2">
        <v>45699</v>
      </c>
      <c r="B1648">
        <v>41250</v>
      </c>
      <c r="C1648">
        <v>1868</v>
      </c>
      <c r="D1648">
        <v>2</v>
      </c>
      <c r="E1648" s="1" t="s">
        <v>22</v>
      </c>
      <c r="F1648">
        <v>1</v>
      </c>
      <c r="G1648" s="1" t="s">
        <v>23</v>
      </c>
      <c r="H1648">
        <v>40771.428571428572</v>
      </c>
      <c r="J1648">
        <v>41250</v>
      </c>
      <c r="K1648">
        <v>39900</v>
      </c>
      <c r="L1648">
        <v>46000</v>
      </c>
      <c r="M1648">
        <v>0</v>
      </c>
      <c r="N1648">
        <v>129.80709999999999</v>
      </c>
      <c r="O1648">
        <v>-0.48116030500000001</v>
      </c>
      <c r="P1648">
        <v>16330.099609999999</v>
      </c>
      <c r="Q1648">
        <v>26.51</v>
      </c>
      <c r="R1648">
        <v>13.86</v>
      </c>
      <c r="S1648">
        <v>86.12</v>
      </c>
      <c r="T1648">
        <v>11</v>
      </c>
      <c r="U1648" s="1" t="s">
        <v>25</v>
      </c>
      <c r="V1648">
        <v>0</v>
      </c>
    </row>
    <row r="1649" spans="1:22" x14ac:dyDescent="0.3">
      <c r="A1649" s="2">
        <v>45700</v>
      </c>
      <c r="B1649">
        <v>41250</v>
      </c>
      <c r="C1649">
        <v>1869</v>
      </c>
      <c r="D1649">
        <v>2</v>
      </c>
      <c r="E1649" s="1" t="s">
        <v>22</v>
      </c>
      <c r="F1649">
        <v>2</v>
      </c>
      <c r="G1649" s="1" t="s">
        <v>23</v>
      </c>
      <c r="H1649">
        <v>40964.285714285717</v>
      </c>
      <c r="J1649">
        <v>41250</v>
      </c>
      <c r="K1649">
        <v>39900</v>
      </c>
      <c r="L1649">
        <v>45500</v>
      </c>
      <c r="M1649">
        <v>0</v>
      </c>
      <c r="N1649">
        <v>129.80709999999999</v>
      </c>
      <c r="O1649">
        <v>-0.48116030500000001</v>
      </c>
      <c r="P1649">
        <v>16343.299800000001</v>
      </c>
      <c r="Q1649">
        <v>26.2</v>
      </c>
      <c r="R1649">
        <v>3.5</v>
      </c>
      <c r="S1649">
        <v>82.76</v>
      </c>
      <c r="T1649">
        <v>12</v>
      </c>
      <c r="U1649" s="1" t="s">
        <v>25</v>
      </c>
      <c r="V1649">
        <v>0</v>
      </c>
    </row>
    <row r="1650" spans="1:22" x14ac:dyDescent="0.3">
      <c r="A1650" s="2">
        <v>45701</v>
      </c>
      <c r="B1650">
        <v>41250</v>
      </c>
      <c r="C1650">
        <v>1870</v>
      </c>
      <c r="D1650">
        <v>2</v>
      </c>
      <c r="E1650" s="1" t="s">
        <v>22</v>
      </c>
      <c r="F1650">
        <v>3</v>
      </c>
      <c r="G1650" s="1" t="s">
        <v>23</v>
      </c>
      <c r="H1650">
        <v>41035.714285714283</v>
      </c>
      <c r="J1650">
        <v>41250</v>
      </c>
      <c r="K1650">
        <v>40750</v>
      </c>
      <c r="L1650">
        <v>45900</v>
      </c>
      <c r="M1650">
        <v>0</v>
      </c>
      <c r="N1650">
        <v>129.80709999999999</v>
      </c>
      <c r="O1650">
        <v>-0.48116030500000001</v>
      </c>
      <c r="P1650">
        <v>16375</v>
      </c>
      <c r="Q1650">
        <v>26.73</v>
      </c>
      <c r="R1650">
        <v>2.63</v>
      </c>
      <c r="S1650">
        <v>84.78</v>
      </c>
      <c r="T1650">
        <v>13</v>
      </c>
      <c r="U1650" s="1" t="s">
        <v>25</v>
      </c>
      <c r="V1650">
        <v>0</v>
      </c>
    </row>
    <row r="1651" spans="1:22" x14ac:dyDescent="0.3">
      <c r="A1651" s="2">
        <v>45702</v>
      </c>
      <c r="B1651">
        <v>41250</v>
      </c>
      <c r="C1651">
        <v>1871</v>
      </c>
      <c r="D1651">
        <v>2</v>
      </c>
      <c r="E1651" s="1" t="s">
        <v>22</v>
      </c>
      <c r="F1651">
        <v>4</v>
      </c>
      <c r="G1651" s="1" t="s">
        <v>23</v>
      </c>
      <c r="H1651">
        <v>41107.142857142855</v>
      </c>
      <c r="J1651">
        <v>41250</v>
      </c>
      <c r="K1651">
        <v>40750</v>
      </c>
      <c r="L1651">
        <v>45250</v>
      </c>
      <c r="M1651">
        <v>0</v>
      </c>
      <c r="N1651">
        <v>129.80709999999999</v>
      </c>
      <c r="O1651">
        <v>-0.48116030500000001</v>
      </c>
      <c r="P1651">
        <v>16219</v>
      </c>
      <c r="Q1651">
        <v>26.77</v>
      </c>
      <c r="R1651">
        <v>4.62</v>
      </c>
      <c r="S1651">
        <v>84.07</v>
      </c>
      <c r="T1651">
        <v>14</v>
      </c>
      <c r="U1651" s="1" t="s">
        <v>25</v>
      </c>
      <c r="V1651">
        <v>0</v>
      </c>
    </row>
    <row r="1652" spans="1:22" x14ac:dyDescent="0.3">
      <c r="A1652" s="2">
        <v>45703</v>
      </c>
      <c r="B1652">
        <v>41250</v>
      </c>
      <c r="C1652">
        <v>1872</v>
      </c>
      <c r="D1652">
        <v>2</v>
      </c>
      <c r="E1652" s="1" t="s">
        <v>22</v>
      </c>
      <c r="F1652">
        <v>5</v>
      </c>
      <c r="G1652" s="1" t="s">
        <v>23</v>
      </c>
      <c r="H1652">
        <v>41178.571428571428</v>
      </c>
      <c r="J1652">
        <v>41250</v>
      </c>
      <c r="K1652">
        <v>40750</v>
      </c>
      <c r="L1652">
        <v>45250</v>
      </c>
      <c r="M1652">
        <v>0</v>
      </c>
      <c r="N1652">
        <v>129.80709999999999</v>
      </c>
      <c r="O1652">
        <v>-0.48116030500000001</v>
      </c>
      <c r="P1652">
        <v>16219</v>
      </c>
      <c r="Q1652">
        <v>26.64</v>
      </c>
      <c r="R1652">
        <v>5.81</v>
      </c>
      <c r="S1652">
        <v>84.56</v>
      </c>
      <c r="T1652">
        <v>15</v>
      </c>
      <c r="U1652" s="1" t="s">
        <v>25</v>
      </c>
      <c r="V1652">
        <v>0</v>
      </c>
    </row>
    <row r="1653" spans="1:22" x14ac:dyDescent="0.3">
      <c r="A1653" s="2">
        <v>45704</v>
      </c>
      <c r="B1653">
        <v>41250</v>
      </c>
      <c r="C1653">
        <v>1873</v>
      </c>
      <c r="D1653">
        <v>2</v>
      </c>
      <c r="E1653" s="1" t="s">
        <v>22</v>
      </c>
      <c r="F1653">
        <v>6</v>
      </c>
      <c r="G1653" s="1" t="s">
        <v>23</v>
      </c>
      <c r="H1653">
        <v>41250</v>
      </c>
      <c r="J1653">
        <v>41250</v>
      </c>
      <c r="K1653">
        <v>40750</v>
      </c>
      <c r="L1653">
        <v>45250</v>
      </c>
      <c r="M1653">
        <v>0</v>
      </c>
      <c r="N1653">
        <v>129.80709999999999</v>
      </c>
      <c r="O1653">
        <v>-0.48116030500000001</v>
      </c>
      <c r="P1653">
        <v>16219</v>
      </c>
      <c r="Q1653">
        <v>26.97</v>
      </c>
      <c r="R1653">
        <v>6.3</v>
      </c>
      <c r="S1653">
        <v>84.53</v>
      </c>
      <c r="T1653">
        <v>16</v>
      </c>
      <c r="U1653" s="1" t="s">
        <v>25</v>
      </c>
      <c r="V1653">
        <v>0</v>
      </c>
    </row>
    <row r="1654" spans="1:22" x14ac:dyDescent="0.3">
      <c r="A1654" s="2">
        <v>45705</v>
      </c>
      <c r="B1654">
        <v>41750</v>
      </c>
      <c r="C1654">
        <v>1874</v>
      </c>
      <c r="D1654">
        <v>2</v>
      </c>
      <c r="E1654" s="1" t="s">
        <v>22</v>
      </c>
      <c r="F1654">
        <v>0</v>
      </c>
      <c r="G1654" s="1" t="s">
        <v>23</v>
      </c>
      <c r="H1654">
        <v>41321.428571428572</v>
      </c>
      <c r="J1654">
        <v>41250</v>
      </c>
      <c r="K1654">
        <v>41250</v>
      </c>
      <c r="M1654">
        <v>500</v>
      </c>
      <c r="N1654">
        <v>129.80709999999999</v>
      </c>
      <c r="O1654">
        <v>-0.48116030500000001</v>
      </c>
      <c r="P1654">
        <v>16173</v>
      </c>
      <c r="Q1654">
        <v>26.57</v>
      </c>
      <c r="R1654">
        <v>11.72</v>
      </c>
      <c r="S1654">
        <v>87.05</v>
      </c>
      <c r="T1654">
        <v>17</v>
      </c>
      <c r="U1654" s="1" t="s">
        <v>26</v>
      </c>
      <c r="V1654">
        <v>1.21</v>
      </c>
    </row>
    <row r="1655" spans="1:22" x14ac:dyDescent="0.3">
      <c r="A1655" s="2">
        <v>45706</v>
      </c>
      <c r="B1655">
        <v>41750</v>
      </c>
      <c r="C1655">
        <v>1875</v>
      </c>
      <c r="D1655">
        <v>2</v>
      </c>
      <c r="E1655" s="1" t="s">
        <v>22</v>
      </c>
      <c r="F1655">
        <v>1</v>
      </c>
      <c r="G1655" s="1" t="s">
        <v>23</v>
      </c>
      <c r="H1655">
        <v>41392.857142857145</v>
      </c>
      <c r="J1655">
        <v>41750</v>
      </c>
      <c r="K1655">
        <v>41250</v>
      </c>
      <c r="M1655">
        <v>0</v>
      </c>
      <c r="N1655">
        <v>129.80709999999999</v>
      </c>
      <c r="O1655">
        <v>-0.48116030500000001</v>
      </c>
      <c r="P1655">
        <v>16220</v>
      </c>
      <c r="Q1655">
        <v>26.24</v>
      </c>
      <c r="R1655">
        <v>5.76</v>
      </c>
      <c r="S1655">
        <v>82.62</v>
      </c>
      <c r="T1655">
        <v>18</v>
      </c>
      <c r="U1655" s="1" t="s">
        <v>25</v>
      </c>
      <c r="V1655">
        <v>0</v>
      </c>
    </row>
    <row r="1656" spans="1:22" x14ac:dyDescent="0.3">
      <c r="A1656" s="2">
        <v>45707</v>
      </c>
      <c r="B1656">
        <v>41750</v>
      </c>
      <c r="C1656">
        <v>1876</v>
      </c>
      <c r="D1656">
        <v>2</v>
      </c>
      <c r="E1656" s="1" t="s">
        <v>22</v>
      </c>
      <c r="F1656">
        <v>2</v>
      </c>
      <c r="G1656" s="1" t="s">
        <v>23</v>
      </c>
      <c r="H1656">
        <v>41464.285714285717</v>
      </c>
      <c r="J1656">
        <v>41750</v>
      </c>
      <c r="K1656">
        <v>41250</v>
      </c>
      <c r="L1656">
        <v>44250</v>
      </c>
      <c r="M1656">
        <v>0</v>
      </c>
      <c r="N1656">
        <v>129.80709999999999</v>
      </c>
      <c r="O1656">
        <v>-0.48116030500000001</v>
      </c>
      <c r="P1656">
        <v>16317</v>
      </c>
      <c r="Q1656">
        <v>26.14</v>
      </c>
      <c r="R1656">
        <v>0.8</v>
      </c>
      <c r="S1656">
        <v>80.89</v>
      </c>
      <c r="T1656">
        <v>19</v>
      </c>
      <c r="U1656" s="1" t="s">
        <v>25</v>
      </c>
      <c r="V1656">
        <v>0</v>
      </c>
    </row>
    <row r="1657" spans="1:22" x14ac:dyDescent="0.3">
      <c r="A1657" s="2">
        <v>45708</v>
      </c>
      <c r="B1657">
        <v>41750</v>
      </c>
      <c r="C1657">
        <v>1877</v>
      </c>
      <c r="D1657">
        <v>2</v>
      </c>
      <c r="E1657" s="1" t="s">
        <v>22</v>
      </c>
      <c r="F1657">
        <v>3</v>
      </c>
      <c r="G1657" s="1" t="s">
        <v>23</v>
      </c>
      <c r="H1657">
        <v>41535.714285714283</v>
      </c>
      <c r="J1657">
        <v>41750</v>
      </c>
      <c r="K1657">
        <v>41250</v>
      </c>
      <c r="L1657">
        <v>44150</v>
      </c>
      <c r="M1657">
        <v>0</v>
      </c>
      <c r="N1657">
        <v>129.80709999999999</v>
      </c>
      <c r="O1657">
        <v>-0.48116030500000001</v>
      </c>
      <c r="P1657">
        <v>16346.400390000001</v>
      </c>
      <c r="Q1657">
        <v>26.59</v>
      </c>
      <c r="R1657">
        <v>3.55</v>
      </c>
      <c r="S1657">
        <v>86.79</v>
      </c>
      <c r="T1657">
        <v>20</v>
      </c>
      <c r="U1657" s="1" t="s">
        <v>25</v>
      </c>
      <c r="V1657">
        <v>0</v>
      </c>
    </row>
    <row r="1658" spans="1:22" x14ac:dyDescent="0.3">
      <c r="A1658" s="2">
        <v>45709</v>
      </c>
      <c r="B1658">
        <v>41250</v>
      </c>
      <c r="C1658">
        <v>1878</v>
      </c>
      <c r="D1658">
        <v>2</v>
      </c>
      <c r="E1658" s="1" t="s">
        <v>22</v>
      </c>
      <c r="F1658">
        <v>4</v>
      </c>
      <c r="G1658" s="1" t="s">
        <v>23</v>
      </c>
      <c r="H1658">
        <v>41535.714285714283</v>
      </c>
      <c r="J1658">
        <v>41750</v>
      </c>
      <c r="K1658">
        <v>41250</v>
      </c>
      <c r="L1658">
        <v>43650</v>
      </c>
      <c r="M1658">
        <v>-500</v>
      </c>
      <c r="N1658">
        <v>129.80709999999999</v>
      </c>
      <c r="O1658">
        <v>-0.48116030500000001</v>
      </c>
      <c r="P1658">
        <v>16245.099609999999</v>
      </c>
      <c r="Q1658">
        <v>26.56</v>
      </c>
      <c r="R1658">
        <v>8.6</v>
      </c>
      <c r="S1658">
        <v>86.5</v>
      </c>
      <c r="T1658">
        <v>21</v>
      </c>
      <c r="U1658" s="1" t="s">
        <v>24</v>
      </c>
      <c r="V1658">
        <v>-1.2</v>
      </c>
    </row>
    <row r="1659" spans="1:22" x14ac:dyDescent="0.3">
      <c r="A1659" s="2">
        <v>45710</v>
      </c>
      <c r="B1659">
        <v>41250</v>
      </c>
      <c r="C1659">
        <v>1879</v>
      </c>
      <c r="D1659">
        <v>2</v>
      </c>
      <c r="E1659" s="1" t="s">
        <v>22</v>
      </c>
      <c r="F1659">
        <v>5</v>
      </c>
      <c r="G1659" s="1" t="s">
        <v>23</v>
      </c>
      <c r="H1659">
        <v>41535.714285714283</v>
      </c>
      <c r="J1659">
        <v>41250</v>
      </c>
      <c r="K1659">
        <v>41250</v>
      </c>
      <c r="L1659">
        <v>43650</v>
      </c>
      <c r="M1659">
        <v>0</v>
      </c>
      <c r="N1659">
        <v>129.80709999999999</v>
      </c>
      <c r="O1659">
        <v>-0.48116030500000001</v>
      </c>
      <c r="P1659">
        <v>16245.099609999999</v>
      </c>
      <c r="Q1659">
        <v>26.72</v>
      </c>
      <c r="R1659">
        <v>12.35</v>
      </c>
      <c r="S1659">
        <v>82.69</v>
      </c>
      <c r="T1659">
        <v>22</v>
      </c>
      <c r="U1659" s="1" t="s">
        <v>24</v>
      </c>
      <c r="V1659">
        <v>-1.2</v>
      </c>
    </row>
    <row r="1660" spans="1:22" x14ac:dyDescent="0.3">
      <c r="A1660" s="2">
        <v>45711</v>
      </c>
      <c r="B1660">
        <v>41250</v>
      </c>
      <c r="C1660">
        <v>1880</v>
      </c>
      <c r="D1660">
        <v>2</v>
      </c>
      <c r="E1660" s="1" t="s">
        <v>22</v>
      </c>
      <c r="F1660">
        <v>6</v>
      </c>
      <c r="G1660" s="1" t="s">
        <v>23</v>
      </c>
      <c r="H1660">
        <v>41535.714285714283</v>
      </c>
      <c r="J1660">
        <v>41250</v>
      </c>
      <c r="K1660">
        <v>41250</v>
      </c>
      <c r="L1660">
        <v>43400</v>
      </c>
      <c r="M1660">
        <v>0</v>
      </c>
      <c r="N1660">
        <v>129.80709999999999</v>
      </c>
      <c r="O1660">
        <v>-0.48116030500000001</v>
      </c>
      <c r="P1660">
        <v>16245.099609999999</v>
      </c>
      <c r="Q1660">
        <v>26.71</v>
      </c>
      <c r="R1660">
        <v>9.3699999999999992</v>
      </c>
      <c r="S1660">
        <v>84.58</v>
      </c>
      <c r="T1660">
        <v>23</v>
      </c>
      <c r="U1660" s="1" t="s">
        <v>24</v>
      </c>
      <c r="V1660">
        <v>-1.2</v>
      </c>
    </row>
    <row r="1661" spans="1:22" x14ac:dyDescent="0.3">
      <c r="A1661" s="2">
        <v>45712</v>
      </c>
      <c r="B1661">
        <v>42750</v>
      </c>
      <c r="C1661">
        <v>1881</v>
      </c>
      <c r="D1661">
        <v>2</v>
      </c>
      <c r="E1661" s="1" t="s">
        <v>22</v>
      </c>
      <c r="F1661">
        <v>0</v>
      </c>
      <c r="G1661" s="1" t="s">
        <v>23</v>
      </c>
      <c r="H1661">
        <v>41678.571428571428</v>
      </c>
      <c r="J1661">
        <v>41250</v>
      </c>
      <c r="K1661">
        <v>41750</v>
      </c>
      <c r="M1661">
        <v>1500</v>
      </c>
      <c r="N1661">
        <v>129.80709999999999</v>
      </c>
      <c r="O1661">
        <v>-0.48116030500000001</v>
      </c>
      <c r="P1661">
        <v>16278</v>
      </c>
      <c r="Q1661">
        <v>26.72</v>
      </c>
      <c r="R1661">
        <v>4.9400000000000004</v>
      </c>
      <c r="S1661">
        <v>84.88</v>
      </c>
      <c r="T1661">
        <v>24</v>
      </c>
      <c r="U1661" s="1" t="s">
        <v>31</v>
      </c>
      <c r="V1661">
        <v>3.64</v>
      </c>
    </row>
    <row r="1662" spans="1:22" x14ac:dyDescent="0.3">
      <c r="A1662" s="2">
        <v>45713</v>
      </c>
      <c r="B1662">
        <v>44000</v>
      </c>
      <c r="C1662">
        <v>1882</v>
      </c>
      <c r="D1662">
        <v>2</v>
      </c>
      <c r="E1662" s="1" t="s">
        <v>22</v>
      </c>
      <c r="F1662">
        <v>1</v>
      </c>
      <c r="G1662" s="1" t="s">
        <v>23</v>
      </c>
      <c r="H1662">
        <v>42000</v>
      </c>
      <c r="I1662">
        <v>41600</v>
      </c>
      <c r="J1662">
        <v>42750</v>
      </c>
      <c r="K1662">
        <v>41750</v>
      </c>
      <c r="M1662">
        <v>1250</v>
      </c>
      <c r="N1662">
        <v>129.80709999999999</v>
      </c>
      <c r="O1662">
        <v>-0.48116030500000001</v>
      </c>
      <c r="P1662">
        <v>16279.299800000001</v>
      </c>
      <c r="Q1662">
        <v>26.29</v>
      </c>
      <c r="R1662">
        <v>4.43</v>
      </c>
      <c r="S1662">
        <v>85.44</v>
      </c>
      <c r="T1662">
        <v>25</v>
      </c>
      <c r="U1662" s="1" t="s">
        <v>36</v>
      </c>
      <c r="V1662">
        <v>2.92</v>
      </c>
    </row>
    <row r="1663" spans="1:22" x14ac:dyDescent="0.3">
      <c r="A1663" s="2">
        <v>45714</v>
      </c>
      <c r="B1663">
        <v>44650</v>
      </c>
      <c r="C1663">
        <v>1883</v>
      </c>
      <c r="D1663">
        <v>2</v>
      </c>
      <c r="E1663" s="1" t="s">
        <v>22</v>
      </c>
      <c r="F1663">
        <v>2</v>
      </c>
      <c r="G1663" s="1" t="s">
        <v>23</v>
      </c>
      <c r="H1663">
        <v>42414.285714285717</v>
      </c>
      <c r="I1663">
        <v>41641.666666666664</v>
      </c>
      <c r="J1663">
        <v>44000</v>
      </c>
      <c r="K1663">
        <v>41750</v>
      </c>
      <c r="L1663">
        <v>43400</v>
      </c>
      <c r="M1663">
        <v>650</v>
      </c>
      <c r="N1663">
        <v>129.80709999999999</v>
      </c>
      <c r="O1663">
        <v>-0.48116030500000001</v>
      </c>
      <c r="P1663">
        <v>16314</v>
      </c>
      <c r="Q1663">
        <v>26.99</v>
      </c>
      <c r="R1663">
        <v>2.58</v>
      </c>
      <c r="S1663">
        <v>82.15</v>
      </c>
      <c r="T1663">
        <v>26</v>
      </c>
      <c r="U1663" s="1" t="s">
        <v>73</v>
      </c>
      <c r="V1663">
        <v>1.48</v>
      </c>
    </row>
    <row r="1664" spans="1:22" x14ac:dyDescent="0.3">
      <c r="A1664" s="2">
        <v>45715</v>
      </c>
      <c r="B1664">
        <v>44650</v>
      </c>
      <c r="C1664">
        <v>1884</v>
      </c>
      <c r="D1664">
        <v>2</v>
      </c>
      <c r="E1664" s="1" t="s">
        <v>22</v>
      </c>
      <c r="F1664">
        <v>3</v>
      </c>
      <c r="G1664" s="1" t="s">
        <v>23</v>
      </c>
      <c r="H1664">
        <v>42828.571428571428</v>
      </c>
      <c r="I1664">
        <v>41683.333333333336</v>
      </c>
      <c r="J1664">
        <v>44650</v>
      </c>
      <c r="K1664">
        <v>41750</v>
      </c>
      <c r="L1664">
        <v>43400</v>
      </c>
      <c r="M1664">
        <v>0</v>
      </c>
      <c r="N1664">
        <v>129.80709999999999</v>
      </c>
      <c r="O1664">
        <v>-0.48116030500000001</v>
      </c>
      <c r="P1664">
        <v>16367.400390000001</v>
      </c>
      <c r="Q1664">
        <v>27.18</v>
      </c>
      <c r="R1664">
        <v>34.520000000000003</v>
      </c>
      <c r="S1664">
        <v>81.48</v>
      </c>
      <c r="T1664">
        <v>27</v>
      </c>
      <c r="U1664" s="1" t="s">
        <v>25</v>
      </c>
      <c r="V1664">
        <v>0</v>
      </c>
    </row>
    <row r="1665" spans="1:22" x14ac:dyDescent="0.3">
      <c r="A1665" s="2">
        <v>45716</v>
      </c>
      <c r="B1665">
        <v>45150</v>
      </c>
      <c r="C1665">
        <v>1885</v>
      </c>
      <c r="D1665">
        <v>2</v>
      </c>
      <c r="E1665" s="1" t="s">
        <v>22</v>
      </c>
      <c r="F1665">
        <v>4</v>
      </c>
      <c r="G1665" s="1" t="s">
        <v>23</v>
      </c>
      <c r="H1665">
        <v>43385.714285714283</v>
      </c>
      <c r="I1665">
        <v>41741.666666666664</v>
      </c>
      <c r="J1665">
        <v>44650</v>
      </c>
      <c r="K1665">
        <v>41250</v>
      </c>
      <c r="L1665">
        <v>43400</v>
      </c>
      <c r="M1665">
        <v>500</v>
      </c>
      <c r="N1665">
        <v>129.80709999999999</v>
      </c>
      <c r="O1665">
        <v>-0.48116030500000001</v>
      </c>
      <c r="P1665">
        <v>16553.699219999999</v>
      </c>
      <c r="Q1665">
        <v>26.52</v>
      </c>
      <c r="R1665">
        <v>12.58</v>
      </c>
      <c r="S1665">
        <v>83.96</v>
      </c>
      <c r="T1665">
        <v>28</v>
      </c>
      <c r="U1665" s="1" t="s">
        <v>26</v>
      </c>
      <c r="V1665">
        <v>1.1200000000000001</v>
      </c>
    </row>
    <row r="1666" spans="1:22" x14ac:dyDescent="0.3">
      <c r="A1666" s="2">
        <v>45717</v>
      </c>
      <c r="B1666">
        <v>45150</v>
      </c>
      <c r="C1666">
        <v>1886</v>
      </c>
      <c r="D1666">
        <v>3</v>
      </c>
      <c r="E1666" s="1" t="s">
        <v>22</v>
      </c>
      <c r="F1666">
        <v>5</v>
      </c>
      <c r="G1666" s="1" t="s">
        <v>23</v>
      </c>
      <c r="H1666">
        <v>43942.857142857145</v>
      </c>
      <c r="I1666">
        <v>41841.666666666664</v>
      </c>
      <c r="J1666">
        <v>45150</v>
      </c>
      <c r="K1666">
        <v>41250</v>
      </c>
      <c r="L1666">
        <v>42150</v>
      </c>
      <c r="M1666">
        <v>0</v>
      </c>
      <c r="N1666">
        <v>131.94839999999999</v>
      </c>
      <c r="O1666">
        <v>1.6496016010000001</v>
      </c>
      <c r="P1666">
        <v>16553.699219999999</v>
      </c>
      <c r="Q1666">
        <v>26.88</v>
      </c>
      <c r="R1666">
        <v>5.28</v>
      </c>
      <c r="S1666">
        <v>81.28</v>
      </c>
      <c r="T1666">
        <v>1</v>
      </c>
      <c r="U1666" s="1" t="s">
        <v>26</v>
      </c>
      <c r="V1666">
        <v>1.1200000000000001</v>
      </c>
    </row>
    <row r="1667" spans="1:22" x14ac:dyDescent="0.3">
      <c r="A1667" s="2">
        <v>45718</v>
      </c>
      <c r="B1667">
        <v>45150</v>
      </c>
      <c r="C1667">
        <v>1887</v>
      </c>
      <c r="D1667">
        <v>3</v>
      </c>
      <c r="E1667" s="1" t="s">
        <v>22</v>
      </c>
      <c r="F1667">
        <v>6</v>
      </c>
      <c r="G1667" s="1" t="s">
        <v>23</v>
      </c>
      <c r="H1667">
        <v>44500</v>
      </c>
      <c r="I1667">
        <v>41941.666666666664</v>
      </c>
      <c r="J1667">
        <v>45150</v>
      </c>
      <c r="K1667">
        <v>41250</v>
      </c>
      <c r="L1667">
        <v>42150</v>
      </c>
      <c r="M1667">
        <v>0</v>
      </c>
      <c r="N1667">
        <v>131.94839999999999</v>
      </c>
      <c r="O1667">
        <v>1.6496016010000001</v>
      </c>
      <c r="P1667">
        <v>16553.699219999999</v>
      </c>
      <c r="Q1667">
        <v>27.75</v>
      </c>
      <c r="R1667">
        <v>2.84</v>
      </c>
      <c r="S1667">
        <v>79.34</v>
      </c>
      <c r="T1667">
        <v>2</v>
      </c>
      <c r="U1667" s="1" t="s">
        <v>26</v>
      </c>
      <c r="V1667">
        <v>1.1200000000000001</v>
      </c>
    </row>
    <row r="1668" spans="1:22" x14ac:dyDescent="0.3">
      <c r="A1668" s="2">
        <v>45719</v>
      </c>
      <c r="B1668">
        <v>45650</v>
      </c>
      <c r="C1668">
        <v>1888</v>
      </c>
      <c r="D1668">
        <v>3</v>
      </c>
      <c r="E1668" s="1" t="s">
        <v>22</v>
      </c>
      <c r="F1668">
        <v>0</v>
      </c>
      <c r="G1668" s="1" t="s">
        <v>23</v>
      </c>
      <c r="H1668">
        <v>44914.285714285717</v>
      </c>
      <c r="I1668">
        <v>42058.333333333336</v>
      </c>
      <c r="J1668">
        <v>45150</v>
      </c>
      <c r="K1668">
        <v>42750</v>
      </c>
      <c r="L1668">
        <v>42150</v>
      </c>
      <c r="M1668">
        <v>500</v>
      </c>
      <c r="N1668">
        <v>131.94839999999999</v>
      </c>
      <c r="O1668">
        <v>1.6496016010000001</v>
      </c>
      <c r="P1668">
        <v>16522</v>
      </c>
      <c r="Q1668">
        <v>27.42</v>
      </c>
      <c r="R1668">
        <v>0.95</v>
      </c>
      <c r="S1668">
        <v>81.709999999999994</v>
      </c>
      <c r="T1668">
        <v>3</v>
      </c>
      <c r="U1668" s="1"/>
      <c r="V1668">
        <v>0</v>
      </c>
    </row>
    <row r="1669" spans="1:22" x14ac:dyDescent="0.3">
      <c r="A1669" s="2">
        <v>45720</v>
      </c>
      <c r="B1669">
        <v>46250</v>
      </c>
      <c r="C1669">
        <v>1889</v>
      </c>
      <c r="D1669">
        <v>3</v>
      </c>
      <c r="E1669" s="1" t="s">
        <v>22</v>
      </c>
      <c r="F1669">
        <v>1</v>
      </c>
      <c r="G1669" s="1" t="s">
        <v>23</v>
      </c>
      <c r="H1669">
        <v>45235.714285714283</v>
      </c>
      <c r="I1669">
        <v>42195</v>
      </c>
      <c r="J1669">
        <v>45650</v>
      </c>
      <c r="K1669">
        <v>44000</v>
      </c>
      <c r="L1669">
        <v>42150</v>
      </c>
      <c r="M1669">
        <v>600</v>
      </c>
      <c r="N1669">
        <v>131.94839999999999</v>
      </c>
      <c r="O1669">
        <v>1.6496016010000001</v>
      </c>
      <c r="P1669">
        <v>16451.199219999999</v>
      </c>
      <c r="Q1669">
        <v>27.39</v>
      </c>
      <c r="R1669">
        <v>4.72</v>
      </c>
      <c r="S1669">
        <v>83.9</v>
      </c>
      <c r="T1669">
        <v>4</v>
      </c>
      <c r="U1669" s="1" t="s">
        <v>64</v>
      </c>
      <c r="V1669">
        <v>1.31</v>
      </c>
    </row>
    <row r="1670" spans="1:22" x14ac:dyDescent="0.3">
      <c r="A1670" s="2">
        <v>45721</v>
      </c>
      <c r="B1670">
        <v>46500</v>
      </c>
      <c r="C1670">
        <v>1890</v>
      </c>
      <c r="D1670">
        <v>3</v>
      </c>
      <c r="E1670" s="1" t="s">
        <v>22</v>
      </c>
      <c r="F1670">
        <v>2</v>
      </c>
      <c r="G1670" s="1" t="s">
        <v>23</v>
      </c>
      <c r="H1670">
        <v>45500</v>
      </c>
      <c r="I1670">
        <v>42406.666666666664</v>
      </c>
      <c r="J1670">
        <v>46250</v>
      </c>
      <c r="K1670">
        <v>44650</v>
      </c>
      <c r="L1670">
        <v>40150</v>
      </c>
      <c r="M1670">
        <v>250</v>
      </c>
      <c r="N1670">
        <v>131.94839999999999</v>
      </c>
      <c r="O1670">
        <v>1.6496016010000001</v>
      </c>
      <c r="P1670">
        <v>16379</v>
      </c>
      <c r="Q1670">
        <v>27.29</v>
      </c>
      <c r="R1670">
        <v>7.97</v>
      </c>
      <c r="S1670">
        <v>86.01</v>
      </c>
      <c r="T1670">
        <v>5</v>
      </c>
      <c r="U1670" s="1" t="s">
        <v>34</v>
      </c>
      <c r="V1670">
        <v>0.54</v>
      </c>
    </row>
    <row r="1671" spans="1:22" x14ac:dyDescent="0.3">
      <c r="A1671" s="2">
        <v>45722</v>
      </c>
      <c r="B1671">
        <v>45900</v>
      </c>
      <c r="C1671">
        <v>1891</v>
      </c>
      <c r="D1671">
        <v>3</v>
      </c>
      <c r="E1671" s="1" t="s">
        <v>22</v>
      </c>
      <c r="F1671">
        <v>3</v>
      </c>
      <c r="G1671" s="1" t="s">
        <v>23</v>
      </c>
      <c r="H1671">
        <v>45678.571428571428</v>
      </c>
      <c r="I1671">
        <v>42606.666666666664</v>
      </c>
      <c r="J1671">
        <v>46500</v>
      </c>
      <c r="K1671">
        <v>44650</v>
      </c>
      <c r="L1671">
        <v>39900</v>
      </c>
      <c r="M1671">
        <v>-600</v>
      </c>
      <c r="N1671">
        <v>131.94839999999999</v>
      </c>
      <c r="O1671">
        <v>1.6496016010000001</v>
      </c>
      <c r="P1671">
        <v>16268.900390000001</v>
      </c>
      <c r="Q1671">
        <v>26.41</v>
      </c>
      <c r="R1671">
        <v>23.1</v>
      </c>
      <c r="S1671">
        <v>87.38</v>
      </c>
      <c r="T1671">
        <v>6</v>
      </c>
      <c r="U1671" s="1" t="s">
        <v>62</v>
      </c>
      <c r="V1671">
        <v>-1.29</v>
      </c>
    </row>
    <row r="1672" spans="1:22" x14ac:dyDescent="0.3">
      <c r="A1672" s="2">
        <v>45723</v>
      </c>
      <c r="B1672">
        <v>45900</v>
      </c>
      <c r="C1672">
        <v>1892</v>
      </c>
      <c r="D1672">
        <v>3</v>
      </c>
      <c r="E1672" s="1" t="s">
        <v>22</v>
      </c>
      <c r="F1672">
        <v>4</v>
      </c>
      <c r="G1672" s="1" t="s">
        <v>23</v>
      </c>
      <c r="H1672">
        <v>45785.714285714283</v>
      </c>
      <c r="I1672">
        <v>42806.666666666664</v>
      </c>
      <c r="J1672">
        <v>45900</v>
      </c>
      <c r="K1672">
        <v>45150</v>
      </c>
      <c r="L1672">
        <v>39900</v>
      </c>
      <c r="M1672">
        <v>0</v>
      </c>
      <c r="N1672">
        <v>131.94839999999999</v>
      </c>
      <c r="O1672">
        <v>1.6496016010000001</v>
      </c>
      <c r="P1672">
        <v>16322.099609999999</v>
      </c>
      <c r="Q1672">
        <v>26.77</v>
      </c>
      <c r="R1672">
        <v>4.38</v>
      </c>
      <c r="S1672">
        <v>84.85</v>
      </c>
      <c r="T1672">
        <v>7</v>
      </c>
      <c r="U1672" s="1" t="s">
        <v>25</v>
      </c>
      <c r="V1672">
        <v>0</v>
      </c>
    </row>
    <row r="1673" spans="1:22" x14ac:dyDescent="0.3">
      <c r="A1673" s="2">
        <v>45724</v>
      </c>
      <c r="B1673">
        <v>45900</v>
      </c>
      <c r="C1673">
        <v>1893</v>
      </c>
      <c r="D1673">
        <v>3</v>
      </c>
      <c r="E1673" s="1" t="s">
        <v>22</v>
      </c>
      <c r="F1673">
        <v>5</v>
      </c>
      <c r="G1673" s="1" t="s">
        <v>23</v>
      </c>
      <c r="H1673">
        <v>45892.857142857145</v>
      </c>
      <c r="I1673">
        <v>42978.333333333336</v>
      </c>
      <c r="J1673">
        <v>45900</v>
      </c>
      <c r="K1673">
        <v>45150</v>
      </c>
      <c r="L1673">
        <v>40750</v>
      </c>
      <c r="M1673">
        <v>0</v>
      </c>
      <c r="N1673">
        <v>131.94839999999999</v>
      </c>
      <c r="O1673">
        <v>1.6496016010000001</v>
      </c>
      <c r="P1673">
        <v>16322.099609999999</v>
      </c>
      <c r="Q1673">
        <v>26.12</v>
      </c>
      <c r="R1673">
        <v>29.05</v>
      </c>
      <c r="S1673">
        <v>87.18</v>
      </c>
      <c r="T1673">
        <v>8</v>
      </c>
      <c r="U1673" s="1" t="s">
        <v>25</v>
      </c>
      <c r="V1673">
        <v>0</v>
      </c>
    </row>
    <row r="1674" spans="1:22" x14ac:dyDescent="0.3">
      <c r="A1674" s="2">
        <v>45725</v>
      </c>
      <c r="B1674">
        <v>45900</v>
      </c>
      <c r="C1674">
        <v>1894</v>
      </c>
      <c r="D1674">
        <v>3</v>
      </c>
      <c r="E1674" s="1" t="s">
        <v>22</v>
      </c>
      <c r="F1674">
        <v>6</v>
      </c>
      <c r="G1674" s="1" t="s">
        <v>23</v>
      </c>
      <c r="H1674">
        <v>46000</v>
      </c>
      <c r="I1674">
        <v>43150</v>
      </c>
      <c r="J1674">
        <v>45900</v>
      </c>
      <c r="K1674">
        <v>45150</v>
      </c>
      <c r="L1674">
        <v>40750</v>
      </c>
      <c r="M1674">
        <v>0</v>
      </c>
      <c r="N1674">
        <v>131.94839999999999</v>
      </c>
      <c r="O1674">
        <v>1.6496016010000001</v>
      </c>
      <c r="P1674">
        <v>16322.099609999999</v>
      </c>
      <c r="Q1674">
        <v>26.17</v>
      </c>
      <c r="R1674">
        <v>17.649999999999999</v>
      </c>
      <c r="S1674">
        <v>85.45</v>
      </c>
      <c r="T1674">
        <v>9</v>
      </c>
      <c r="U1674" s="1" t="s">
        <v>25</v>
      </c>
      <c r="V1674">
        <v>0</v>
      </c>
    </row>
    <row r="1675" spans="1:22" x14ac:dyDescent="0.3">
      <c r="A1675" s="2">
        <v>45726</v>
      </c>
      <c r="B1675">
        <v>46400</v>
      </c>
      <c r="C1675">
        <v>1895</v>
      </c>
      <c r="D1675">
        <v>3</v>
      </c>
      <c r="E1675" s="1" t="s">
        <v>22</v>
      </c>
      <c r="F1675">
        <v>0</v>
      </c>
      <c r="G1675" s="1" t="s">
        <v>23</v>
      </c>
      <c r="H1675">
        <v>46107.142857142855</v>
      </c>
      <c r="I1675">
        <v>43338.333333333336</v>
      </c>
      <c r="J1675">
        <v>45900</v>
      </c>
      <c r="K1675">
        <v>45650</v>
      </c>
      <c r="L1675">
        <v>40750</v>
      </c>
      <c r="M1675">
        <v>500</v>
      </c>
      <c r="N1675">
        <v>131.94839999999999</v>
      </c>
      <c r="O1675">
        <v>1.6496016010000001</v>
      </c>
      <c r="P1675">
        <v>16292.599609999999</v>
      </c>
      <c r="Q1675">
        <v>26.73</v>
      </c>
      <c r="R1675">
        <v>2.2799999999999998</v>
      </c>
      <c r="S1675">
        <v>84.07</v>
      </c>
      <c r="T1675">
        <v>10</v>
      </c>
      <c r="U1675" s="1" t="s">
        <v>26</v>
      </c>
      <c r="V1675">
        <v>1.0900000000000001</v>
      </c>
    </row>
    <row r="1676" spans="1:22" x14ac:dyDescent="0.3">
      <c r="A1676" s="2">
        <v>45727</v>
      </c>
      <c r="B1676">
        <v>46250</v>
      </c>
      <c r="C1676">
        <v>1896</v>
      </c>
      <c r="D1676">
        <v>3</v>
      </c>
      <c r="E1676" s="1" t="s">
        <v>22</v>
      </c>
      <c r="F1676">
        <v>1</v>
      </c>
      <c r="G1676" s="1" t="s">
        <v>23</v>
      </c>
      <c r="H1676">
        <v>46107.142857142855</v>
      </c>
      <c r="I1676">
        <v>43521.666666666664</v>
      </c>
      <c r="J1676">
        <v>46400</v>
      </c>
      <c r="K1676">
        <v>46250</v>
      </c>
      <c r="L1676">
        <v>40750</v>
      </c>
      <c r="M1676">
        <v>-150</v>
      </c>
      <c r="N1676">
        <v>131.94839999999999</v>
      </c>
      <c r="O1676">
        <v>1.6496016010000001</v>
      </c>
      <c r="P1676">
        <v>16324</v>
      </c>
      <c r="Q1676">
        <v>27.2</v>
      </c>
      <c r="R1676">
        <v>3.98</v>
      </c>
      <c r="S1676">
        <v>83.87</v>
      </c>
      <c r="T1676">
        <v>11</v>
      </c>
      <c r="U1676" s="1" t="s">
        <v>101</v>
      </c>
      <c r="V1676">
        <v>-0.32</v>
      </c>
    </row>
    <row r="1677" spans="1:22" x14ac:dyDescent="0.3">
      <c r="A1677" s="2">
        <v>45728</v>
      </c>
      <c r="B1677">
        <v>46250</v>
      </c>
      <c r="C1677">
        <v>1897</v>
      </c>
      <c r="D1677">
        <v>3</v>
      </c>
      <c r="E1677" s="1" t="s">
        <v>22</v>
      </c>
      <c r="F1677">
        <v>2</v>
      </c>
      <c r="G1677" s="1" t="s">
        <v>23</v>
      </c>
      <c r="H1677">
        <v>46071.428571428572</v>
      </c>
      <c r="I1677">
        <v>43688.333333333336</v>
      </c>
      <c r="J1677">
        <v>46250</v>
      </c>
      <c r="K1677">
        <v>46500</v>
      </c>
      <c r="L1677">
        <v>41250</v>
      </c>
      <c r="M1677">
        <v>0</v>
      </c>
      <c r="N1677">
        <v>131.94839999999999</v>
      </c>
      <c r="O1677">
        <v>1.6496016010000001</v>
      </c>
      <c r="P1677">
        <v>16433.900389999999</v>
      </c>
      <c r="Q1677">
        <v>27.1</v>
      </c>
      <c r="R1677">
        <v>4.7300000000000004</v>
      </c>
      <c r="S1677">
        <v>83.43</v>
      </c>
      <c r="T1677">
        <v>12</v>
      </c>
      <c r="U1677" s="1" t="s">
        <v>25</v>
      </c>
      <c r="V1677">
        <v>0</v>
      </c>
    </row>
    <row r="1678" spans="1:22" x14ac:dyDescent="0.3">
      <c r="A1678" s="2">
        <v>45729</v>
      </c>
      <c r="B1678">
        <v>46500</v>
      </c>
      <c r="C1678">
        <v>1898</v>
      </c>
      <c r="D1678">
        <v>3</v>
      </c>
      <c r="E1678" s="1" t="s">
        <v>22</v>
      </c>
      <c r="F1678">
        <v>3</v>
      </c>
      <c r="G1678" s="1" t="s">
        <v>23</v>
      </c>
      <c r="H1678">
        <v>46157.142857142855</v>
      </c>
      <c r="I1678">
        <v>43863.333333333336</v>
      </c>
      <c r="J1678">
        <v>46250</v>
      </c>
      <c r="K1678">
        <v>45900</v>
      </c>
      <c r="L1678">
        <v>41250</v>
      </c>
      <c r="M1678">
        <v>250</v>
      </c>
      <c r="N1678">
        <v>131.94839999999999</v>
      </c>
      <c r="O1678">
        <v>1.6496016010000001</v>
      </c>
      <c r="P1678">
        <v>16305.599609999999</v>
      </c>
      <c r="Q1678">
        <v>27.06</v>
      </c>
      <c r="R1678">
        <v>5.15</v>
      </c>
      <c r="S1678">
        <v>86.47</v>
      </c>
      <c r="T1678">
        <v>13</v>
      </c>
      <c r="U1678" s="1" t="s">
        <v>34</v>
      </c>
      <c r="V1678">
        <v>0.54</v>
      </c>
    </row>
    <row r="1679" spans="1:22" x14ac:dyDescent="0.3">
      <c r="A1679" s="2">
        <v>45730</v>
      </c>
      <c r="B1679">
        <v>46250</v>
      </c>
      <c r="C1679">
        <v>1899</v>
      </c>
      <c r="D1679">
        <v>3</v>
      </c>
      <c r="E1679" s="1" t="s">
        <v>22</v>
      </c>
      <c r="F1679">
        <v>4</v>
      </c>
      <c r="G1679" s="1" t="s">
        <v>23</v>
      </c>
      <c r="H1679">
        <v>46207.142857142855</v>
      </c>
      <c r="I1679">
        <v>44030</v>
      </c>
      <c r="J1679">
        <v>46500</v>
      </c>
      <c r="K1679">
        <v>45900</v>
      </c>
      <c r="L1679">
        <v>41250</v>
      </c>
      <c r="M1679">
        <v>-250</v>
      </c>
      <c r="N1679">
        <v>131.94839999999999</v>
      </c>
      <c r="O1679">
        <v>1.6496016010000001</v>
      </c>
      <c r="P1679">
        <v>16259.299800000001</v>
      </c>
      <c r="Q1679">
        <v>27.71</v>
      </c>
      <c r="R1679">
        <v>17.16</v>
      </c>
      <c r="S1679">
        <v>81.34</v>
      </c>
      <c r="T1679">
        <v>14</v>
      </c>
      <c r="U1679" s="1" t="s">
        <v>35</v>
      </c>
      <c r="V1679">
        <v>-0.54</v>
      </c>
    </row>
    <row r="1680" spans="1:22" x14ac:dyDescent="0.3">
      <c r="A1680" s="2">
        <v>45731</v>
      </c>
      <c r="B1680">
        <v>46250</v>
      </c>
      <c r="C1680">
        <v>1900</v>
      </c>
      <c r="D1680">
        <v>3</v>
      </c>
      <c r="E1680" s="1" t="s">
        <v>22</v>
      </c>
      <c r="F1680">
        <v>5</v>
      </c>
      <c r="G1680" s="1" t="s">
        <v>23</v>
      </c>
      <c r="H1680">
        <v>46257.142857142855</v>
      </c>
      <c r="I1680">
        <v>44196.666666666664</v>
      </c>
      <c r="J1680">
        <v>46250</v>
      </c>
      <c r="K1680">
        <v>45900</v>
      </c>
      <c r="L1680">
        <v>41250</v>
      </c>
      <c r="M1680">
        <v>0</v>
      </c>
      <c r="N1680">
        <v>131.94839999999999</v>
      </c>
      <c r="O1680">
        <v>1.6496016010000001</v>
      </c>
      <c r="P1680">
        <v>16259.299800000001</v>
      </c>
      <c r="Q1680">
        <v>27.26</v>
      </c>
      <c r="R1680">
        <v>3.65</v>
      </c>
      <c r="S1680">
        <v>82.33</v>
      </c>
      <c r="T1680">
        <v>15</v>
      </c>
      <c r="U1680" s="1" t="s">
        <v>35</v>
      </c>
      <c r="V1680">
        <v>-0.54</v>
      </c>
    </row>
    <row r="1681" spans="1:22" x14ac:dyDescent="0.3">
      <c r="A1681" s="2">
        <v>45732</v>
      </c>
      <c r="B1681">
        <v>46250</v>
      </c>
      <c r="C1681">
        <v>1901</v>
      </c>
      <c r="D1681">
        <v>3</v>
      </c>
      <c r="E1681" s="1" t="s">
        <v>22</v>
      </c>
      <c r="F1681">
        <v>6</v>
      </c>
      <c r="G1681" s="1" t="s">
        <v>23</v>
      </c>
      <c r="H1681">
        <v>46307.142857142855</v>
      </c>
      <c r="I1681">
        <v>44363.333333333336</v>
      </c>
      <c r="J1681">
        <v>46250</v>
      </c>
      <c r="K1681">
        <v>45900</v>
      </c>
      <c r="L1681">
        <v>41250</v>
      </c>
      <c r="M1681">
        <v>0</v>
      </c>
      <c r="N1681">
        <v>131.94839999999999</v>
      </c>
      <c r="O1681">
        <v>1.6496016010000001</v>
      </c>
      <c r="P1681">
        <v>16259.299800000001</v>
      </c>
      <c r="Q1681">
        <v>26.72</v>
      </c>
      <c r="R1681">
        <v>13.73</v>
      </c>
      <c r="S1681">
        <v>84.02</v>
      </c>
      <c r="T1681">
        <v>16</v>
      </c>
      <c r="U1681" s="1" t="s">
        <v>35</v>
      </c>
      <c r="V1681">
        <v>-0.54</v>
      </c>
    </row>
    <row r="1682" spans="1:22" x14ac:dyDescent="0.3">
      <c r="A1682" s="2">
        <v>45733</v>
      </c>
      <c r="B1682">
        <v>46000</v>
      </c>
      <c r="C1682">
        <v>1902</v>
      </c>
      <c r="D1682">
        <v>3</v>
      </c>
      <c r="E1682" s="1" t="s">
        <v>22</v>
      </c>
      <c r="F1682">
        <v>0</v>
      </c>
      <c r="G1682" s="1" t="s">
        <v>23</v>
      </c>
      <c r="H1682">
        <v>46250</v>
      </c>
      <c r="I1682">
        <v>44521.666666666664</v>
      </c>
      <c r="J1682">
        <v>46250</v>
      </c>
      <c r="K1682">
        <v>46400</v>
      </c>
      <c r="L1682">
        <v>41250</v>
      </c>
      <c r="M1682">
        <v>-250</v>
      </c>
      <c r="N1682">
        <v>131.94839999999999</v>
      </c>
      <c r="O1682">
        <v>1.6496016010000001</v>
      </c>
      <c r="P1682">
        <v>16321</v>
      </c>
      <c r="Q1682">
        <v>26.61</v>
      </c>
      <c r="R1682">
        <v>11</v>
      </c>
      <c r="S1682">
        <v>84.49</v>
      </c>
      <c r="T1682">
        <v>17</v>
      </c>
      <c r="U1682" s="1" t="s">
        <v>35</v>
      </c>
      <c r="V1682">
        <v>-0.54</v>
      </c>
    </row>
    <row r="1683" spans="1:22" x14ac:dyDescent="0.3">
      <c r="A1683" s="2">
        <v>45734</v>
      </c>
      <c r="B1683">
        <v>46400</v>
      </c>
      <c r="C1683">
        <v>1903</v>
      </c>
      <c r="D1683">
        <v>3</v>
      </c>
      <c r="E1683" s="1" t="s">
        <v>22</v>
      </c>
      <c r="F1683">
        <v>1</v>
      </c>
      <c r="G1683" s="1" t="s">
        <v>23</v>
      </c>
      <c r="H1683">
        <v>46271.428571428572</v>
      </c>
      <c r="I1683">
        <v>44693.333333333336</v>
      </c>
      <c r="J1683">
        <v>46000</v>
      </c>
      <c r="K1683">
        <v>46250</v>
      </c>
      <c r="L1683">
        <v>41250</v>
      </c>
      <c r="M1683">
        <v>400</v>
      </c>
      <c r="N1683">
        <v>131.94839999999999</v>
      </c>
      <c r="O1683">
        <v>1.6496016010000001</v>
      </c>
      <c r="P1683">
        <v>16370</v>
      </c>
      <c r="Q1683">
        <v>26.45</v>
      </c>
      <c r="R1683">
        <v>23.35</v>
      </c>
      <c r="S1683">
        <v>82.86</v>
      </c>
      <c r="T1683">
        <v>18</v>
      </c>
      <c r="U1683" s="1" t="s">
        <v>70</v>
      </c>
      <c r="V1683">
        <v>0.87</v>
      </c>
    </row>
    <row r="1684" spans="1:22" x14ac:dyDescent="0.3">
      <c r="A1684" s="2">
        <v>45735</v>
      </c>
      <c r="B1684">
        <v>46400</v>
      </c>
      <c r="C1684">
        <v>1904</v>
      </c>
      <c r="D1684">
        <v>3</v>
      </c>
      <c r="E1684" s="1" t="s">
        <v>22</v>
      </c>
      <c r="F1684">
        <v>2</v>
      </c>
      <c r="G1684" s="1" t="s">
        <v>23</v>
      </c>
      <c r="H1684">
        <v>46292.857142857145</v>
      </c>
      <c r="I1684">
        <v>44848.333333333336</v>
      </c>
      <c r="J1684">
        <v>46400</v>
      </c>
      <c r="K1684">
        <v>46250</v>
      </c>
      <c r="L1684">
        <v>41750</v>
      </c>
      <c r="M1684">
        <v>0</v>
      </c>
      <c r="N1684">
        <v>131.94839999999999</v>
      </c>
      <c r="O1684">
        <v>1.6496016010000001</v>
      </c>
      <c r="P1684">
        <v>16514.5</v>
      </c>
      <c r="Q1684">
        <v>26.61</v>
      </c>
      <c r="R1684">
        <v>6.31</v>
      </c>
      <c r="S1684">
        <v>84.1</v>
      </c>
      <c r="T1684">
        <v>19</v>
      </c>
      <c r="U1684" s="1" t="s">
        <v>25</v>
      </c>
      <c r="V1684">
        <v>0</v>
      </c>
    </row>
    <row r="1685" spans="1:22" x14ac:dyDescent="0.3">
      <c r="A1685" s="2">
        <v>45736</v>
      </c>
      <c r="B1685">
        <v>46400</v>
      </c>
      <c r="C1685">
        <v>1905</v>
      </c>
      <c r="D1685">
        <v>3</v>
      </c>
      <c r="E1685" s="1" t="s">
        <v>22</v>
      </c>
      <c r="F1685">
        <v>3</v>
      </c>
      <c r="G1685" s="1" t="s">
        <v>23</v>
      </c>
      <c r="H1685">
        <v>46278.571428571428</v>
      </c>
      <c r="I1685">
        <v>45003.333333333336</v>
      </c>
      <c r="J1685">
        <v>46400</v>
      </c>
      <c r="K1685">
        <v>46500</v>
      </c>
      <c r="L1685">
        <v>41750</v>
      </c>
      <c r="M1685">
        <v>0</v>
      </c>
      <c r="N1685">
        <v>131.94839999999999</v>
      </c>
      <c r="O1685">
        <v>1.6496016010000001</v>
      </c>
      <c r="P1685">
        <v>16330.299800000001</v>
      </c>
      <c r="Q1685">
        <v>26.6</v>
      </c>
      <c r="R1685">
        <v>12.22</v>
      </c>
      <c r="S1685">
        <v>87.03</v>
      </c>
      <c r="T1685">
        <v>20</v>
      </c>
      <c r="U1685" s="1" t="s">
        <v>25</v>
      </c>
      <c r="V1685">
        <v>0</v>
      </c>
    </row>
    <row r="1686" spans="1:22" x14ac:dyDescent="0.3">
      <c r="A1686" s="2">
        <v>45737</v>
      </c>
      <c r="B1686">
        <v>46400</v>
      </c>
      <c r="C1686">
        <v>1906</v>
      </c>
      <c r="D1686">
        <v>3</v>
      </c>
      <c r="E1686" s="1" t="s">
        <v>22</v>
      </c>
      <c r="F1686">
        <v>4</v>
      </c>
      <c r="G1686" s="1" t="s">
        <v>23</v>
      </c>
      <c r="H1686">
        <v>46300</v>
      </c>
      <c r="I1686">
        <v>45158.333333333336</v>
      </c>
      <c r="J1686">
        <v>46400</v>
      </c>
      <c r="K1686">
        <v>46250</v>
      </c>
      <c r="L1686">
        <v>41750</v>
      </c>
      <c r="M1686">
        <v>0</v>
      </c>
      <c r="N1686">
        <v>131.94839999999999</v>
      </c>
      <c r="O1686">
        <v>1.6496016010000001</v>
      </c>
      <c r="P1686">
        <v>16428.5</v>
      </c>
      <c r="Q1686">
        <v>26.71</v>
      </c>
      <c r="R1686">
        <v>50.68</v>
      </c>
      <c r="S1686">
        <v>89.57</v>
      </c>
      <c r="T1686">
        <v>21</v>
      </c>
      <c r="U1686" s="1" t="s">
        <v>25</v>
      </c>
      <c r="V1686">
        <v>0</v>
      </c>
    </row>
    <row r="1687" spans="1:22" x14ac:dyDescent="0.3">
      <c r="A1687" s="2">
        <v>45738</v>
      </c>
      <c r="B1687">
        <v>46400</v>
      </c>
      <c r="C1687">
        <v>1907</v>
      </c>
      <c r="D1687">
        <v>3</v>
      </c>
      <c r="E1687" s="1" t="s">
        <v>22</v>
      </c>
      <c r="F1687">
        <v>5</v>
      </c>
      <c r="G1687" s="1" t="s">
        <v>23</v>
      </c>
      <c r="H1687">
        <v>46321.428571428572</v>
      </c>
      <c r="I1687">
        <v>45313.333333333336</v>
      </c>
      <c r="J1687">
        <v>46400</v>
      </c>
      <c r="K1687">
        <v>46250</v>
      </c>
      <c r="L1687">
        <v>41750</v>
      </c>
      <c r="M1687">
        <v>0</v>
      </c>
      <c r="N1687">
        <v>131.94839999999999</v>
      </c>
      <c r="O1687">
        <v>1.6496016010000001</v>
      </c>
      <c r="P1687">
        <v>16428.5</v>
      </c>
      <c r="Q1687">
        <v>26.18</v>
      </c>
      <c r="R1687">
        <v>75.510000000000005</v>
      </c>
      <c r="S1687">
        <v>88.65</v>
      </c>
      <c r="T1687">
        <v>22</v>
      </c>
      <c r="U1687" s="1" t="s">
        <v>25</v>
      </c>
      <c r="V1687">
        <v>0</v>
      </c>
    </row>
    <row r="1688" spans="1:22" x14ac:dyDescent="0.3">
      <c r="A1688" s="2">
        <v>45739</v>
      </c>
      <c r="B1688">
        <v>46400</v>
      </c>
      <c r="C1688">
        <v>1908</v>
      </c>
      <c r="D1688">
        <v>3</v>
      </c>
      <c r="E1688" s="1" t="s">
        <v>22</v>
      </c>
      <c r="F1688">
        <v>6</v>
      </c>
      <c r="G1688" s="1" t="s">
        <v>23</v>
      </c>
      <c r="H1688">
        <v>46342.857142857145</v>
      </c>
      <c r="I1688">
        <v>45485</v>
      </c>
      <c r="J1688">
        <v>46400</v>
      </c>
      <c r="K1688">
        <v>46250</v>
      </c>
      <c r="L1688">
        <v>41250</v>
      </c>
      <c r="M1688">
        <v>0</v>
      </c>
      <c r="N1688">
        <v>131.94839999999999</v>
      </c>
      <c r="O1688">
        <v>1.6496016010000001</v>
      </c>
      <c r="P1688">
        <v>16428.5</v>
      </c>
      <c r="Q1688">
        <v>26.03</v>
      </c>
      <c r="R1688">
        <v>8.31</v>
      </c>
      <c r="S1688">
        <v>88.31</v>
      </c>
      <c r="T1688">
        <v>23</v>
      </c>
      <c r="U1688" s="1" t="s">
        <v>25</v>
      </c>
      <c r="V1688">
        <v>0</v>
      </c>
    </row>
    <row r="1689" spans="1:22" x14ac:dyDescent="0.3">
      <c r="A1689" s="2">
        <v>45740</v>
      </c>
      <c r="B1689">
        <v>48650</v>
      </c>
      <c r="C1689">
        <v>1909</v>
      </c>
      <c r="D1689">
        <v>3</v>
      </c>
      <c r="E1689" s="1" t="s">
        <v>22</v>
      </c>
      <c r="F1689">
        <v>0</v>
      </c>
      <c r="G1689" s="1" t="s">
        <v>23</v>
      </c>
      <c r="H1689">
        <v>46721.428571428572</v>
      </c>
      <c r="I1689">
        <v>45731.666666666664</v>
      </c>
      <c r="J1689">
        <v>46400</v>
      </c>
      <c r="K1689">
        <v>46000</v>
      </c>
      <c r="L1689">
        <v>41250</v>
      </c>
      <c r="M1689">
        <v>2250</v>
      </c>
      <c r="N1689">
        <v>131.94839999999999</v>
      </c>
      <c r="O1689">
        <v>1.6496016010000001</v>
      </c>
      <c r="P1689">
        <v>16519</v>
      </c>
      <c r="Q1689">
        <v>26.39</v>
      </c>
      <c r="R1689">
        <v>7.04</v>
      </c>
      <c r="S1689">
        <v>85.32</v>
      </c>
      <c r="T1689">
        <v>24</v>
      </c>
      <c r="U1689" s="1" t="s">
        <v>55</v>
      </c>
      <c r="V1689">
        <v>4.8499999999999996</v>
      </c>
    </row>
    <row r="1690" spans="1:22" x14ac:dyDescent="0.3">
      <c r="A1690" s="2">
        <v>45741</v>
      </c>
      <c r="B1690">
        <v>48650</v>
      </c>
      <c r="C1690">
        <v>1910</v>
      </c>
      <c r="D1690">
        <v>3</v>
      </c>
      <c r="E1690" s="1" t="s">
        <v>22</v>
      </c>
      <c r="F1690">
        <v>1</v>
      </c>
      <c r="G1690" s="1" t="s">
        <v>23</v>
      </c>
      <c r="H1690">
        <v>47042.857142857145</v>
      </c>
      <c r="I1690">
        <v>45978.333333333336</v>
      </c>
      <c r="J1690">
        <v>48650</v>
      </c>
      <c r="K1690">
        <v>46400</v>
      </c>
      <c r="L1690">
        <v>41250</v>
      </c>
      <c r="M1690">
        <v>0</v>
      </c>
      <c r="N1690">
        <v>131.94839999999999</v>
      </c>
      <c r="O1690">
        <v>1.6496016010000001</v>
      </c>
      <c r="P1690">
        <v>16575.800780000001</v>
      </c>
      <c r="Q1690">
        <v>27.08</v>
      </c>
      <c r="R1690">
        <v>3.2</v>
      </c>
      <c r="S1690">
        <v>81.19</v>
      </c>
      <c r="T1690">
        <v>25</v>
      </c>
      <c r="U1690" s="1" t="s">
        <v>25</v>
      </c>
      <c r="V1690">
        <v>0</v>
      </c>
    </row>
    <row r="1691" spans="1:22" x14ac:dyDescent="0.3">
      <c r="A1691" s="2">
        <v>45742</v>
      </c>
      <c r="B1691">
        <v>48650</v>
      </c>
      <c r="C1691">
        <v>1911</v>
      </c>
      <c r="D1691">
        <v>3</v>
      </c>
      <c r="E1691" s="1" t="s">
        <v>22</v>
      </c>
      <c r="F1691">
        <v>2</v>
      </c>
      <c r="G1691" s="1" t="s">
        <v>23</v>
      </c>
      <c r="H1691">
        <v>47364.285714285717</v>
      </c>
      <c r="I1691">
        <v>46175</v>
      </c>
      <c r="J1691">
        <v>48650</v>
      </c>
      <c r="K1691">
        <v>46400</v>
      </c>
      <c r="L1691">
        <v>42750</v>
      </c>
      <c r="M1691">
        <v>0</v>
      </c>
      <c r="N1691">
        <v>131.94839999999999</v>
      </c>
      <c r="O1691">
        <v>1.6496016010000001</v>
      </c>
      <c r="P1691">
        <v>16621</v>
      </c>
      <c r="Q1691">
        <v>27.49</v>
      </c>
      <c r="R1691">
        <v>1.77</v>
      </c>
      <c r="S1691">
        <v>78.84</v>
      </c>
      <c r="T1691">
        <v>26</v>
      </c>
      <c r="U1691" s="1" t="s">
        <v>25</v>
      </c>
      <c r="V1691">
        <v>0</v>
      </c>
    </row>
    <row r="1692" spans="1:22" x14ac:dyDescent="0.3">
      <c r="A1692" s="2">
        <v>45743</v>
      </c>
      <c r="B1692">
        <v>49500</v>
      </c>
      <c r="C1692">
        <v>1912</v>
      </c>
      <c r="D1692">
        <v>3</v>
      </c>
      <c r="E1692" s="1" t="s">
        <v>22</v>
      </c>
      <c r="F1692">
        <v>3</v>
      </c>
      <c r="G1692" s="1" t="s">
        <v>23</v>
      </c>
      <c r="H1692">
        <v>47807.142857142855</v>
      </c>
      <c r="I1692">
        <v>46358.333333333336</v>
      </c>
      <c r="J1692">
        <v>48650</v>
      </c>
      <c r="K1692">
        <v>46400</v>
      </c>
      <c r="L1692">
        <v>44000</v>
      </c>
      <c r="M1692">
        <v>850</v>
      </c>
      <c r="N1692">
        <v>131.94839999999999</v>
      </c>
      <c r="O1692">
        <v>1.6496016010000001</v>
      </c>
      <c r="P1692">
        <v>16629</v>
      </c>
      <c r="Q1692">
        <v>27.07</v>
      </c>
      <c r="R1692">
        <v>2.69</v>
      </c>
      <c r="S1692">
        <v>85.3</v>
      </c>
      <c r="T1692">
        <v>27</v>
      </c>
      <c r="U1692" s="1" t="s">
        <v>69</v>
      </c>
      <c r="V1692">
        <v>1.75</v>
      </c>
    </row>
    <row r="1693" spans="1:22" x14ac:dyDescent="0.3">
      <c r="A1693" s="2">
        <v>45744</v>
      </c>
      <c r="B1693">
        <v>49500</v>
      </c>
      <c r="C1693">
        <v>1913</v>
      </c>
      <c r="D1693">
        <v>3</v>
      </c>
      <c r="E1693" s="1" t="s">
        <v>22</v>
      </c>
      <c r="F1693">
        <v>4</v>
      </c>
      <c r="G1693" s="1" t="s">
        <v>23</v>
      </c>
      <c r="H1693">
        <v>48250</v>
      </c>
      <c r="I1693">
        <v>46520</v>
      </c>
      <c r="J1693">
        <v>49500</v>
      </c>
      <c r="K1693">
        <v>46400</v>
      </c>
      <c r="L1693">
        <v>44650</v>
      </c>
      <c r="M1693">
        <v>0</v>
      </c>
      <c r="N1693">
        <v>131.94839999999999</v>
      </c>
      <c r="O1693">
        <v>1.6496016010000001</v>
      </c>
      <c r="P1693">
        <v>16560.900389999999</v>
      </c>
      <c r="Q1693">
        <v>27.61</v>
      </c>
      <c r="R1693">
        <v>2.46</v>
      </c>
      <c r="S1693">
        <v>84.8</v>
      </c>
      <c r="T1693">
        <v>28</v>
      </c>
      <c r="U1693" s="1" t="s">
        <v>25</v>
      </c>
      <c r="V1693">
        <v>0</v>
      </c>
    </row>
    <row r="1694" spans="1:22" x14ac:dyDescent="0.3">
      <c r="A1694" s="2">
        <v>45745</v>
      </c>
      <c r="B1694">
        <v>49500</v>
      </c>
      <c r="C1694">
        <v>1914</v>
      </c>
      <c r="D1694">
        <v>3</v>
      </c>
      <c r="E1694" s="1" t="s">
        <v>22</v>
      </c>
      <c r="F1694">
        <v>5</v>
      </c>
      <c r="G1694" s="1" t="s">
        <v>23</v>
      </c>
      <c r="H1694">
        <v>48692.857142857145</v>
      </c>
      <c r="I1694">
        <v>46681.666666666664</v>
      </c>
      <c r="J1694">
        <v>49500</v>
      </c>
      <c r="K1694">
        <v>46400</v>
      </c>
      <c r="L1694">
        <v>44650</v>
      </c>
      <c r="M1694">
        <v>0</v>
      </c>
      <c r="N1694">
        <v>131.94839999999999</v>
      </c>
      <c r="O1694">
        <v>1.6496016010000001</v>
      </c>
      <c r="P1694">
        <v>16560.900389999999</v>
      </c>
      <c r="Q1694">
        <v>27.88</v>
      </c>
      <c r="R1694">
        <v>4.46</v>
      </c>
      <c r="S1694">
        <v>84.28</v>
      </c>
      <c r="T1694">
        <v>29</v>
      </c>
      <c r="U1694" s="1" t="s">
        <v>25</v>
      </c>
      <c r="V1694">
        <v>0</v>
      </c>
    </row>
    <row r="1695" spans="1:22" x14ac:dyDescent="0.3">
      <c r="A1695" s="2">
        <v>45746</v>
      </c>
      <c r="B1695">
        <v>49500</v>
      </c>
      <c r="C1695">
        <v>1915</v>
      </c>
      <c r="D1695">
        <v>3</v>
      </c>
      <c r="E1695" s="1" t="s">
        <v>22</v>
      </c>
      <c r="F1695">
        <v>6</v>
      </c>
      <c r="G1695" s="1" t="s">
        <v>44</v>
      </c>
      <c r="H1695">
        <v>49135.714285714283</v>
      </c>
      <c r="I1695">
        <v>46826.666666666664</v>
      </c>
      <c r="J1695">
        <v>49500</v>
      </c>
      <c r="K1695">
        <v>46400</v>
      </c>
      <c r="L1695">
        <v>45150</v>
      </c>
      <c r="M1695">
        <v>0</v>
      </c>
      <c r="N1695">
        <v>131.94839999999999</v>
      </c>
      <c r="O1695">
        <v>1.6496016010000001</v>
      </c>
      <c r="P1695">
        <v>16560.900389999999</v>
      </c>
      <c r="Q1695">
        <v>27.09</v>
      </c>
      <c r="R1695">
        <v>20.76</v>
      </c>
      <c r="S1695">
        <v>82.94</v>
      </c>
      <c r="T1695">
        <v>30</v>
      </c>
      <c r="U1695" s="1" t="s">
        <v>25</v>
      </c>
      <c r="V1695">
        <v>0</v>
      </c>
    </row>
    <row r="1696" spans="1:22" x14ac:dyDescent="0.3">
      <c r="A1696" s="2">
        <v>45747</v>
      </c>
      <c r="B1696">
        <v>49500</v>
      </c>
      <c r="C1696">
        <v>1916</v>
      </c>
      <c r="D1696">
        <v>3</v>
      </c>
      <c r="E1696" s="1" t="s">
        <v>22</v>
      </c>
      <c r="F1696">
        <v>0</v>
      </c>
      <c r="G1696" s="1" t="s">
        <v>44</v>
      </c>
      <c r="H1696">
        <v>49257.142857142855</v>
      </c>
      <c r="I1696">
        <v>46971.666666666664</v>
      </c>
      <c r="J1696">
        <v>49500</v>
      </c>
      <c r="K1696">
        <v>48650</v>
      </c>
      <c r="L1696">
        <v>45150</v>
      </c>
      <c r="M1696">
        <v>0</v>
      </c>
      <c r="N1696">
        <v>131.94839999999999</v>
      </c>
      <c r="O1696">
        <v>1.6496016010000001</v>
      </c>
      <c r="P1696">
        <v>16575</v>
      </c>
      <c r="Q1696">
        <v>26.4</v>
      </c>
      <c r="R1696">
        <v>5.21</v>
      </c>
      <c r="S1696">
        <v>82.57</v>
      </c>
      <c r="T1696">
        <v>31</v>
      </c>
      <c r="U1696" s="1"/>
      <c r="V1696">
        <v>0</v>
      </c>
    </row>
    <row r="1697" spans="1:22" x14ac:dyDescent="0.3">
      <c r="A1697" s="2">
        <v>45748</v>
      </c>
      <c r="B1697">
        <v>49500</v>
      </c>
      <c r="C1697">
        <v>1917</v>
      </c>
      <c r="D1697">
        <v>4</v>
      </c>
      <c r="E1697" s="1" t="s">
        <v>43</v>
      </c>
      <c r="F1697">
        <v>1</v>
      </c>
      <c r="G1697" s="1" t="s">
        <v>23</v>
      </c>
      <c r="H1697">
        <v>49378.571428571428</v>
      </c>
      <c r="I1697">
        <v>47116.666666666664</v>
      </c>
      <c r="J1697">
        <v>49500</v>
      </c>
      <c r="K1697">
        <v>48650</v>
      </c>
      <c r="L1697">
        <v>45150</v>
      </c>
      <c r="M1697">
        <v>0</v>
      </c>
      <c r="N1697">
        <v>133.48670000000001</v>
      </c>
      <c r="O1697">
        <v>1.165834523</v>
      </c>
      <c r="P1697">
        <v>16652</v>
      </c>
      <c r="Q1697">
        <v>26.07</v>
      </c>
      <c r="R1697">
        <v>6.54</v>
      </c>
      <c r="S1697">
        <v>85.1</v>
      </c>
      <c r="T1697">
        <v>1</v>
      </c>
      <c r="U1697" s="1" t="s">
        <v>25</v>
      </c>
      <c r="V1697">
        <v>0</v>
      </c>
    </row>
    <row r="1698" spans="1:22" x14ac:dyDescent="0.3">
      <c r="A1698" s="2">
        <v>45749</v>
      </c>
      <c r="B1698">
        <v>49500</v>
      </c>
      <c r="C1698">
        <v>1918</v>
      </c>
      <c r="D1698">
        <v>4</v>
      </c>
      <c r="E1698" s="1" t="s">
        <v>43</v>
      </c>
      <c r="F1698">
        <v>2</v>
      </c>
      <c r="G1698" s="1" t="s">
        <v>23</v>
      </c>
      <c r="H1698">
        <v>49500</v>
      </c>
      <c r="I1698">
        <v>47245</v>
      </c>
      <c r="J1698">
        <v>49500</v>
      </c>
      <c r="K1698">
        <v>48650</v>
      </c>
      <c r="L1698">
        <v>45650</v>
      </c>
      <c r="M1698">
        <v>0</v>
      </c>
      <c r="N1698">
        <v>133.48670000000001</v>
      </c>
      <c r="O1698">
        <v>1.165834523</v>
      </c>
      <c r="P1698">
        <v>16731.400389999999</v>
      </c>
      <c r="Q1698">
        <v>26.8</v>
      </c>
      <c r="R1698">
        <v>11.45</v>
      </c>
      <c r="S1698">
        <v>83.99</v>
      </c>
      <c r="T1698">
        <v>2</v>
      </c>
      <c r="U1698" s="1" t="s">
        <v>25</v>
      </c>
      <c r="V1698">
        <v>0</v>
      </c>
    </row>
    <row r="1699" spans="1:22" x14ac:dyDescent="0.3">
      <c r="A1699" s="2">
        <v>45750</v>
      </c>
      <c r="B1699">
        <v>49500</v>
      </c>
      <c r="C1699">
        <v>1919</v>
      </c>
      <c r="D1699">
        <v>4</v>
      </c>
      <c r="E1699" s="1" t="s">
        <v>43</v>
      </c>
      <c r="F1699">
        <v>3</v>
      </c>
      <c r="G1699" s="1" t="s">
        <v>23</v>
      </c>
      <c r="H1699">
        <v>49500</v>
      </c>
      <c r="I1699">
        <v>47353.333333333336</v>
      </c>
      <c r="J1699">
        <v>49500</v>
      </c>
      <c r="K1699">
        <v>49500</v>
      </c>
      <c r="L1699">
        <v>46250</v>
      </c>
      <c r="M1699">
        <v>0</v>
      </c>
      <c r="N1699">
        <v>133.48670000000001</v>
      </c>
      <c r="O1699">
        <v>1.165834523</v>
      </c>
      <c r="P1699">
        <v>16739</v>
      </c>
      <c r="Q1699">
        <v>26.81</v>
      </c>
      <c r="R1699">
        <v>7.48</v>
      </c>
      <c r="S1699">
        <v>83.61</v>
      </c>
      <c r="T1699">
        <v>3</v>
      </c>
      <c r="U1699" s="1" t="s">
        <v>25</v>
      </c>
      <c r="V1699">
        <v>0</v>
      </c>
    </row>
    <row r="1700" spans="1:22" x14ac:dyDescent="0.3">
      <c r="A1700" s="2">
        <v>45751</v>
      </c>
      <c r="B1700">
        <v>49500</v>
      </c>
      <c r="C1700">
        <v>1920</v>
      </c>
      <c r="D1700">
        <v>4</v>
      </c>
      <c r="E1700" s="1" t="s">
        <v>43</v>
      </c>
      <c r="F1700">
        <v>4</v>
      </c>
      <c r="G1700" s="1" t="s">
        <v>23</v>
      </c>
      <c r="H1700">
        <v>49500</v>
      </c>
      <c r="I1700">
        <v>47453.333333333336</v>
      </c>
      <c r="J1700">
        <v>49500</v>
      </c>
      <c r="K1700">
        <v>49500</v>
      </c>
      <c r="L1700">
        <v>46500</v>
      </c>
      <c r="M1700">
        <v>0</v>
      </c>
      <c r="N1700">
        <v>133.48670000000001</v>
      </c>
      <c r="O1700">
        <v>1.165834523</v>
      </c>
      <c r="P1700">
        <v>16739.800780000001</v>
      </c>
      <c r="Q1700">
        <v>26.35</v>
      </c>
      <c r="R1700">
        <v>14.78</v>
      </c>
      <c r="S1700">
        <v>82.91</v>
      </c>
      <c r="T1700">
        <v>4</v>
      </c>
      <c r="U1700" s="1" t="s">
        <v>25</v>
      </c>
      <c r="V1700">
        <v>0</v>
      </c>
    </row>
    <row r="1701" spans="1:22" x14ac:dyDescent="0.3">
      <c r="A1701" s="2">
        <v>45752</v>
      </c>
      <c r="B1701">
        <v>49500</v>
      </c>
      <c r="C1701">
        <v>1921</v>
      </c>
      <c r="D1701">
        <v>4</v>
      </c>
      <c r="E1701" s="1" t="s">
        <v>43</v>
      </c>
      <c r="F1701">
        <v>5</v>
      </c>
      <c r="G1701" s="1" t="s">
        <v>23</v>
      </c>
      <c r="H1701">
        <v>49500</v>
      </c>
      <c r="I1701">
        <v>47573.333333333336</v>
      </c>
      <c r="J1701">
        <v>49500</v>
      </c>
      <c r="K1701">
        <v>49500</v>
      </c>
      <c r="L1701">
        <v>45900</v>
      </c>
      <c r="M1701">
        <v>0</v>
      </c>
      <c r="N1701">
        <v>133.48670000000001</v>
      </c>
      <c r="O1701">
        <v>1.165834523</v>
      </c>
      <c r="P1701">
        <v>16739.800780000001</v>
      </c>
      <c r="Q1701">
        <v>26.18</v>
      </c>
      <c r="R1701">
        <v>4.68</v>
      </c>
      <c r="S1701">
        <v>86.35</v>
      </c>
      <c r="T1701">
        <v>5</v>
      </c>
      <c r="U1701" s="1" t="s">
        <v>25</v>
      </c>
      <c r="V1701">
        <v>0</v>
      </c>
    </row>
    <row r="1702" spans="1:22" x14ac:dyDescent="0.3">
      <c r="A1702" s="2">
        <v>45753</v>
      </c>
      <c r="B1702">
        <v>49500</v>
      </c>
      <c r="C1702">
        <v>1922</v>
      </c>
      <c r="D1702">
        <v>4</v>
      </c>
      <c r="E1702" s="1" t="s">
        <v>43</v>
      </c>
      <c r="F1702">
        <v>6</v>
      </c>
      <c r="G1702" s="1" t="s">
        <v>23</v>
      </c>
      <c r="H1702">
        <v>49500</v>
      </c>
      <c r="I1702">
        <v>47693.333333333336</v>
      </c>
      <c r="J1702">
        <v>49500</v>
      </c>
      <c r="K1702">
        <v>49500</v>
      </c>
      <c r="L1702">
        <v>45900</v>
      </c>
      <c r="M1702">
        <v>0</v>
      </c>
      <c r="N1702">
        <v>133.48670000000001</v>
      </c>
      <c r="O1702">
        <v>1.165834523</v>
      </c>
      <c r="P1702">
        <v>16739.800780000001</v>
      </c>
      <c r="Q1702">
        <v>26.91</v>
      </c>
      <c r="R1702">
        <v>4.21</v>
      </c>
      <c r="S1702">
        <v>82.27</v>
      </c>
      <c r="T1702">
        <v>6</v>
      </c>
      <c r="U1702" s="1" t="s">
        <v>25</v>
      </c>
      <c r="V1702">
        <v>0</v>
      </c>
    </row>
    <row r="1703" spans="1:22" x14ac:dyDescent="0.3">
      <c r="A1703" s="2">
        <v>45754</v>
      </c>
      <c r="B1703">
        <v>49500</v>
      </c>
      <c r="C1703">
        <v>1923</v>
      </c>
      <c r="D1703">
        <v>4</v>
      </c>
      <c r="E1703" s="1" t="s">
        <v>43</v>
      </c>
      <c r="F1703">
        <v>0</v>
      </c>
      <c r="G1703" s="1" t="s">
        <v>23</v>
      </c>
      <c r="H1703">
        <v>49500</v>
      </c>
      <c r="I1703">
        <v>47813.333333333336</v>
      </c>
      <c r="J1703">
        <v>49500</v>
      </c>
      <c r="K1703">
        <v>49500</v>
      </c>
      <c r="L1703">
        <v>45900</v>
      </c>
      <c r="M1703">
        <v>0</v>
      </c>
      <c r="N1703">
        <v>133.48670000000001</v>
      </c>
      <c r="O1703">
        <v>1.165834523</v>
      </c>
      <c r="P1703">
        <v>16738</v>
      </c>
      <c r="Q1703">
        <v>26.98</v>
      </c>
      <c r="R1703">
        <v>6.75</v>
      </c>
      <c r="S1703">
        <v>83.56</v>
      </c>
      <c r="T1703">
        <v>7</v>
      </c>
      <c r="U1703" s="1"/>
      <c r="V1703">
        <v>0</v>
      </c>
    </row>
    <row r="1704" spans="1:22" x14ac:dyDescent="0.3">
      <c r="A1704" s="2">
        <v>45755</v>
      </c>
      <c r="B1704">
        <v>52650</v>
      </c>
      <c r="C1704">
        <v>1924</v>
      </c>
      <c r="D1704">
        <v>4</v>
      </c>
      <c r="E1704" s="1" t="s">
        <v>43</v>
      </c>
      <c r="F1704">
        <v>1</v>
      </c>
      <c r="G1704" s="1" t="s">
        <v>23</v>
      </c>
      <c r="H1704">
        <v>49950</v>
      </c>
      <c r="I1704">
        <v>48038.333333333336</v>
      </c>
      <c r="J1704">
        <v>49500</v>
      </c>
      <c r="K1704">
        <v>49500</v>
      </c>
      <c r="L1704">
        <v>45900</v>
      </c>
      <c r="M1704">
        <v>3150</v>
      </c>
      <c r="N1704">
        <v>133.48670000000001</v>
      </c>
      <c r="O1704">
        <v>1.165834523</v>
      </c>
      <c r="P1704">
        <v>16855.699219999999</v>
      </c>
      <c r="Q1704">
        <v>26.54</v>
      </c>
      <c r="R1704">
        <v>11.38</v>
      </c>
      <c r="S1704">
        <v>84.27</v>
      </c>
      <c r="T1704">
        <v>8</v>
      </c>
      <c r="U1704" s="1" t="s">
        <v>117</v>
      </c>
      <c r="V1704">
        <v>6.36</v>
      </c>
    </row>
    <row r="1705" spans="1:22" x14ac:dyDescent="0.3">
      <c r="A1705" s="2">
        <v>45756</v>
      </c>
      <c r="B1705">
        <v>51900</v>
      </c>
      <c r="C1705">
        <v>1925</v>
      </c>
      <c r="D1705">
        <v>4</v>
      </c>
      <c r="E1705" s="1" t="s">
        <v>43</v>
      </c>
      <c r="F1705">
        <v>2</v>
      </c>
      <c r="G1705" s="1" t="s">
        <v>23</v>
      </c>
      <c r="H1705">
        <v>50292.857142857145</v>
      </c>
      <c r="I1705">
        <v>48221.666666666664</v>
      </c>
      <c r="J1705">
        <v>52650</v>
      </c>
      <c r="K1705">
        <v>49500</v>
      </c>
      <c r="L1705">
        <v>46400</v>
      </c>
      <c r="M1705">
        <v>-750</v>
      </c>
      <c r="N1705">
        <v>133.48670000000001</v>
      </c>
      <c r="O1705">
        <v>1.165834523</v>
      </c>
      <c r="P1705">
        <v>17051.900389999999</v>
      </c>
      <c r="Q1705">
        <v>27.2</v>
      </c>
      <c r="R1705">
        <v>2.31</v>
      </c>
      <c r="S1705">
        <v>80.040000000000006</v>
      </c>
      <c r="T1705">
        <v>9</v>
      </c>
      <c r="U1705" s="1" t="s">
        <v>42</v>
      </c>
      <c r="V1705">
        <v>-1.42</v>
      </c>
    </row>
    <row r="1706" spans="1:22" x14ac:dyDescent="0.3">
      <c r="A1706" s="2">
        <v>45757</v>
      </c>
      <c r="B1706">
        <v>51150</v>
      </c>
      <c r="C1706">
        <v>1926</v>
      </c>
      <c r="D1706">
        <v>4</v>
      </c>
      <c r="E1706" s="1" t="s">
        <v>43</v>
      </c>
      <c r="F1706">
        <v>3</v>
      </c>
      <c r="G1706" s="1" t="s">
        <v>23</v>
      </c>
      <c r="H1706">
        <v>50528.571428571428</v>
      </c>
      <c r="I1706">
        <v>48385</v>
      </c>
      <c r="J1706">
        <v>51900</v>
      </c>
      <c r="K1706">
        <v>49500</v>
      </c>
      <c r="L1706">
        <v>46250</v>
      </c>
      <c r="M1706">
        <v>-750</v>
      </c>
      <c r="N1706">
        <v>133.48670000000001</v>
      </c>
      <c r="O1706">
        <v>1.165834523</v>
      </c>
      <c r="P1706">
        <v>16805.5</v>
      </c>
      <c r="Q1706">
        <v>27</v>
      </c>
      <c r="R1706">
        <v>4.58</v>
      </c>
      <c r="S1706">
        <v>81.03</v>
      </c>
      <c r="T1706">
        <v>10</v>
      </c>
      <c r="U1706" s="1" t="s">
        <v>42</v>
      </c>
      <c r="V1706">
        <v>-1.45</v>
      </c>
    </row>
    <row r="1707" spans="1:22" x14ac:dyDescent="0.3">
      <c r="A1707" s="2">
        <v>45758</v>
      </c>
      <c r="B1707">
        <v>49650</v>
      </c>
      <c r="C1707">
        <v>1927</v>
      </c>
      <c r="D1707">
        <v>4</v>
      </c>
      <c r="E1707" s="1" t="s">
        <v>43</v>
      </c>
      <c r="F1707">
        <v>4</v>
      </c>
      <c r="G1707" s="1" t="s">
        <v>23</v>
      </c>
      <c r="H1707">
        <v>50550</v>
      </c>
      <c r="I1707">
        <v>48498.333333333336</v>
      </c>
      <c r="J1707">
        <v>51150</v>
      </c>
      <c r="K1707">
        <v>49500</v>
      </c>
      <c r="L1707">
        <v>46250</v>
      </c>
      <c r="M1707">
        <v>-1500</v>
      </c>
      <c r="N1707">
        <v>133.48670000000001</v>
      </c>
      <c r="O1707">
        <v>1.165834523</v>
      </c>
      <c r="P1707">
        <v>16833.800780000001</v>
      </c>
      <c r="Q1707">
        <v>27.22</v>
      </c>
      <c r="R1707">
        <v>1.19</v>
      </c>
      <c r="S1707">
        <v>80.16</v>
      </c>
      <c r="T1707">
        <v>11</v>
      </c>
      <c r="U1707" s="1" t="s">
        <v>37</v>
      </c>
      <c r="V1707">
        <v>-2.93</v>
      </c>
    </row>
    <row r="1708" spans="1:22" x14ac:dyDescent="0.3">
      <c r="A1708" s="2">
        <v>45759</v>
      </c>
      <c r="B1708">
        <v>49650</v>
      </c>
      <c r="C1708">
        <v>1928</v>
      </c>
      <c r="D1708">
        <v>4</v>
      </c>
      <c r="E1708" s="1" t="s">
        <v>43</v>
      </c>
      <c r="F1708">
        <v>5</v>
      </c>
      <c r="G1708" s="1" t="s">
        <v>23</v>
      </c>
      <c r="H1708">
        <v>50571.428571428572</v>
      </c>
      <c r="I1708">
        <v>48603.333333333336</v>
      </c>
      <c r="J1708">
        <v>49650</v>
      </c>
      <c r="K1708">
        <v>49500</v>
      </c>
      <c r="L1708">
        <v>46500</v>
      </c>
      <c r="M1708">
        <v>0</v>
      </c>
      <c r="N1708">
        <v>133.48670000000001</v>
      </c>
      <c r="O1708">
        <v>1.165834523</v>
      </c>
      <c r="P1708">
        <v>16833.800780000001</v>
      </c>
      <c r="Q1708">
        <v>27.6</v>
      </c>
      <c r="R1708">
        <v>4.95</v>
      </c>
      <c r="S1708">
        <v>78.099999999999994</v>
      </c>
      <c r="T1708">
        <v>12</v>
      </c>
      <c r="U1708" s="1" t="s">
        <v>37</v>
      </c>
      <c r="V1708">
        <v>-2.93</v>
      </c>
    </row>
    <row r="1709" spans="1:22" x14ac:dyDescent="0.3">
      <c r="A1709" s="2">
        <v>45760</v>
      </c>
      <c r="B1709">
        <v>49650</v>
      </c>
      <c r="C1709">
        <v>1929</v>
      </c>
      <c r="D1709">
        <v>4</v>
      </c>
      <c r="E1709" s="1" t="s">
        <v>43</v>
      </c>
      <c r="F1709">
        <v>6</v>
      </c>
      <c r="G1709" s="1" t="s">
        <v>23</v>
      </c>
      <c r="H1709">
        <v>50592.857142857145</v>
      </c>
      <c r="I1709">
        <v>48716.666666666664</v>
      </c>
      <c r="J1709">
        <v>49650</v>
      </c>
      <c r="K1709">
        <v>49500</v>
      </c>
      <c r="L1709">
        <v>46250</v>
      </c>
      <c r="M1709">
        <v>0</v>
      </c>
      <c r="N1709">
        <v>133.48670000000001</v>
      </c>
      <c r="O1709">
        <v>1.165834523</v>
      </c>
      <c r="P1709">
        <v>16833.800780000001</v>
      </c>
      <c r="Q1709">
        <v>27.22</v>
      </c>
      <c r="R1709">
        <v>9.31</v>
      </c>
      <c r="S1709">
        <v>83.94</v>
      </c>
      <c r="T1709">
        <v>13</v>
      </c>
      <c r="U1709" s="1" t="s">
        <v>37</v>
      </c>
      <c r="V1709">
        <v>-2.93</v>
      </c>
    </row>
    <row r="1710" spans="1:22" x14ac:dyDescent="0.3">
      <c r="A1710" s="2">
        <v>45761</v>
      </c>
      <c r="B1710">
        <v>49250</v>
      </c>
      <c r="C1710">
        <v>1930</v>
      </c>
      <c r="D1710">
        <v>4</v>
      </c>
      <c r="E1710" s="1" t="s">
        <v>43</v>
      </c>
      <c r="F1710">
        <v>0</v>
      </c>
      <c r="G1710" s="1" t="s">
        <v>23</v>
      </c>
      <c r="H1710">
        <v>50557.142857142855</v>
      </c>
      <c r="I1710">
        <v>48816.666666666664</v>
      </c>
      <c r="J1710">
        <v>49650</v>
      </c>
      <c r="K1710">
        <v>49500</v>
      </c>
      <c r="L1710">
        <v>46250</v>
      </c>
      <c r="M1710">
        <v>-400</v>
      </c>
      <c r="N1710">
        <v>133.48670000000001</v>
      </c>
      <c r="O1710">
        <v>1.165834523</v>
      </c>
      <c r="P1710">
        <v>16788</v>
      </c>
      <c r="Q1710">
        <v>27.51</v>
      </c>
      <c r="R1710">
        <v>24.29</v>
      </c>
      <c r="S1710">
        <v>82.56</v>
      </c>
      <c r="T1710">
        <v>14</v>
      </c>
      <c r="U1710" s="1" t="s">
        <v>99</v>
      </c>
      <c r="V1710">
        <v>-0.81</v>
      </c>
    </row>
    <row r="1711" spans="1:22" x14ac:dyDescent="0.3">
      <c r="A1711" s="2">
        <v>45762</v>
      </c>
      <c r="B1711">
        <v>49250</v>
      </c>
      <c r="C1711">
        <v>1931</v>
      </c>
      <c r="D1711">
        <v>4</v>
      </c>
      <c r="E1711" s="1" t="s">
        <v>43</v>
      </c>
      <c r="F1711">
        <v>1</v>
      </c>
      <c r="G1711" s="1" t="s">
        <v>23</v>
      </c>
      <c r="H1711">
        <v>50071.428571428572</v>
      </c>
      <c r="I1711">
        <v>48916.666666666664</v>
      </c>
      <c r="J1711">
        <v>49250</v>
      </c>
      <c r="K1711">
        <v>52650</v>
      </c>
      <c r="L1711">
        <v>46250</v>
      </c>
      <c r="M1711">
        <v>0</v>
      </c>
      <c r="N1711">
        <v>133.48670000000001</v>
      </c>
      <c r="O1711">
        <v>1.165834523</v>
      </c>
      <c r="P1711">
        <v>16780</v>
      </c>
      <c r="Q1711">
        <v>27.46</v>
      </c>
      <c r="R1711">
        <v>6.22</v>
      </c>
      <c r="S1711">
        <v>81.87</v>
      </c>
      <c r="T1711">
        <v>15</v>
      </c>
      <c r="U1711" s="1" t="s">
        <v>25</v>
      </c>
      <c r="V1711">
        <v>0</v>
      </c>
    </row>
    <row r="1712" spans="1:22" x14ac:dyDescent="0.3">
      <c r="A1712" s="2">
        <v>45763</v>
      </c>
      <c r="B1712">
        <v>49250</v>
      </c>
      <c r="C1712">
        <v>1932</v>
      </c>
      <c r="D1712">
        <v>4</v>
      </c>
      <c r="E1712" s="1" t="s">
        <v>43</v>
      </c>
      <c r="F1712">
        <v>2</v>
      </c>
      <c r="G1712" s="1" t="s">
        <v>23</v>
      </c>
      <c r="H1712">
        <v>49692.857142857145</v>
      </c>
      <c r="I1712">
        <v>49025</v>
      </c>
      <c r="J1712">
        <v>49250</v>
      </c>
      <c r="K1712">
        <v>51900</v>
      </c>
      <c r="L1712">
        <v>46000</v>
      </c>
      <c r="M1712">
        <v>0</v>
      </c>
      <c r="N1712">
        <v>133.48670000000001</v>
      </c>
      <c r="O1712">
        <v>1.165834523</v>
      </c>
      <c r="P1712">
        <v>16813.5</v>
      </c>
      <c r="Q1712">
        <v>27.32</v>
      </c>
      <c r="R1712">
        <v>8.43</v>
      </c>
      <c r="S1712">
        <v>80.11</v>
      </c>
      <c r="T1712">
        <v>16</v>
      </c>
      <c r="U1712" s="1" t="s">
        <v>25</v>
      </c>
      <c r="V1712">
        <v>0</v>
      </c>
    </row>
    <row r="1713" spans="1:22" x14ac:dyDescent="0.3">
      <c r="A1713" s="2">
        <v>45764</v>
      </c>
      <c r="B1713">
        <v>49000</v>
      </c>
      <c r="C1713">
        <v>1933</v>
      </c>
      <c r="D1713">
        <v>4</v>
      </c>
      <c r="E1713" s="1" t="s">
        <v>43</v>
      </c>
      <c r="F1713">
        <v>3</v>
      </c>
      <c r="G1713" s="1" t="s">
        <v>23</v>
      </c>
      <c r="H1713">
        <v>49385.714285714283</v>
      </c>
      <c r="I1713">
        <v>49111.666666666664</v>
      </c>
      <c r="J1713">
        <v>49250</v>
      </c>
      <c r="K1713">
        <v>51150</v>
      </c>
      <c r="L1713">
        <v>46400</v>
      </c>
      <c r="M1713">
        <v>-250</v>
      </c>
      <c r="N1713">
        <v>133.48670000000001</v>
      </c>
      <c r="O1713">
        <v>1.165834523</v>
      </c>
      <c r="P1713">
        <v>16794.599610000001</v>
      </c>
      <c r="Q1713">
        <v>27.71</v>
      </c>
      <c r="R1713">
        <v>0.86</v>
      </c>
      <c r="S1713">
        <v>80.31</v>
      </c>
      <c r="T1713">
        <v>17</v>
      </c>
      <c r="U1713" s="1" t="s">
        <v>35</v>
      </c>
      <c r="V1713">
        <v>-0.51</v>
      </c>
    </row>
    <row r="1714" spans="1:22" x14ac:dyDescent="0.3">
      <c r="A1714" s="2">
        <v>45765</v>
      </c>
      <c r="B1714">
        <v>49000</v>
      </c>
      <c r="C1714">
        <v>1934</v>
      </c>
      <c r="D1714">
        <v>4</v>
      </c>
      <c r="E1714" s="1" t="s">
        <v>43</v>
      </c>
      <c r="F1714">
        <v>4</v>
      </c>
      <c r="G1714" s="1" t="s">
        <v>44</v>
      </c>
      <c r="H1714">
        <v>49292.857142857145</v>
      </c>
      <c r="I1714">
        <v>49198.333333333336</v>
      </c>
      <c r="J1714">
        <v>49000</v>
      </c>
      <c r="K1714">
        <v>49650</v>
      </c>
      <c r="L1714">
        <v>46400</v>
      </c>
      <c r="M1714">
        <v>0</v>
      </c>
      <c r="N1714">
        <v>133.48670000000001</v>
      </c>
      <c r="O1714">
        <v>1.165834523</v>
      </c>
      <c r="P1714">
        <v>16794.599610000001</v>
      </c>
      <c r="Q1714">
        <v>27.65</v>
      </c>
      <c r="R1714">
        <v>1.42</v>
      </c>
      <c r="S1714">
        <v>81.72</v>
      </c>
      <c r="T1714">
        <v>18</v>
      </c>
      <c r="U1714" s="1" t="s">
        <v>25</v>
      </c>
      <c r="V1714">
        <v>0</v>
      </c>
    </row>
    <row r="1715" spans="1:22" x14ac:dyDescent="0.3">
      <c r="A1715" s="2">
        <v>45766</v>
      </c>
      <c r="B1715">
        <v>49000</v>
      </c>
      <c r="C1715">
        <v>1935</v>
      </c>
      <c r="D1715">
        <v>4</v>
      </c>
      <c r="E1715" s="1" t="s">
        <v>43</v>
      </c>
      <c r="F1715">
        <v>5</v>
      </c>
      <c r="G1715" s="1" t="s">
        <v>23</v>
      </c>
      <c r="H1715">
        <v>49200</v>
      </c>
      <c r="I1715">
        <v>49285</v>
      </c>
      <c r="J1715">
        <v>49000</v>
      </c>
      <c r="K1715">
        <v>49650</v>
      </c>
      <c r="L1715">
        <v>46400</v>
      </c>
      <c r="M1715">
        <v>0</v>
      </c>
      <c r="N1715">
        <v>133.48670000000001</v>
      </c>
      <c r="O1715">
        <v>1.165834523</v>
      </c>
      <c r="P1715">
        <v>16794.599610000001</v>
      </c>
      <c r="Q1715">
        <v>27.23</v>
      </c>
      <c r="R1715">
        <v>19.34</v>
      </c>
      <c r="S1715">
        <v>82.54</v>
      </c>
      <c r="T1715">
        <v>19</v>
      </c>
      <c r="U1715" s="1" t="s">
        <v>25</v>
      </c>
      <c r="V1715">
        <v>0</v>
      </c>
    </row>
    <row r="1716" spans="1:22" x14ac:dyDescent="0.3">
      <c r="A1716" s="2">
        <v>45768</v>
      </c>
      <c r="B1716">
        <v>48750</v>
      </c>
      <c r="C1716">
        <v>1937</v>
      </c>
      <c r="D1716">
        <v>4</v>
      </c>
      <c r="E1716" s="1" t="s">
        <v>43</v>
      </c>
      <c r="F1716">
        <v>0</v>
      </c>
      <c r="G1716" s="1" t="s">
        <v>44</v>
      </c>
      <c r="K1716">
        <v>49250</v>
      </c>
      <c r="L1716">
        <v>46400</v>
      </c>
      <c r="N1716">
        <v>133.48670000000001</v>
      </c>
      <c r="O1716">
        <v>1.165834523</v>
      </c>
      <c r="P1716">
        <v>16794.599610000001</v>
      </c>
      <c r="Q1716">
        <v>27.28</v>
      </c>
      <c r="R1716">
        <v>6.22</v>
      </c>
      <c r="S1716">
        <v>81.37</v>
      </c>
      <c r="T1716">
        <v>21</v>
      </c>
      <c r="U1716" s="1" t="s">
        <v>35</v>
      </c>
      <c r="V1716">
        <v>-0.51</v>
      </c>
    </row>
    <row r="1717" spans="1:22" x14ac:dyDescent="0.3">
      <c r="A1717" s="2">
        <v>45769</v>
      </c>
      <c r="B1717">
        <v>48750</v>
      </c>
      <c r="C1717">
        <v>1938</v>
      </c>
      <c r="D1717">
        <v>4</v>
      </c>
      <c r="E1717" s="1" t="s">
        <v>43</v>
      </c>
      <c r="F1717">
        <v>1</v>
      </c>
      <c r="G1717" s="1" t="s">
        <v>23</v>
      </c>
      <c r="J1717">
        <v>48750</v>
      </c>
      <c r="K1717">
        <v>49250</v>
      </c>
      <c r="L1717">
        <v>46400</v>
      </c>
      <c r="M1717">
        <v>0</v>
      </c>
      <c r="N1717">
        <v>133.48670000000001</v>
      </c>
      <c r="O1717">
        <v>1.165834523</v>
      </c>
      <c r="P1717">
        <v>16814.900389999999</v>
      </c>
      <c r="Q1717">
        <v>26.76</v>
      </c>
      <c r="R1717">
        <v>5.24</v>
      </c>
      <c r="S1717">
        <v>83.38</v>
      </c>
      <c r="T1717">
        <v>22</v>
      </c>
      <c r="U1717" s="1" t="s">
        <v>25</v>
      </c>
      <c r="V1717">
        <v>0</v>
      </c>
    </row>
    <row r="1718" spans="1:22" x14ac:dyDescent="0.3">
      <c r="A1718" s="2">
        <v>45770</v>
      </c>
      <c r="B1718">
        <v>48750</v>
      </c>
      <c r="C1718">
        <v>1939</v>
      </c>
      <c r="D1718">
        <v>4</v>
      </c>
      <c r="E1718" s="1" t="s">
        <v>43</v>
      </c>
      <c r="F1718">
        <v>2</v>
      </c>
      <c r="G1718" s="1" t="s">
        <v>23</v>
      </c>
      <c r="J1718">
        <v>48750</v>
      </c>
      <c r="K1718">
        <v>49250</v>
      </c>
      <c r="L1718">
        <v>48650</v>
      </c>
      <c r="M1718">
        <v>0</v>
      </c>
      <c r="N1718">
        <v>133.48670000000001</v>
      </c>
      <c r="O1718">
        <v>1.165834523</v>
      </c>
      <c r="P1718">
        <v>16858.099610000001</v>
      </c>
      <c r="Q1718">
        <v>27.26</v>
      </c>
      <c r="R1718">
        <v>19.47</v>
      </c>
      <c r="S1718">
        <v>80.48</v>
      </c>
      <c r="T1718">
        <v>23</v>
      </c>
      <c r="U1718" s="1" t="s">
        <v>25</v>
      </c>
      <c r="V1718">
        <v>0</v>
      </c>
    </row>
    <row r="1719" spans="1:22" x14ac:dyDescent="0.3">
      <c r="A1719" s="2">
        <v>45771</v>
      </c>
      <c r="B1719">
        <v>48150</v>
      </c>
      <c r="C1719">
        <v>1940</v>
      </c>
      <c r="D1719">
        <v>4</v>
      </c>
      <c r="E1719" s="1" t="s">
        <v>43</v>
      </c>
      <c r="F1719">
        <v>3</v>
      </c>
      <c r="G1719" s="1" t="s">
        <v>23</v>
      </c>
      <c r="J1719">
        <v>48750</v>
      </c>
      <c r="K1719">
        <v>49000</v>
      </c>
      <c r="L1719">
        <v>48650</v>
      </c>
      <c r="M1719">
        <v>-600</v>
      </c>
      <c r="N1719">
        <v>133.48670000000001</v>
      </c>
      <c r="O1719">
        <v>1.165834523</v>
      </c>
      <c r="P1719">
        <v>16846</v>
      </c>
      <c r="Q1719">
        <v>26.91</v>
      </c>
      <c r="R1719">
        <v>8.14</v>
      </c>
      <c r="S1719">
        <v>83.04</v>
      </c>
      <c r="T1719">
        <v>24</v>
      </c>
      <c r="U1719" s="1" t="s">
        <v>62</v>
      </c>
      <c r="V1719">
        <v>-1.23</v>
      </c>
    </row>
    <row r="1720" spans="1:22" x14ac:dyDescent="0.3">
      <c r="A1720" s="2">
        <v>45772</v>
      </c>
      <c r="B1720">
        <v>48150</v>
      </c>
      <c r="C1720">
        <v>1941</v>
      </c>
      <c r="D1720">
        <v>4</v>
      </c>
      <c r="E1720" s="1" t="s">
        <v>43</v>
      </c>
      <c r="F1720">
        <v>4</v>
      </c>
      <c r="G1720" s="1" t="s">
        <v>23</v>
      </c>
      <c r="J1720">
        <v>48150</v>
      </c>
      <c r="K1720">
        <v>49000</v>
      </c>
      <c r="L1720">
        <v>48650</v>
      </c>
      <c r="M1720">
        <v>0</v>
      </c>
      <c r="N1720">
        <v>133.48670000000001</v>
      </c>
      <c r="O1720">
        <v>1.165834523</v>
      </c>
      <c r="P1720">
        <v>16778.5</v>
      </c>
      <c r="Q1720">
        <v>26.58</v>
      </c>
      <c r="R1720">
        <v>16.04</v>
      </c>
      <c r="S1720">
        <v>83.54</v>
      </c>
      <c r="T1720">
        <v>25</v>
      </c>
      <c r="U1720" s="1" t="s">
        <v>25</v>
      </c>
      <c r="V1720">
        <v>0</v>
      </c>
    </row>
    <row r="1721" spans="1:22" x14ac:dyDescent="0.3">
      <c r="A1721" s="2">
        <v>45773</v>
      </c>
      <c r="B1721">
        <v>48150</v>
      </c>
      <c r="C1721">
        <v>1942</v>
      </c>
      <c r="D1721">
        <v>4</v>
      </c>
      <c r="E1721" s="1" t="s">
        <v>43</v>
      </c>
      <c r="F1721">
        <v>5</v>
      </c>
      <c r="G1721" s="1" t="s">
        <v>23</v>
      </c>
      <c r="J1721">
        <v>48150</v>
      </c>
      <c r="K1721">
        <v>49000</v>
      </c>
      <c r="L1721">
        <v>49500</v>
      </c>
      <c r="M1721">
        <v>0</v>
      </c>
      <c r="N1721">
        <v>133.48670000000001</v>
      </c>
      <c r="O1721">
        <v>1.165834523</v>
      </c>
      <c r="P1721">
        <v>16778.5</v>
      </c>
      <c r="Q1721">
        <v>26.3</v>
      </c>
      <c r="R1721">
        <v>33.909999999999997</v>
      </c>
      <c r="S1721">
        <v>82.51</v>
      </c>
      <c r="T1721">
        <v>26</v>
      </c>
      <c r="U1721" s="1" t="s">
        <v>25</v>
      </c>
      <c r="V1721">
        <v>0</v>
      </c>
    </row>
    <row r="1722" spans="1:22" x14ac:dyDescent="0.3">
      <c r="A1722" s="2">
        <v>45774</v>
      </c>
      <c r="B1722">
        <v>48150</v>
      </c>
      <c r="C1722">
        <v>1943</v>
      </c>
      <c r="D1722">
        <v>4</v>
      </c>
      <c r="E1722" s="1" t="s">
        <v>43</v>
      </c>
      <c r="F1722">
        <v>6</v>
      </c>
      <c r="G1722" s="1" t="s">
        <v>23</v>
      </c>
      <c r="H1722">
        <v>48407.142857142855</v>
      </c>
      <c r="J1722">
        <v>48150</v>
      </c>
      <c r="L1722">
        <v>49500</v>
      </c>
      <c r="M1722">
        <v>0</v>
      </c>
      <c r="N1722">
        <v>133.48670000000001</v>
      </c>
      <c r="O1722">
        <v>1.165834523</v>
      </c>
      <c r="P1722">
        <v>16778.5</v>
      </c>
      <c r="Q1722">
        <v>26.27</v>
      </c>
      <c r="R1722">
        <v>2.35</v>
      </c>
      <c r="S1722">
        <v>81.569999999999993</v>
      </c>
      <c r="T1722">
        <v>27</v>
      </c>
      <c r="U1722" s="1" t="s">
        <v>25</v>
      </c>
      <c r="V1722">
        <v>0</v>
      </c>
    </row>
    <row r="1723" spans="1:22" x14ac:dyDescent="0.3">
      <c r="A1723" s="2">
        <v>45775</v>
      </c>
      <c r="B1723">
        <v>46250</v>
      </c>
      <c r="C1723">
        <v>1944</v>
      </c>
      <c r="D1723">
        <v>4</v>
      </c>
      <c r="E1723" s="1" t="s">
        <v>43</v>
      </c>
      <c r="F1723">
        <v>0</v>
      </c>
      <c r="G1723" s="1" t="s">
        <v>23</v>
      </c>
      <c r="H1723">
        <v>48050</v>
      </c>
      <c r="J1723">
        <v>48150</v>
      </c>
      <c r="K1723">
        <v>48750</v>
      </c>
      <c r="L1723">
        <v>49500</v>
      </c>
      <c r="M1723">
        <v>-1900</v>
      </c>
      <c r="N1723">
        <v>133.48670000000001</v>
      </c>
      <c r="O1723">
        <v>1.165834523</v>
      </c>
      <c r="P1723">
        <v>16823</v>
      </c>
      <c r="Q1723">
        <v>27.27</v>
      </c>
      <c r="R1723">
        <v>1.91</v>
      </c>
      <c r="S1723">
        <v>79.349999999999994</v>
      </c>
      <c r="T1723">
        <v>28</v>
      </c>
      <c r="U1723" s="1" t="s">
        <v>86</v>
      </c>
      <c r="V1723">
        <v>-3.95</v>
      </c>
    </row>
    <row r="1724" spans="1:22" x14ac:dyDescent="0.3">
      <c r="A1724" s="2">
        <v>45776</v>
      </c>
      <c r="B1724">
        <v>46000</v>
      </c>
      <c r="C1724">
        <v>1945</v>
      </c>
      <c r="D1724">
        <v>4</v>
      </c>
      <c r="E1724" s="1" t="s">
        <v>43</v>
      </c>
      <c r="F1724">
        <v>1</v>
      </c>
      <c r="G1724" s="1" t="s">
        <v>23</v>
      </c>
      <c r="H1724">
        <v>47657.142857142855</v>
      </c>
      <c r="J1724">
        <v>46250</v>
      </c>
      <c r="K1724">
        <v>48750</v>
      </c>
      <c r="L1724">
        <v>49500</v>
      </c>
      <c r="M1724">
        <v>-250</v>
      </c>
      <c r="N1724">
        <v>133.48670000000001</v>
      </c>
      <c r="O1724">
        <v>1.165834523</v>
      </c>
      <c r="P1724">
        <v>16795</v>
      </c>
      <c r="Q1724">
        <v>27.36</v>
      </c>
      <c r="R1724">
        <v>2.4900000000000002</v>
      </c>
      <c r="S1724">
        <v>79.73</v>
      </c>
      <c r="T1724">
        <v>29</v>
      </c>
      <c r="U1724" s="1" t="s">
        <v>35</v>
      </c>
      <c r="V1724">
        <v>-0.54</v>
      </c>
    </row>
    <row r="1725" spans="1:22" x14ac:dyDescent="0.3">
      <c r="A1725" s="2">
        <v>45777</v>
      </c>
      <c r="B1725">
        <v>46650</v>
      </c>
      <c r="C1725">
        <v>1946</v>
      </c>
      <c r="D1725">
        <v>4</v>
      </c>
      <c r="E1725" s="1" t="s">
        <v>43</v>
      </c>
      <c r="F1725">
        <v>2</v>
      </c>
      <c r="G1725" s="1" t="s">
        <v>23</v>
      </c>
      <c r="H1725">
        <v>47357.142857142855</v>
      </c>
      <c r="J1725">
        <v>46000</v>
      </c>
      <c r="K1725">
        <v>48750</v>
      </c>
      <c r="L1725">
        <v>49500</v>
      </c>
      <c r="M1725">
        <v>650</v>
      </c>
      <c r="N1725">
        <v>133.48670000000001</v>
      </c>
      <c r="O1725">
        <v>1.165834523</v>
      </c>
      <c r="P1725">
        <v>16711.900389999999</v>
      </c>
      <c r="Q1725">
        <v>27.48</v>
      </c>
      <c r="R1725">
        <v>5.66</v>
      </c>
      <c r="S1725">
        <v>80.849999999999994</v>
      </c>
      <c r="T1725">
        <v>30</v>
      </c>
      <c r="U1725" s="1" t="s">
        <v>73</v>
      </c>
      <c r="V1725">
        <v>1.41</v>
      </c>
    </row>
    <row r="1726" spans="1:22" x14ac:dyDescent="0.3">
      <c r="A1726" s="2">
        <v>45778</v>
      </c>
      <c r="B1726">
        <v>46650</v>
      </c>
      <c r="C1726">
        <v>1947</v>
      </c>
      <c r="D1726">
        <v>5</v>
      </c>
      <c r="E1726" s="1" t="s">
        <v>43</v>
      </c>
      <c r="F1726">
        <v>3</v>
      </c>
      <c r="G1726" s="1" t="s">
        <v>44</v>
      </c>
      <c r="H1726">
        <v>47142.857142857145</v>
      </c>
      <c r="J1726">
        <v>46650</v>
      </c>
      <c r="K1726">
        <v>48150</v>
      </c>
      <c r="L1726">
        <v>49500</v>
      </c>
      <c r="M1726">
        <v>0</v>
      </c>
      <c r="N1726">
        <v>133.48670000000001</v>
      </c>
      <c r="O1726">
        <v>1.165834523</v>
      </c>
      <c r="P1726">
        <v>16545.900389999999</v>
      </c>
      <c r="Q1726">
        <v>27.18</v>
      </c>
      <c r="R1726">
        <v>17.02</v>
      </c>
      <c r="S1726">
        <v>80.3</v>
      </c>
      <c r="T1726">
        <v>1</v>
      </c>
      <c r="U1726" s="1" t="s">
        <v>25</v>
      </c>
      <c r="V1726">
        <v>0</v>
      </c>
    </row>
    <row r="1727" spans="1:22" x14ac:dyDescent="0.3">
      <c r="A1727" s="2">
        <v>45779</v>
      </c>
      <c r="B1727">
        <v>45500</v>
      </c>
      <c r="C1727">
        <v>1948</v>
      </c>
      <c r="D1727">
        <v>5</v>
      </c>
      <c r="E1727" s="1" t="s">
        <v>43</v>
      </c>
      <c r="F1727">
        <v>4</v>
      </c>
      <c r="G1727" s="1" t="s">
        <v>23</v>
      </c>
      <c r="H1727">
        <v>46764.285714285717</v>
      </c>
      <c r="J1727">
        <v>46650</v>
      </c>
      <c r="K1727">
        <v>48150</v>
      </c>
      <c r="L1727">
        <v>49500</v>
      </c>
      <c r="M1727">
        <v>-1150</v>
      </c>
      <c r="N1727">
        <v>133.48670000000001</v>
      </c>
      <c r="O1727">
        <v>1.165834523</v>
      </c>
      <c r="P1727">
        <v>16606</v>
      </c>
      <c r="Q1727">
        <v>27.46</v>
      </c>
      <c r="R1727">
        <v>5.82</v>
      </c>
      <c r="S1727">
        <v>82.45</v>
      </c>
      <c r="T1727">
        <v>2</v>
      </c>
      <c r="U1727" s="1" t="s">
        <v>82</v>
      </c>
      <c r="V1727">
        <v>-2.4700000000000002</v>
      </c>
    </row>
    <row r="1728" spans="1:22" x14ac:dyDescent="0.3">
      <c r="A1728" s="2">
        <v>45780</v>
      </c>
      <c r="B1728">
        <v>45500</v>
      </c>
      <c r="C1728">
        <v>1949</v>
      </c>
      <c r="D1728">
        <v>5</v>
      </c>
      <c r="E1728" s="1" t="s">
        <v>43</v>
      </c>
      <c r="F1728">
        <v>5</v>
      </c>
      <c r="G1728" s="1" t="s">
        <v>23</v>
      </c>
      <c r="H1728">
        <v>46385.714285714283</v>
      </c>
      <c r="J1728">
        <v>45500</v>
      </c>
      <c r="K1728">
        <v>48150</v>
      </c>
      <c r="L1728">
        <v>49500</v>
      </c>
      <c r="M1728">
        <v>0</v>
      </c>
      <c r="N1728">
        <v>133.48670000000001</v>
      </c>
      <c r="O1728">
        <v>1.165834523</v>
      </c>
      <c r="P1728">
        <v>16606</v>
      </c>
      <c r="Q1728">
        <v>27.84</v>
      </c>
      <c r="R1728">
        <v>6.2</v>
      </c>
      <c r="S1728">
        <v>80.319999999999993</v>
      </c>
      <c r="T1728">
        <v>3</v>
      </c>
      <c r="U1728" s="1" t="s">
        <v>82</v>
      </c>
      <c r="V1728">
        <v>-2.4700000000000002</v>
      </c>
    </row>
    <row r="1729" spans="1:22" x14ac:dyDescent="0.3">
      <c r="A1729" s="2">
        <v>45781</v>
      </c>
      <c r="B1729">
        <v>45500</v>
      </c>
      <c r="C1729">
        <v>1950</v>
      </c>
      <c r="D1729">
        <v>5</v>
      </c>
      <c r="E1729" s="1" t="s">
        <v>43</v>
      </c>
      <c r="F1729">
        <v>6</v>
      </c>
      <c r="G1729" s="1" t="s">
        <v>23</v>
      </c>
      <c r="H1729">
        <v>46007.142857142855</v>
      </c>
      <c r="J1729">
        <v>45500</v>
      </c>
      <c r="K1729">
        <v>48150</v>
      </c>
      <c r="L1729">
        <v>49500</v>
      </c>
      <c r="M1729">
        <v>0</v>
      </c>
      <c r="N1729">
        <v>133.48670000000001</v>
      </c>
      <c r="O1729">
        <v>1.165834523</v>
      </c>
      <c r="P1729">
        <v>16606</v>
      </c>
      <c r="Q1729">
        <v>27.49</v>
      </c>
      <c r="R1729">
        <v>11.38</v>
      </c>
      <c r="S1729">
        <v>81.37</v>
      </c>
      <c r="T1729">
        <v>4</v>
      </c>
      <c r="U1729" s="1" t="s">
        <v>82</v>
      </c>
      <c r="V1729">
        <v>-2.4700000000000002</v>
      </c>
    </row>
    <row r="1730" spans="1:22" x14ac:dyDescent="0.3">
      <c r="A1730" s="2">
        <v>45782</v>
      </c>
      <c r="B1730">
        <v>43650</v>
      </c>
      <c r="C1730">
        <v>1951</v>
      </c>
      <c r="D1730">
        <v>5</v>
      </c>
      <c r="E1730" s="1" t="s">
        <v>43</v>
      </c>
      <c r="F1730">
        <v>0</v>
      </c>
      <c r="G1730" s="1" t="s">
        <v>23</v>
      </c>
      <c r="H1730">
        <v>45635.714285714283</v>
      </c>
      <c r="J1730">
        <v>45500</v>
      </c>
      <c r="K1730">
        <v>46250</v>
      </c>
      <c r="L1730">
        <v>49500</v>
      </c>
      <c r="M1730">
        <v>-1850</v>
      </c>
      <c r="N1730">
        <v>133.48670000000001</v>
      </c>
      <c r="O1730">
        <v>1.165834523</v>
      </c>
      <c r="P1730">
        <v>16460</v>
      </c>
      <c r="Q1730">
        <v>27.49</v>
      </c>
      <c r="R1730">
        <v>5.39</v>
      </c>
      <c r="S1730">
        <v>82.79</v>
      </c>
      <c r="T1730">
        <v>5</v>
      </c>
      <c r="U1730" s="1" t="s">
        <v>104</v>
      </c>
      <c r="V1730">
        <v>-4.07</v>
      </c>
    </row>
    <row r="1731" spans="1:22" x14ac:dyDescent="0.3">
      <c r="A1731" s="2">
        <v>45783</v>
      </c>
      <c r="B1731">
        <v>43650</v>
      </c>
      <c r="C1731">
        <v>1952</v>
      </c>
      <c r="D1731">
        <v>5</v>
      </c>
      <c r="E1731" s="1" t="s">
        <v>43</v>
      </c>
      <c r="F1731">
        <v>1</v>
      </c>
      <c r="G1731" s="1" t="s">
        <v>23</v>
      </c>
      <c r="H1731">
        <v>45300</v>
      </c>
      <c r="J1731">
        <v>43650</v>
      </c>
      <c r="K1731">
        <v>46000</v>
      </c>
      <c r="L1731">
        <v>49500</v>
      </c>
      <c r="M1731">
        <v>0</v>
      </c>
      <c r="N1731">
        <v>133.48670000000001</v>
      </c>
      <c r="O1731">
        <v>1.165834523</v>
      </c>
      <c r="P1731">
        <v>16421.5</v>
      </c>
      <c r="Q1731">
        <v>27.53</v>
      </c>
      <c r="R1731">
        <v>4.68</v>
      </c>
      <c r="S1731">
        <v>80.209999999999994</v>
      </c>
      <c r="T1731">
        <v>6</v>
      </c>
      <c r="U1731" s="1" t="s">
        <v>25</v>
      </c>
      <c r="V1731">
        <v>0</v>
      </c>
    </row>
    <row r="1732" spans="1:22" x14ac:dyDescent="0.3">
      <c r="A1732" s="2">
        <v>45784</v>
      </c>
      <c r="B1732">
        <v>43650</v>
      </c>
      <c r="C1732">
        <v>1953</v>
      </c>
      <c r="D1732">
        <v>5</v>
      </c>
      <c r="E1732" s="1" t="s">
        <v>43</v>
      </c>
      <c r="F1732">
        <v>2</v>
      </c>
      <c r="G1732" s="1" t="s">
        <v>23</v>
      </c>
      <c r="H1732">
        <v>44871.428571428572</v>
      </c>
      <c r="J1732">
        <v>43650</v>
      </c>
      <c r="K1732">
        <v>46650</v>
      </c>
      <c r="L1732">
        <v>49500</v>
      </c>
      <c r="M1732">
        <v>0</v>
      </c>
      <c r="N1732">
        <v>133.48670000000001</v>
      </c>
      <c r="O1732">
        <v>1.165834523</v>
      </c>
      <c r="P1732">
        <v>16432</v>
      </c>
      <c r="Q1732">
        <v>27.82</v>
      </c>
      <c r="R1732">
        <v>1.72</v>
      </c>
      <c r="S1732">
        <v>76.92</v>
      </c>
      <c r="T1732">
        <v>7</v>
      </c>
      <c r="U1732" s="1" t="s">
        <v>25</v>
      </c>
      <c r="V1732">
        <v>0</v>
      </c>
    </row>
    <row r="1733" spans="1:22" x14ac:dyDescent="0.3">
      <c r="A1733" s="2">
        <v>45785</v>
      </c>
      <c r="B1733">
        <v>43650</v>
      </c>
      <c r="C1733">
        <v>1954</v>
      </c>
      <c r="D1733">
        <v>5</v>
      </c>
      <c r="E1733" s="1" t="s">
        <v>43</v>
      </c>
      <c r="F1733">
        <v>3</v>
      </c>
      <c r="G1733" s="1" t="s">
        <v>23</v>
      </c>
      <c r="H1733">
        <v>44442.857142857145</v>
      </c>
      <c r="J1733">
        <v>43650</v>
      </c>
      <c r="K1733">
        <v>46650</v>
      </c>
      <c r="L1733">
        <v>52650</v>
      </c>
      <c r="M1733">
        <v>0</v>
      </c>
      <c r="N1733">
        <v>133.48670000000001</v>
      </c>
      <c r="O1733">
        <v>1.165834523</v>
      </c>
      <c r="P1733">
        <v>16492.599610000001</v>
      </c>
      <c r="Q1733">
        <v>27.97</v>
      </c>
      <c r="R1733">
        <v>2.88</v>
      </c>
      <c r="S1733">
        <v>79.209999999999994</v>
      </c>
      <c r="T1733">
        <v>8</v>
      </c>
      <c r="U1733" s="1" t="s">
        <v>25</v>
      </c>
      <c r="V1733">
        <v>0</v>
      </c>
    </row>
    <row r="1734" spans="1:22" x14ac:dyDescent="0.3">
      <c r="A1734" s="2">
        <v>45786</v>
      </c>
      <c r="B1734">
        <v>43750</v>
      </c>
      <c r="C1734">
        <v>1955</v>
      </c>
      <c r="D1734">
        <v>5</v>
      </c>
      <c r="E1734" s="1" t="s">
        <v>43</v>
      </c>
      <c r="F1734">
        <v>4</v>
      </c>
      <c r="G1734" s="1" t="s">
        <v>23</v>
      </c>
      <c r="H1734">
        <v>44192.857142857145</v>
      </c>
      <c r="J1734">
        <v>43650</v>
      </c>
      <c r="K1734">
        <v>45500</v>
      </c>
      <c r="L1734">
        <v>51900</v>
      </c>
      <c r="M1734">
        <v>100</v>
      </c>
      <c r="N1734">
        <v>133.48670000000001</v>
      </c>
      <c r="O1734">
        <v>1.165834523</v>
      </c>
      <c r="P1734">
        <v>16538.300780000001</v>
      </c>
      <c r="Q1734">
        <v>27.82</v>
      </c>
      <c r="R1734">
        <v>9.99</v>
      </c>
      <c r="S1734">
        <v>81.64</v>
      </c>
      <c r="T1734">
        <v>9</v>
      </c>
      <c r="U1734" s="1" t="s">
        <v>65</v>
      </c>
      <c r="V1734">
        <v>0.23</v>
      </c>
    </row>
    <row r="1735" spans="1:22" x14ac:dyDescent="0.3">
      <c r="A1735" s="2">
        <v>45787</v>
      </c>
      <c r="B1735">
        <v>43750</v>
      </c>
      <c r="C1735">
        <v>1956</v>
      </c>
      <c r="D1735">
        <v>5</v>
      </c>
      <c r="E1735" s="1" t="s">
        <v>43</v>
      </c>
      <c r="F1735">
        <v>5</v>
      </c>
      <c r="G1735" s="1" t="s">
        <v>23</v>
      </c>
      <c r="H1735">
        <v>43942.857142857145</v>
      </c>
      <c r="J1735">
        <v>43750</v>
      </c>
      <c r="K1735">
        <v>45500</v>
      </c>
      <c r="L1735">
        <v>51150</v>
      </c>
      <c r="M1735">
        <v>0</v>
      </c>
      <c r="N1735">
        <v>133.48670000000001</v>
      </c>
      <c r="O1735">
        <v>1.165834523</v>
      </c>
      <c r="P1735">
        <v>16538.300780000001</v>
      </c>
      <c r="Q1735">
        <v>27.76</v>
      </c>
      <c r="R1735">
        <v>5.15</v>
      </c>
      <c r="S1735">
        <v>79.31</v>
      </c>
      <c r="T1735">
        <v>10</v>
      </c>
      <c r="U1735" s="1" t="s">
        <v>65</v>
      </c>
      <c r="V1735">
        <v>0.23</v>
      </c>
    </row>
    <row r="1736" spans="1:22" x14ac:dyDescent="0.3">
      <c r="A1736" s="2">
        <v>45788</v>
      </c>
      <c r="B1736">
        <v>43750</v>
      </c>
      <c r="C1736">
        <v>1957</v>
      </c>
      <c r="D1736">
        <v>5</v>
      </c>
      <c r="E1736" s="1" t="s">
        <v>43</v>
      </c>
      <c r="F1736">
        <v>6</v>
      </c>
      <c r="G1736" s="1" t="s">
        <v>23</v>
      </c>
      <c r="H1736">
        <v>43692.857142857145</v>
      </c>
      <c r="J1736">
        <v>43750</v>
      </c>
      <c r="K1736">
        <v>45500</v>
      </c>
      <c r="L1736">
        <v>49650</v>
      </c>
      <c r="M1736">
        <v>0</v>
      </c>
      <c r="N1736">
        <v>133.48670000000001</v>
      </c>
      <c r="O1736">
        <v>1.165834523</v>
      </c>
      <c r="P1736">
        <v>16538.300780000001</v>
      </c>
      <c r="Q1736">
        <v>27.8</v>
      </c>
      <c r="R1736">
        <v>5.4</v>
      </c>
      <c r="S1736">
        <v>80.02</v>
      </c>
      <c r="T1736">
        <v>11</v>
      </c>
      <c r="U1736" s="1" t="s">
        <v>65</v>
      </c>
      <c r="V1736">
        <v>0.23</v>
      </c>
    </row>
    <row r="1737" spans="1:22" x14ac:dyDescent="0.3">
      <c r="A1737" s="2">
        <v>45789</v>
      </c>
      <c r="B1737">
        <v>43750</v>
      </c>
      <c r="C1737">
        <v>1958</v>
      </c>
      <c r="D1737">
        <v>5</v>
      </c>
      <c r="E1737" s="1" t="s">
        <v>43</v>
      </c>
      <c r="F1737">
        <v>0</v>
      </c>
      <c r="G1737" s="1" t="s">
        <v>23</v>
      </c>
      <c r="H1737">
        <v>43707.142857142855</v>
      </c>
      <c r="J1737">
        <v>43750</v>
      </c>
      <c r="K1737">
        <v>43650</v>
      </c>
      <c r="L1737">
        <v>49650</v>
      </c>
      <c r="M1737">
        <v>0</v>
      </c>
      <c r="N1737">
        <v>133.48670000000001</v>
      </c>
      <c r="O1737">
        <v>1.165834523</v>
      </c>
      <c r="P1737">
        <v>16543</v>
      </c>
      <c r="Q1737">
        <v>27.96</v>
      </c>
      <c r="R1737">
        <v>1.91</v>
      </c>
      <c r="S1737">
        <v>79.209999999999994</v>
      </c>
      <c r="T1737">
        <v>12</v>
      </c>
      <c r="U1737" s="1" t="s">
        <v>25</v>
      </c>
      <c r="V1737">
        <v>0</v>
      </c>
    </row>
    <row r="1738" spans="1:22" x14ac:dyDescent="0.3">
      <c r="A1738" s="2">
        <v>45790</v>
      </c>
      <c r="B1738">
        <v>41900</v>
      </c>
      <c r="C1738">
        <v>1959</v>
      </c>
      <c r="D1738">
        <v>5</v>
      </c>
      <c r="E1738" s="1" t="s">
        <v>43</v>
      </c>
      <c r="F1738">
        <v>1</v>
      </c>
      <c r="G1738" s="1" t="s">
        <v>23</v>
      </c>
      <c r="H1738">
        <v>43457.142857142855</v>
      </c>
      <c r="J1738">
        <v>43750</v>
      </c>
      <c r="K1738">
        <v>43650</v>
      </c>
      <c r="L1738">
        <v>49650</v>
      </c>
      <c r="M1738">
        <v>-1850</v>
      </c>
      <c r="N1738">
        <v>133.48670000000001</v>
      </c>
      <c r="O1738">
        <v>1.165834523</v>
      </c>
      <c r="P1738">
        <v>16688.800780000001</v>
      </c>
      <c r="Q1738">
        <v>28.04</v>
      </c>
      <c r="R1738">
        <v>1.78</v>
      </c>
      <c r="S1738">
        <v>79.05</v>
      </c>
      <c r="T1738">
        <v>13</v>
      </c>
      <c r="U1738" s="1" t="s">
        <v>104</v>
      </c>
      <c r="V1738">
        <v>-4.2300000000000004</v>
      </c>
    </row>
    <row r="1739" spans="1:22" x14ac:dyDescent="0.3">
      <c r="A1739" s="2">
        <v>45791</v>
      </c>
      <c r="B1739">
        <v>43150</v>
      </c>
      <c r="C1739">
        <v>1960</v>
      </c>
      <c r="D1739">
        <v>5</v>
      </c>
      <c r="E1739" s="1" t="s">
        <v>43</v>
      </c>
      <c r="F1739">
        <v>2</v>
      </c>
      <c r="G1739" s="1" t="s">
        <v>23</v>
      </c>
      <c r="H1739">
        <v>43385.714285714283</v>
      </c>
      <c r="J1739">
        <v>41900</v>
      </c>
      <c r="K1739">
        <v>43650</v>
      </c>
      <c r="L1739">
        <v>49250</v>
      </c>
      <c r="M1739">
        <v>1250</v>
      </c>
      <c r="N1739">
        <v>133.48670000000001</v>
      </c>
      <c r="O1739">
        <v>1.165834523</v>
      </c>
      <c r="P1739">
        <v>16599.400389999999</v>
      </c>
      <c r="Q1739">
        <v>28.22</v>
      </c>
      <c r="R1739">
        <v>2.0699999999999998</v>
      </c>
      <c r="S1739">
        <v>78.17</v>
      </c>
      <c r="T1739">
        <v>14</v>
      </c>
      <c r="U1739" s="1" t="s">
        <v>36</v>
      </c>
      <c r="V1739">
        <v>2.98</v>
      </c>
    </row>
    <row r="1740" spans="1:22" x14ac:dyDescent="0.3">
      <c r="A1740" s="2">
        <v>45792</v>
      </c>
      <c r="B1740">
        <v>43650</v>
      </c>
      <c r="C1740">
        <v>1961</v>
      </c>
      <c r="D1740">
        <v>5</v>
      </c>
      <c r="E1740" s="1" t="s">
        <v>43</v>
      </c>
      <c r="F1740">
        <v>3</v>
      </c>
      <c r="G1740" s="1" t="s">
        <v>23</v>
      </c>
      <c r="H1740">
        <v>43385.714285714283</v>
      </c>
      <c r="J1740">
        <v>43150</v>
      </c>
      <c r="K1740">
        <v>43650</v>
      </c>
      <c r="L1740">
        <v>49250</v>
      </c>
      <c r="M1740">
        <v>500</v>
      </c>
      <c r="N1740">
        <v>133.48670000000001</v>
      </c>
      <c r="O1740">
        <v>1.165834523</v>
      </c>
      <c r="P1740">
        <v>16558.199219999999</v>
      </c>
      <c r="Q1740">
        <v>27.47</v>
      </c>
      <c r="R1740">
        <v>6.06</v>
      </c>
      <c r="S1740">
        <v>82.89</v>
      </c>
      <c r="T1740">
        <v>15</v>
      </c>
      <c r="U1740" s="1" t="s">
        <v>26</v>
      </c>
      <c r="V1740">
        <v>1.1599999999999999</v>
      </c>
    </row>
    <row r="1741" spans="1:22" x14ac:dyDescent="0.3">
      <c r="A1741" s="2">
        <v>45793</v>
      </c>
      <c r="B1741">
        <v>43400</v>
      </c>
      <c r="C1741">
        <v>1962</v>
      </c>
      <c r="D1741">
        <v>5</v>
      </c>
      <c r="E1741" s="1" t="s">
        <v>43</v>
      </c>
      <c r="F1741">
        <v>4</v>
      </c>
      <c r="G1741" s="1" t="s">
        <v>23</v>
      </c>
      <c r="H1741">
        <v>43335.714285714283</v>
      </c>
      <c r="J1741">
        <v>43650</v>
      </c>
      <c r="K1741">
        <v>43750</v>
      </c>
      <c r="L1741">
        <v>49250</v>
      </c>
      <c r="M1741">
        <v>-250</v>
      </c>
      <c r="N1741">
        <v>133.48670000000001</v>
      </c>
      <c r="O1741">
        <v>1.165834523</v>
      </c>
      <c r="P1741">
        <v>16511.800780000001</v>
      </c>
      <c r="Q1741">
        <v>27.2</v>
      </c>
      <c r="R1741">
        <v>9.6</v>
      </c>
      <c r="S1741">
        <v>81.78</v>
      </c>
      <c r="T1741">
        <v>16</v>
      </c>
      <c r="U1741" s="1" t="s">
        <v>35</v>
      </c>
      <c r="V1741">
        <v>-0.56999999999999995</v>
      </c>
    </row>
    <row r="1742" spans="1:22" x14ac:dyDescent="0.3">
      <c r="A1742" s="2">
        <v>45796</v>
      </c>
      <c r="B1742">
        <v>44500</v>
      </c>
      <c r="C1742">
        <v>1965</v>
      </c>
      <c r="D1742">
        <v>5</v>
      </c>
      <c r="E1742" s="1" t="s">
        <v>43</v>
      </c>
      <c r="F1742">
        <v>0</v>
      </c>
      <c r="G1742" s="1" t="s">
        <v>23</v>
      </c>
      <c r="K1742">
        <v>43750</v>
      </c>
      <c r="L1742">
        <v>49000</v>
      </c>
      <c r="N1742">
        <v>133.48670000000001</v>
      </c>
      <c r="O1742">
        <v>1.165834523</v>
      </c>
      <c r="P1742">
        <v>16487</v>
      </c>
      <c r="Q1742">
        <v>27.64</v>
      </c>
      <c r="R1742">
        <v>8.4700000000000006</v>
      </c>
      <c r="S1742">
        <v>79.94</v>
      </c>
      <c r="T1742">
        <v>19</v>
      </c>
      <c r="U1742" s="1" t="s">
        <v>89</v>
      </c>
      <c r="V1742">
        <v>2.5299999999999998</v>
      </c>
    </row>
    <row r="1743" spans="1:22" x14ac:dyDescent="0.3">
      <c r="A1743" s="2">
        <v>45797</v>
      </c>
      <c r="B1743">
        <v>44250</v>
      </c>
      <c r="C1743">
        <v>1966</v>
      </c>
      <c r="D1743">
        <v>5</v>
      </c>
      <c r="E1743" s="1" t="s">
        <v>43</v>
      </c>
      <c r="F1743">
        <v>1</v>
      </c>
      <c r="G1743" s="1" t="s">
        <v>23</v>
      </c>
      <c r="J1743">
        <v>44500</v>
      </c>
      <c r="K1743">
        <v>41900</v>
      </c>
      <c r="M1743">
        <v>-250</v>
      </c>
      <c r="N1743">
        <v>133.48670000000001</v>
      </c>
      <c r="O1743">
        <v>1.165834523</v>
      </c>
      <c r="P1743">
        <v>16428</v>
      </c>
      <c r="Q1743">
        <v>27.56</v>
      </c>
      <c r="R1743">
        <v>8.18</v>
      </c>
      <c r="S1743">
        <v>79.430000000000007</v>
      </c>
      <c r="T1743">
        <v>20</v>
      </c>
      <c r="U1743" s="1" t="s">
        <v>35</v>
      </c>
      <c r="V1743">
        <v>-0.56000000000000005</v>
      </c>
    </row>
    <row r="1744" spans="1:22" x14ac:dyDescent="0.3">
      <c r="A1744" s="2">
        <v>45798</v>
      </c>
      <c r="B1744">
        <v>44250</v>
      </c>
      <c r="C1744">
        <v>1967</v>
      </c>
      <c r="D1744">
        <v>5</v>
      </c>
      <c r="E1744" s="1" t="s">
        <v>43</v>
      </c>
      <c r="F1744">
        <v>2</v>
      </c>
      <c r="G1744" s="1" t="s">
        <v>23</v>
      </c>
      <c r="J1744">
        <v>44250</v>
      </c>
      <c r="K1744">
        <v>43150</v>
      </c>
      <c r="L1744">
        <v>48750</v>
      </c>
      <c r="M1744">
        <v>0</v>
      </c>
      <c r="N1744">
        <v>133.48670000000001</v>
      </c>
      <c r="O1744">
        <v>1.165834523</v>
      </c>
      <c r="P1744">
        <v>16403</v>
      </c>
      <c r="Q1744">
        <v>26.68</v>
      </c>
      <c r="R1744">
        <v>4.46</v>
      </c>
      <c r="S1744">
        <v>84.38</v>
      </c>
      <c r="T1744">
        <v>21</v>
      </c>
      <c r="U1744" s="1" t="s">
        <v>25</v>
      </c>
      <c r="V1744">
        <v>0</v>
      </c>
    </row>
    <row r="1745" spans="1:22" x14ac:dyDescent="0.3">
      <c r="A1745" s="2">
        <v>45799</v>
      </c>
      <c r="B1745">
        <v>44000</v>
      </c>
      <c r="C1745">
        <v>1968</v>
      </c>
      <c r="D1745">
        <v>5</v>
      </c>
      <c r="E1745" s="1" t="s">
        <v>43</v>
      </c>
      <c r="F1745">
        <v>3</v>
      </c>
      <c r="G1745" s="1" t="s">
        <v>23</v>
      </c>
      <c r="J1745">
        <v>44250</v>
      </c>
      <c r="K1745">
        <v>43650</v>
      </c>
      <c r="L1745">
        <v>48750</v>
      </c>
      <c r="M1745">
        <v>-250</v>
      </c>
      <c r="N1745">
        <v>133.48670000000001</v>
      </c>
      <c r="O1745">
        <v>1.165834523</v>
      </c>
      <c r="P1745">
        <v>16347.599609999999</v>
      </c>
      <c r="Q1745">
        <v>27.44</v>
      </c>
      <c r="R1745">
        <v>2.5099999999999998</v>
      </c>
      <c r="S1745">
        <v>78.34</v>
      </c>
      <c r="T1745">
        <v>22</v>
      </c>
      <c r="U1745" s="1" t="s">
        <v>35</v>
      </c>
      <c r="V1745">
        <v>-0.56000000000000005</v>
      </c>
    </row>
    <row r="1746" spans="1:22" x14ac:dyDescent="0.3">
      <c r="A1746" s="2">
        <v>45800</v>
      </c>
      <c r="B1746">
        <v>43750</v>
      </c>
      <c r="C1746">
        <v>1969</v>
      </c>
      <c r="D1746">
        <v>5</v>
      </c>
      <c r="E1746" s="1" t="s">
        <v>43</v>
      </c>
      <c r="F1746">
        <v>4</v>
      </c>
      <c r="G1746" s="1" t="s">
        <v>23</v>
      </c>
      <c r="J1746">
        <v>44000</v>
      </c>
      <c r="K1746">
        <v>43400</v>
      </c>
      <c r="L1746">
        <v>48750</v>
      </c>
      <c r="M1746">
        <v>-250</v>
      </c>
      <c r="N1746">
        <v>133.48670000000001</v>
      </c>
      <c r="O1746">
        <v>1.165834523</v>
      </c>
      <c r="P1746">
        <v>16356.900390000001</v>
      </c>
      <c r="Q1746">
        <v>27.22</v>
      </c>
      <c r="R1746">
        <v>6.59</v>
      </c>
      <c r="S1746">
        <v>84.21</v>
      </c>
      <c r="T1746">
        <v>23</v>
      </c>
      <c r="U1746" s="1" t="s">
        <v>35</v>
      </c>
      <c r="V1746">
        <v>-0.56999999999999995</v>
      </c>
    </row>
    <row r="1747" spans="1:22" x14ac:dyDescent="0.3">
      <c r="A1747" s="2">
        <v>45801</v>
      </c>
      <c r="B1747">
        <v>43750</v>
      </c>
      <c r="C1747">
        <v>1970</v>
      </c>
      <c r="D1747">
        <v>5</v>
      </c>
      <c r="E1747" s="1" t="s">
        <v>43</v>
      </c>
      <c r="F1747">
        <v>5</v>
      </c>
      <c r="G1747" s="1" t="s">
        <v>23</v>
      </c>
      <c r="J1747">
        <v>43750</v>
      </c>
      <c r="L1747">
        <v>48150</v>
      </c>
      <c r="M1747">
        <v>0</v>
      </c>
      <c r="N1747">
        <v>133.48670000000001</v>
      </c>
      <c r="O1747">
        <v>1.165834523</v>
      </c>
      <c r="P1747">
        <v>16356.900390000001</v>
      </c>
      <c r="Q1747">
        <v>26.96</v>
      </c>
      <c r="R1747">
        <v>9.18</v>
      </c>
      <c r="S1747">
        <v>83.27</v>
      </c>
      <c r="T1747">
        <v>24</v>
      </c>
      <c r="U1747" s="1" t="s">
        <v>35</v>
      </c>
      <c r="V1747">
        <v>-0.56999999999999995</v>
      </c>
    </row>
    <row r="1748" spans="1:22" x14ac:dyDescent="0.3">
      <c r="A1748" s="2">
        <v>45803</v>
      </c>
      <c r="B1748">
        <v>43650</v>
      </c>
      <c r="C1748">
        <v>1972</v>
      </c>
      <c r="D1748">
        <v>5</v>
      </c>
      <c r="E1748" s="1" t="s">
        <v>43</v>
      </c>
      <c r="F1748">
        <v>0</v>
      </c>
      <c r="G1748" s="1" t="s">
        <v>23</v>
      </c>
      <c r="K1748">
        <v>44500</v>
      </c>
      <c r="L1748">
        <v>48150</v>
      </c>
      <c r="N1748">
        <v>133.48670000000001</v>
      </c>
      <c r="O1748">
        <v>1.165834523</v>
      </c>
      <c r="P1748">
        <v>16211</v>
      </c>
      <c r="Q1748">
        <v>27.23</v>
      </c>
      <c r="R1748">
        <v>2.89</v>
      </c>
      <c r="S1748">
        <v>85.78</v>
      </c>
      <c r="T1748">
        <v>26</v>
      </c>
      <c r="U1748" s="1" t="s">
        <v>74</v>
      </c>
      <c r="V1748">
        <v>-0.23</v>
      </c>
    </row>
    <row r="1749" spans="1:22" x14ac:dyDescent="0.3">
      <c r="A1749" s="2">
        <v>45804</v>
      </c>
      <c r="B1749">
        <v>43650</v>
      </c>
      <c r="C1749">
        <v>1973</v>
      </c>
      <c r="D1749">
        <v>5</v>
      </c>
      <c r="E1749" s="1" t="s">
        <v>43</v>
      </c>
      <c r="F1749">
        <v>1</v>
      </c>
      <c r="G1749" s="1" t="s">
        <v>23</v>
      </c>
      <c r="J1749">
        <v>43650</v>
      </c>
      <c r="K1749">
        <v>44250</v>
      </c>
      <c r="L1749">
        <v>48150</v>
      </c>
      <c r="M1749">
        <v>0</v>
      </c>
      <c r="N1749">
        <v>133.48670000000001</v>
      </c>
      <c r="O1749">
        <v>1.165834523</v>
      </c>
      <c r="P1749">
        <v>16243.5</v>
      </c>
      <c r="Q1749">
        <v>27.79</v>
      </c>
      <c r="R1749">
        <v>2.2000000000000002</v>
      </c>
      <c r="S1749">
        <v>83.55</v>
      </c>
      <c r="T1749">
        <v>27</v>
      </c>
      <c r="U1749" s="1" t="s">
        <v>25</v>
      </c>
      <c r="V1749">
        <v>0</v>
      </c>
    </row>
    <row r="1750" spans="1:22" x14ac:dyDescent="0.3">
      <c r="A1750" s="2">
        <v>45805</v>
      </c>
      <c r="B1750">
        <v>45500</v>
      </c>
      <c r="C1750">
        <v>1974</v>
      </c>
      <c r="D1750">
        <v>5</v>
      </c>
      <c r="E1750" s="1" t="s">
        <v>43</v>
      </c>
      <c r="F1750">
        <v>2</v>
      </c>
      <c r="G1750" s="1" t="s">
        <v>23</v>
      </c>
      <c r="J1750">
        <v>43650</v>
      </c>
      <c r="K1750">
        <v>44250</v>
      </c>
      <c r="L1750">
        <v>46250</v>
      </c>
      <c r="M1750">
        <v>1850</v>
      </c>
      <c r="N1750">
        <v>133.48670000000001</v>
      </c>
      <c r="O1750">
        <v>1.165834523</v>
      </c>
      <c r="P1750">
        <v>16279</v>
      </c>
      <c r="Q1750">
        <v>27.59</v>
      </c>
      <c r="R1750">
        <v>3.31</v>
      </c>
      <c r="S1750">
        <v>82.2</v>
      </c>
      <c r="T1750">
        <v>28</v>
      </c>
      <c r="U1750" s="1" t="s">
        <v>100</v>
      </c>
      <c r="V1750">
        <v>4.24</v>
      </c>
    </row>
    <row r="1751" spans="1:22" x14ac:dyDescent="0.3">
      <c r="A1751" s="2">
        <v>45806</v>
      </c>
      <c r="B1751">
        <v>45500</v>
      </c>
      <c r="C1751">
        <v>1975</v>
      </c>
      <c r="D1751">
        <v>5</v>
      </c>
      <c r="E1751" s="1" t="s">
        <v>43</v>
      </c>
      <c r="F1751">
        <v>3</v>
      </c>
      <c r="G1751" s="1" t="s">
        <v>23</v>
      </c>
      <c r="J1751">
        <v>45500</v>
      </c>
      <c r="K1751">
        <v>44000</v>
      </c>
      <c r="L1751">
        <v>46000</v>
      </c>
      <c r="M1751">
        <v>0</v>
      </c>
      <c r="N1751">
        <v>133.48670000000001</v>
      </c>
      <c r="O1751">
        <v>1.165834523</v>
      </c>
      <c r="P1751">
        <v>16286</v>
      </c>
      <c r="Q1751">
        <v>27.5</v>
      </c>
      <c r="R1751">
        <v>22.57</v>
      </c>
      <c r="S1751">
        <v>78.849999999999994</v>
      </c>
      <c r="T1751">
        <v>29</v>
      </c>
      <c r="U1751" s="1" t="s">
        <v>25</v>
      </c>
      <c r="V1751">
        <v>0</v>
      </c>
    </row>
    <row r="1752" spans="1:22" x14ac:dyDescent="0.3">
      <c r="A1752" s="2">
        <v>45807</v>
      </c>
      <c r="B1752">
        <v>45500</v>
      </c>
      <c r="C1752">
        <v>1976</v>
      </c>
      <c r="D1752">
        <v>5</v>
      </c>
      <c r="E1752" s="1" t="s">
        <v>43</v>
      </c>
      <c r="F1752">
        <v>4</v>
      </c>
      <c r="G1752" s="1" t="s">
        <v>23</v>
      </c>
      <c r="J1752">
        <v>45500</v>
      </c>
      <c r="K1752">
        <v>43750</v>
      </c>
      <c r="L1752">
        <v>46650</v>
      </c>
      <c r="M1752">
        <v>0</v>
      </c>
      <c r="N1752">
        <v>133.48670000000001</v>
      </c>
      <c r="O1752">
        <v>1.165834523</v>
      </c>
      <c r="P1752">
        <v>16293</v>
      </c>
      <c r="Q1752">
        <v>27.48</v>
      </c>
      <c r="R1752">
        <v>2.84</v>
      </c>
      <c r="S1752">
        <v>79.94</v>
      </c>
      <c r="T1752">
        <v>30</v>
      </c>
      <c r="U1752" s="1" t="s">
        <v>25</v>
      </c>
      <c r="V1752">
        <v>0</v>
      </c>
    </row>
    <row r="1753" spans="1:22" x14ac:dyDescent="0.3">
      <c r="A1753" s="2">
        <v>45808</v>
      </c>
      <c r="B1753">
        <v>45500</v>
      </c>
      <c r="C1753">
        <v>1977</v>
      </c>
      <c r="D1753">
        <v>5</v>
      </c>
      <c r="E1753" s="1" t="s">
        <v>43</v>
      </c>
      <c r="F1753">
        <v>5</v>
      </c>
      <c r="G1753" s="1" t="s">
        <v>23</v>
      </c>
      <c r="J1753">
        <v>45500</v>
      </c>
      <c r="K1753">
        <v>43750</v>
      </c>
      <c r="L1753">
        <v>46650</v>
      </c>
      <c r="M1753">
        <v>0</v>
      </c>
      <c r="N1753">
        <v>133.48670000000001</v>
      </c>
      <c r="O1753">
        <v>1.165834523</v>
      </c>
      <c r="P1753">
        <v>16293</v>
      </c>
      <c r="Q1753">
        <v>26.98</v>
      </c>
      <c r="R1753">
        <v>5.25</v>
      </c>
      <c r="S1753">
        <v>82</v>
      </c>
      <c r="T1753">
        <v>31</v>
      </c>
      <c r="U1753" s="1" t="s">
        <v>25</v>
      </c>
      <c r="V1753">
        <v>0</v>
      </c>
    </row>
    <row r="1754" spans="1:22" x14ac:dyDescent="0.3">
      <c r="A1754" s="2">
        <v>45809</v>
      </c>
      <c r="B1754">
        <v>45500</v>
      </c>
      <c r="C1754">
        <v>1978</v>
      </c>
      <c r="D1754">
        <v>6</v>
      </c>
      <c r="E1754" s="1" t="s">
        <v>43</v>
      </c>
      <c r="F1754">
        <v>6</v>
      </c>
      <c r="G1754" s="1" t="s">
        <v>44</v>
      </c>
      <c r="H1754">
        <v>44971.428571428572</v>
      </c>
      <c r="J1754">
        <v>45500</v>
      </c>
      <c r="L1754">
        <v>45500</v>
      </c>
      <c r="M1754">
        <v>0</v>
      </c>
      <c r="N1754">
        <v>133.48670000000001</v>
      </c>
      <c r="O1754">
        <v>1.165834523</v>
      </c>
      <c r="P1754">
        <v>16293</v>
      </c>
      <c r="Q1754">
        <v>26.71</v>
      </c>
      <c r="R1754">
        <v>4.54</v>
      </c>
      <c r="S1754">
        <v>82.3</v>
      </c>
      <c r="T1754">
        <v>1</v>
      </c>
      <c r="U1754" s="1" t="s">
        <v>25</v>
      </c>
      <c r="V1754">
        <v>0</v>
      </c>
    </row>
    <row r="1755" spans="1:22" x14ac:dyDescent="0.3">
      <c r="A1755" s="2">
        <v>45810</v>
      </c>
      <c r="B1755">
        <v>49150</v>
      </c>
      <c r="C1755">
        <v>1979</v>
      </c>
      <c r="D1755">
        <v>6</v>
      </c>
      <c r="E1755" s="1" t="s">
        <v>43</v>
      </c>
      <c r="F1755">
        <v>0</v>
      </c>
      <c r="G1755" s="1" t="s">
        <v>23</v>
      </c>
      <c r="H1755">
        <v>45757.142857142855</v>
      </c>
      <c r="J1755">
        <v>45500</v>
      </c>
      <c r="K1755">
        <v>43650</v>
      </c>
      <c r="L1755">
        <v>45500</v>
      </c>
      <c r="M1755">
        <v>3650</v>
      </c>
      <c r="N1755">
        <v>133.48670000000001</v>
      </c>
      <c r="O1755">
        <v>1.165834523</v>
      </c>
      <c r="P1755">
        <v>16322</v>
      </c>
      <c r="Q1755">
        <v>26.48</v>
      </c>
      <c r="R1755">
        <v>10.99</v>
      </c>
      <c r="S1755">
        <v>85.31</v>
      </c>
      <c r="T1755">
        <v>2</v>
      </c>
      <c r="U1755" s="1"/>
      <c r="V1755">
        <v>0</v>
      </c>
    </row>
    <row r="1756" spans="1:22" x14ac:dyDescent="0.3">
      <c r="A1756" s="2">
        <v>45811</v>
      </c>
      <c r="B1756">
        <v>48900</v>
      </c>
      <c r="C1756">
        <v>1980</v>
      </c>
      <c r="D1756">
        <v>6</v>
      </c>
      <c r="E1756" s="1" t="s">
        <v>43</v>
      </c>
      <c r="F1756">
        <v>1</v>
      </c>
      <c r="G1756" s="1" t="s">
        <v>23</v>
      </c>
      <c r="H1756">
        <v>46507.142857142855</v>
      </c>
      <c r="J1756">
        <v>49150</v>
      </c>
      <c r="K1756">
        <v>43650</v>
      </c>
      <c r="L1756">
        <v>45500</v>
      </c>
      <c r="M1756">
        <v>-250</v>
      </c>
      <c r="N1756">
        <v>133.48670000000001</v>
      </c>
      <c r="O1756">
        <v>1.165834523</v>
      </c>
      <c r="P1756">
        <v>16288.5</v>
      </c>
      <c r="Q1756">
        <v>26.38</v>
      </c>
      <c r="R1756">
        <v>68.13</v>
      </c>
      <c r="S1756">
        <v>86.3</v>
      </c>
      <c r="T1756">
        <v>3</v>
      </c>
      <c r="U1756" s="1" t="s">
        <v>35</v>
      </c>
      <c r="V1756">
        <v>-0.51</v>
      </c>
    </row>
    <row r="1757" spans="1:22" x14ac:dyDescent="0.3">
      <c r="A1757" s="2">
        <v>45812</v>
      </c>
      <c r="B1757">
        <v>49650</v>
      </c>
      <c r="C1757">
        <v>1981</v>
      </c>
      <c r="D1757">
        <v>6</v>
      </c>
      <c r="E1757" s="1" t="s">
        <v>43</v>
      </c>
      <c r="F1757">
        <v>2</v>
      </c>
      <c r="G1757" s="1" t="s">
        <v>23</v>
      </c>
      <c r="H1757">
        <v>47100</v>
      </c>
      <c r="J1757">
        <v>48900</v>
      </c>
      <c r="K1757">
        <v>45500</v>
      </c>
      <c r="L1757">
        <v>43650</v>
      </c>
      <c r="M1757">
        <v>750</v>
      </c>
      <c r="N1757">
        <v>133.48670000000001</v>
      </c>
      <c r="O1757">
        <v>1.165834523</v>
      </c>
      <c r="P1757">
        <v>16332.400390000001</v>
      </c>
      <c r="Q1757">
        <v>26.46</v>
      </c>
      <c r="R1757">
        <v>4.12</v>
      </c>
      <c r="S1757">
        <v>84</v>
      </c>
      <c r="T1757">
        <v>4</v>
      </c>
      <c r="U1757" s="1" t="s">
        <v>52</v>
      </c>
      <c r="V1757">
        <v>1.53</v>
      </c>
    </row>
    <row r="1758" spans="1:22" x14ac:dyDescent="0.3">
      <c r="A1758" s="2">
        <v>45813</v>
      </c>
      <c r="B1758">
        <v>49000</v>
      </c>
      <c r="C1758">
        <v>1982</v>
      </c>
      <c r="D1758">
        <v>6</v>
      </c>
      <c r="E1758" s="1" t="s">
        <v>43</v>
      </c>
      <c r="F1758">
        <v>3</v>
      </c>
      <c r="G1758" s="1" t="s">
        <v>23</v>
      </c>
      <c r="H1758">
        <v>47600</v>
      </c>
      <c r="J1758">
        <v>49650</v>
      </c>
      <c r="K1758">
        <v>45500</v>
      </c>
      <c r="L1758">
        <v>43650</v>
      </c>
      <c r="M1758">
        <v>-650</v>
      </c>
      <c r="N1758">
        <v>133.48670000000001</v>
      </c>
      <c r="O1758">
        <v>1.165834523</v>
      </c>
      <c r="P1758">
        <v>16291.5</v>
      </c>
      <c r="Q1758">
        <v>27.16</v>
      </c>
      <c r="R1758">
        <v>0.98</v>
      </c>
      <c r="S1758">
        <v>80.06</v>
      </c>
      <c r="T1758">
        <v>5</v>
      </c>
      <c r="U1758" s="1" t="s">
        <v>72</v>
      </c>
      <c r="V1758">
        <v>-1.31</v>
      </c>
    </row>
    <row r="1759" spans="1:22" x14ac:dyDescent="0.3">
      <c r="A1759" s="2">
        <v>45814</v>
      </c>
      <c r="B1759">
        <v>49000</v>
      </c>
      <c r="C1759">
        <v>1983</v>
      </c>
      <c r="D1759">
        <v>6</v>
      </c>
      <c r="E1759" s="1" t="s">
        <v>43</v>
      </c>
      <c r="F1759">
        <v>4</v>
      </c>
      <c r="G1759" s="1" t="s">
        <v>44</v>
      </c>
      <c r="H1759">
        <v>48100</v>
      </c>
      <c r="J1759">
        <v>49000</v>
      </c>
      <c r="K1759">
        <v>45500</v>
      </c>
      <c r="L1759">
        <v>43650</v>
      </c>
      <c r="M1759">
        <v>0</v>
      </c>
      <c r="N1759">
        <v>133.48670000000001</v>
      </c>
      <c r="O1759">
        <v>1.165834523</v>
      </c>
      <c r="P1759">
        <v>16246.400390000001</v>
      </c>
      <c r="Q1759">
        <v>27.53</v>
      </c>
      <c r="R1759">
        <v>1.28</v>
      </c>
      <c r="S1759">
        <v>81.040000000000006</v>
      </c>
      <c r="T1759">
        <v>6</v>
      </c>
      <c r="U1759" s="1" t="s">
        <v>25</v>
      </c>
      <c r="V1759">
        <v>0</v>
      </c>
    </row>
    <row r="1760" spans="1:22" x14ac:dyDescent="0.3">
      <c r="A1760" s="2">
        <v>45815</v>
      </c>
      <c r="B1760">
        <v>49000</v>
      </c>
      <c r="C1760">
        <v>1984</v>
      </c>
      <c r="D1760">
        <v>6</v>
      </c>
      <c r="E1760" s="1" t="s">
        <v>43</v>
      </c>
      <c r="F1760">
        <v>5</v>
      </c>
      <c r="G1760" s="1" t="s">
        <v>23</v>
      </c>
      <c r="H1760">
        <v>48600</v>
      </c>
      <c r="J1760">
        <v>49000</v>
      </c>
      <c r="K1760">
        <v>45500</v>
      </c>
      <c r="L1760">
        <v>43650</v>
      </c>
      <c r="M1760">
        <v>0</v>
      </c>
      <c r="N1760">
        <v>133.48670000000001</v>
      </c>
      <c r="O1760">
        <v>1.165834523</v>
      </c>
      <c r="P1760">
        <v>16246.400390000001</v>
      </c>
      <c r="Q1760">
        <v>27.5</v>
      </c>
      <c r="R1760">
        <v>3.34</v>
      </c>
      <c r="S1760">
        <v>82.45</v>
      </c>
      <c r="T1760">
        <v>7</v>
      </c>
      <c r="U1760" s="1" t="s">
        <v>25</v>
      </c>
      <c r="V1760">
        <v>0</v>
      </c>
    </row>
    <row r="1761" spans="1:22" x14ac:dyDescent="0.3">
      <c r="A1761" s="2">
        <v>45816</v>
      </c>
      <c r="B1761">
        <v>49000</v>
      </c>
      <c r="C1761">
        <v>1985</v>
      </c>
      <c r="D1761">
        <v>6</v>
      </c>
      <c r="E1761" s="1" t="s">
        <v>43</v>
      </c>
      <c r="F1761">
        <v>6</v>
      </c>
      <c r="G1761" s="1" t="s">
        <v>23</v>
      </c>
      <c r="H1761">
        <v>49100</v>
      </c>
      <c r="J1761">
        <v>49000</v>
      </c>
      <c r="K1761">
        <v>45500</v>
      </c>
      <c r="L1761">
        <v>43750</v>
      </c>
      <c r="M1761">
        <v>0</v>
      </c>
      <c r="N1761">
        <v>133.48670000000001</v>
      </c>
      <c r="O1761">
        <v>1.165834523</v>
      </c>
      <c r="P1761">
        <v>16246.400390000001</v>
      </c>
      <c r="Q1761">
        <v>27.52</v>
      </c>
      <c r="R1761">
        <v>1.98</v>
      </c>
      <c r="S1761">
        <v>81.709999999999994</v>
      </c>
      <c r="T1761">
        <v>8</v>
      </c>
      <c r="U1761" s="1" t="s">
        <v>25</v>
      </c>
      <c r="V1761">
        <v>0</v>
      </c>
    </row>
    <row r="1762" spans="1:22" x14ac:dyDescent="0.3">
      <c r="A1762" s="2">
        <v>45817</v>
      </c>
      <c r="B1762">
        <v>49000</v>
      </c>
      <c r="C1762">
        <v>1986</v>
      </c>
      <c r="D1762">
        <v>6</v>
      </c>
      <c r="E1762" s="1" t="s">
        <v>43</v>
      </c>
      <c r="F1762">
        <v>0</v>
      </c>
      <c r="G1762" s="1" t="s">
        <v>23</v>
      </c>
      <c r="H1762">
        <v>49078.571428571428</v>
      </c>
      <c r="J1762">
        <v>49000</v>
      </c>
      <c r="K1762">
        <v>49150</v>
      </c>
      <c r="L1762">
        <v>43750</v>
      </c>
      <c r="M1762">
        <v>0</v>
      </c>
      <c r="N1762">
        <v>133.48670000000001</v>
      </c>
      <c r="O1762">
        <v>1.165834523</v>
      </c>
      <c r="P1762">
        <v>16309</v>
      </c>
      <c r="Q1762">
        <v>27.4</v>
      </c>
      <c r="R1762">
        <v>1.02</v>
      </c>
      <c r="S1762">
        <v>79.930000000000007</v>
      </c>
      <c r="T1762">
        <v>9</v>
      </c>
      <c r="U1762" s="1" t="s">
        <v>25</v>
      </c>
      <c r="V1762">
        <v>0</v>
      </c>
    </row>
    <row r="1763" spans="1:22" x14ac:dyDescent="0.3">
      <c r="A1763" s="2">
        <v>45818</v>
      </c>
      <c r="B1763">
        <v>49000</v>
      </c>
      <c r="C1763">
        <v>1987</v>
      </c>
      <c r="D1763">
        <v>6</v>
      </c>
      <c r="E1763" s="1" t="s">
        <v>43</v>
      </c>
      <c r="F1763">
        <v>1</v>
      </c>
      <c r="G1763" s="1" t="s">
        <v>23</v>
      </c>
      <c r="H1763">
        <v>49092.857142857145</v>
      </c>
      <c r="J1763">
        <v>49000</v>
      </c>
      <c r="K1763">
        <v>48900</v>
      </c>
      <c r="L1763">
        <v>43750</v>
      </c>
      <c r="M1763">
        <v>0</v>
      </c>
      <c r="N1763">
        <v>133.48670000000001</v>
      </c>
      <c r="O1763">
        <v>1.165834523</v>
      </c>
      <c r="P1763">
        <v>16278.799800000001</v>
      </c>
      <c r="Q1763">
        <v>27.93</v>
      </c>
      <c r="R1763">
        <v>1.58</v>
      </c>
      <c r="S1763">
        <v>79.760000000000005</v>
      </c>
      <c r="T1763">
        <v>10</v>
      </c>
      <c r="U1763" s="1" t="s">
        <v>25</v>
      </c>
      <c r="V1763">
        <v>0</v>
      </c>
    </row>
    <row r="1764" spans="1:22" x14ac:dyDescent="0.3">
      <c r="A1764" s="2">
        <v>45819</v>
      </c>
      <c r="B1764">
        <v>48250</v>
      </c>
      <c r="C1764">
        <v>1988</v>
      </c>
      <c r="D1764">
        <v>6</v>
      </c>
      <c r="E1764" s="1" t="s">
        <v>43</v>
      </c>
      <c r="F1764">
        <v>2</v>
      </c>
      <c r="G1764" s="1" t="s">
        <v>44</v>
      </c>
      <c r="H1764">
        <v>48892.857142857145</v>
      </c>
      <c r="J1764">
        <v>49000</v>
      </c>
      <c r="K1764">
        <v>49650</v>
      </c>
      <c r="L1764">
        <v>43750</v>
      </c>
      <c r="M1764">
        <v>-750</v>
      </c>
      <c r="N1764">
        <v>133.48670000000001</v>
      </c>
      <c r="O1764">
        <v>1.165834523</v>
      </c>
      <c r="P1764">
        <v>16247.799800000001</v>
      </c>
      <c r="Q1764">
        <v>27.58</v>
      </c>
      <c r="R1764">
        <v>1.99</v>
      </c>
      <c r="S1764">
        <v>84.91</v>
      </c>
      <c r="T1764">
        <v>11</v>
      </c>
      <c r="U1764" s="1" t="s">
        <v>42</v>
      </c>
      <c r="V1764">
        <v>-1.53</v>
      </c>
    </row>
    <row r="1765" spans="1:22" x14ac:dyDescent="0.3">
      <c r="A1765" s="2">
        <v>45820</v>
      </c>
      <c r="B1765">
        <v>49150</v>
      </c>
      <c r="C1765">
        <v>1989</v>
      </c>
      <c r="D1765">
        <v>6</v>
      </c>
      <c r="E1765" s="1" t="s">
        <v>43</v>
      </c>
      <c r="F1765">
        <v>3</v>
      </c>
      <c r="G1765" s="1" t="s">
        <v>23</v>
      </c>
      <c r="H1765">
        <v>48914.285714285717</v>
      </c>
      <c r="J1765">
        <v>48250</v>
      </c>
      <c r="K1765">
        <v>49000</v>
      </c>
      <c r="L1765">
        <v>41900</v>
      </c>
      <c r="M1765">
        <v>900</v>
      </c>
      <c r="N1765">
        <v>133.48670000000001</v>
      </c>
      <c r="O1765">
        <v>1.165834523</v>
      </c>
      <c r="P1765">
        <v>15778</v>
      </c>
      <c r="Q1765">
        <v>27.17</v>
      </c>
      <c r="R1765">
        <v>4.18</v>
      </c>
      <c r="S1765">
        <v>85.1</v>
      </c>
      <c r="T1765">
        <v>12</v>
      </c>
      <c r="U1765" s="1" t="s">
        <v>80</v>
      </c>
      <c r="V1765">
        <v>1.87</v>
      </c>
    </row>
    <row r="1766" spans="1:22" x14ac:dyDescent="0.3">
      <c r="A1766" s="2">
        <v>45821</v>
      </c>
      <c r="B1766">
        <v>48250</v>
      </c>
      <c r="C1766">
        <v>1990</v>
      </c>
      <c r="D1766">
        <v>6</v>
      </c>
      <c r="E1766" s="1" t="s">
        <v>43</v>
      </c>
      <c r="F1766">
        <v>4</v>
      </c>
      <c r="G1766" s="1" t="s">
        <v>23</v>
      </c>
      <c r="H1766">
        <v>48807.142857142855</v>
      </c>
      <c r="J1766">
        <v>49150</v>
      </c>
      <c r="K1766">
        <v>49000</v>
      </c>
      <c r="L1766">
        <v>43150</v>
      </c>
      <c r="M1766">
        <v>-900</v>
      </c>
      <c r="N1766">
        <v>133.48670000000001</v>
      </c>
      <c r="O1766">
        <v>1.165834523</v>
      </c>
      <c r="P1766">
        <v>16164.5</v>
      </c>
      <c r="Q1766">
        <v>27.23</v>
      </c>
      <c r="R1766">
        <v>7</v>
      </c>
      <c r="S1766">
        <v>82.7</v>
      </c>
      <c r="T1766">
        <v>13</v>
      </c>
      <c r="U1766" s="1" t="s">
        <v>67</v>
      </c>
      <c r="V1766">
        <v>-1.83</v>
      </c>
    </row>
    <row r="1767" spans="1:22" x14ac:dyDescent="0.3">
      <c r="A1767" s="2">
        <v>45822</v>
      </c>
      <c r="B1767">
        <v>48250</v>
      </c>
      <c r="C1767">
        <v>1991</v>
      </c>
      <c r="D1767">
        <v>6</v>
      </c>
      <c r="E1767" s="1" t="s">
        <v>43</v>
      </c>
      <c r="F1767">
        <v>5</v>
      </c>
      <c r="G1767" s="1" t="s">
        <v>23</v>
      </c>
      <c r="H1767">
        <v>48700</v>
      </c>
      <c r="J1767">
        <v>48250</v>
      </c>
      <c r="K1767">
        <v>49000</v>
      </c>
      <c r="L1767">
        <v>43650</v>
      </c>
      <c r="M1767">
        <v>0</v>
      </c>
      <c r="N1767">
        <v>133.48670000000001</v>
      </c>
      <c r="O1767">
        <v>1.165834523</v>
      </c>
      <c r="P1767">
        <v>16164.5</v>
      </c>
      <c r="Q1767">
        <v>26.78</v>
      </c>
      <c r="R1767">
        <v>6.88</v>
      </c>
      <c r="S1767">
        <v>85.47</v>
      </c>
      <c r="T1767">
        <v>14</v>
      </c>
      <c r="U1767" s="1" t="s">
        <v>67</v>
      </c>
      <c r="V1767">
        <v>-1.83</v>
      </c>
    </row>
    <row r="1768" spans="1:22" x14ac:dyDescent="0.3">
      <c r="A1768" s="2">
        <v>45823</v>
      </c>
      <c r="B1768">
        <v>48250</v>
      </c>
      <c r="C1768">
        <v>1992</v>
      </c>
      <c r="D1768">
        <v>6</v>
      </c>
      <c r="E1768" s="1" t="s">
        <v>43</v>
      </c>
      <c r="F1768">
        <v>6</v>
      </c>
      <c r="G1768" s="1" t="s">
        <v>23</v>
      </c>
      <c r="H1768">
        <v>48592.857142857145</v>
      </c>
      <c r="J1768">
        <v>48250</v>
      </c>
      <c r="K1768">
        <v>49000</v>
      </c>
      <c r="L1768">
        <v>43400</v>
      </c>
      <c r="M1768">
        <v>0</v>
      </c>
      <c r="N1768">
        <v>133.48670000000001</v>
      </c>
      <c r="O1768">
        <v>1.165834523</v>
      </c>
      <c r="P1768">
        <v>16164.5</v>
      </c>
      <c r="Q1768">
        <v>26.99</v>
      </c>
      <c r="R1768">
        <v>3.43</v>
      </c>
      <c r="S1768">
        <v>82.9</v>
      </c>
      <c r="T1768">
        <v>15</v>
      </c>
      <c r="U1768" s="1" t="s">
        <v>67</v>
      </c>
      <c r="V1768">
        <v>-1.83</v>
      </c>
    </row>
    <row r="1769" spans="1:22" x14ac:dyDescent="0.3">
      <c r="A1769" s="2">
        <v>45824</v>
      </c>
      <c r="B1769">
        <v>54150</v>
      </c>
      <c r="C1769">
        <v>1993</v>
      </c>
      <c r="D1769">
        <v>6</v>
      </c>
      <c r="E1769" s="1" t="s">
        <v>43</v>
      </c>
      <c r="F1769">
        <v>0</v>
      </c>
      <c r="G1769" s="1" t="s">
        <v>23</v>
      </c>
      <c r="H1769">
        <v>49328.571428571428</v>
      </c>
      <c r="J1769">
        <v>48250</v>
      </c>
      <c r="K1769">
        <v>49000</v>
      </c>
      <c r="M1769">
        <v>5900</v>
      </c>
      <c r="N1769">
        <v>133.48670000000001</v>
      </c>
      <c r="O1769">
        <v>1.165834523</v>
      </c>
      <c r="P1769">
        <v>16282.599609999999</v>
      </c>
      <c r="Q1769">
        <v>26.68</v>
      </c>
      <c r="R1769">
        <v>1.43</v>
      </c>
      <c r="S1769">
        <v>84.85</v>
      </c>
      <c r="T1769">
        <v>16</v>
      </c>
      <c r="U1769" s="1" t="s">
        <v>118</v>
      </c>
      <c r="V1769">
        <v>12.23</v>
      </c>
    </row>
    <row r="1770" spans="1:22" x14ac:dyDescent="0.3">
      <c r="A1770" s="2">
        <v>45825</v>
      </c>
      <c r="B1770">
        <v>54650</v>
      </c>
      <c r="C1770">
        <v>1994</v>
      </c>
      <c r="D1770">
        <v>6</v>
      </c>
      <c r="E1770" s="1" t="s">
        <v>43</v>
      </c>
      <c r="F1770">
        <v>1</v>
      </c>
      <c r="G1770" s="1" t="s">
        <v>23</v>
      </c>
      <c r="H1770">
        <v>50135.714285714283</v>
      </c>
      <c r="J1770">
        <v>54150</v>
      </c>
      <c r="K1770">
        <v>49000</v>
      </c>
      <c r="M1770">
        <v>500</v>
      </c>
      <c r="N1770">
        <v>133.48670000000001</v>
      </c>
      <c r="O1770">
        <v>1.165834523</v>
      </c>
      <c r="P1770">
        <v>15801</v>
      </c>
      <c r="Q1770">
        <v>26.5</v>
      </c>
      <c r="R1770">
        <v>6.48</v>
      </c>
      <c r="S1770">
        <v>86.06</v>
      </c>
      <c r="T1770">
        <v>17</v>
      </c>
      <c r="U1770" s="1" t="s">
        <v>26</v>
      </c>
      <c r="V1770">
        <v>0.92</v>
      </c>
    </row>
    <row r="1771" spans="1:22" x14ac:dyDescent="0.3">
      <c r="A1771" s="2">
        <v>45826</v>
      </c>
      <c r="B1771">
        <v>55250</v>
      </c>
      <c r="C1771">
        <v>1995</v>
      </c>
      <c r="D1771">
        <v>6</v>
      </c>
      <c r="E1771" s="1" t="s">
        <v>43</v>
      </c>
      <c r="F1771">
        <v>2</v>
      </c>
      <c r="G1771" s="1" t="s">
        <v>23</v>
      </c>
      <c r="H1771">
        <v>51135.714285714283</v>
      </c>
      <c r="J1771">
        <v>54650</v>
      </c>
      <c r="K1771">
        <v>48250</v>
      </c>
      <c r="L1771">
        <v>44500</v>
      </c>
      <c r="M1771">
        <v>600</v>
      </c>
      <c r="N1771">
        <v>133.48670000000001</v>
      </c>
      <c r="O1771">
        <v>1.165834523</v>
      </c>
      <c r="P1771">
        <v>16275</v>
      </c>
      <c r="Q1771">
        <v>26.31</v>
      </c>
      <c r="R1771">
        <v>13.18</v>
      </c>
      <c r="S1771">
        <v>85.99</v>
      </c>
      <c r="T1771">
        <v>18</v>
      </c>
      <c r="U1771" s="1" t="s">
        <v>64</v>
      </c>
      <c r="V1771">
        <v>1.1000000000000001</v>
      </c>
    </row>
    <row r="1772" spans="1:22" x14ac:dyDescent="0.3">
      <c r="A1772" s="2">
        <v>45827</v>
      </c>
      <c r="B1772">
        <v>55250</v>
      </c>
      <c r="C1772">
        <v>1996</v>
      </c>
      <c r="D1772">
        <v>6</v>
      </c>
      <c r="E1772" s="1" t="s">
        <v>43</v>
      </c>
      <c r="F1772">
        <v>3</v>
      </c>
      <c r="G1772" s="1" t="s">
        <v>23</v>
      </c>
      <c r="H1772">
        <v>52007.142857142855</v>
      </c>
      <c r="J1772">
        <v>55250</v>
      </c>
      <c r="K1772">
        <v>49150</v>
      </c>
      <c r="L1772">
        <v>44250</v>
      </c>
      <c r="M1772">
        <v>0</v>
      </c>
      <c r="N1772">
        <v>133.48670000000001</v>
      </c>
      <c r="O1772">
        <v>1.165834523</v>
      </c>
      <c r="P1772">
        <v>15598.5</v>
      </c>
      <c r="Q1772">
        <v>26.36</v>
      </c>
      <c r="R1772">
        <v>8.9499999999999993</v>
      </c>
      <c r="S1772">
        <v>83.59</v>
      </c>
      <c r="T1772">
        <v>19</v>
      </c>
      <c r="U1772" s="1" t="s">
        <v>25</v>
      </c>
      <c r="V1772">
        <v>0</v>
      </c>
    </row>
    <row r="1773" spans="1:22" x14ac:dyDescent="0.3">
      <c r="A1773" s="2">
        <v>45828</v>
      </c>
      <c r="B1773">
        <v>57500</v>
      </c>
      <c r="C1773">
        <v>1997</v>
      </c>
      <c r="D1773">
        <v>6</v>
      </c>
      <c r="E1773" s="1" t="s">
        <v>43</v>
      </c>
      <c r="F1773">
        <v>4</v>
      </c>
      <c r="G1773" s="1" t="s">
        <v>23</v>
      </c>
      <c r="H1773">
        <v>53328.571428571428</v>
      </c>
      <c r="J1773">
        <v>55250</v>
      </c>
      <c r="K1773">
        <v>48250</v>
      </c>
      <c r="L1773">
        <v>44250</v>
      </c>
      <c r="M1773">
        <v>2250</v>
      </c>
      <c r="N1773">
        <v>133.48670000000001</v>
      </c>
      <c r="O1773">
        <v>1.165834523</v>
      </c>
      <c r="P1773">
        <v>16390</v>
      </c>
      <c r="Q1773">
        <v>26.71</v>
      </c>
      <c r="R1773">
        <v>5.85</v>
      </c>
      <c r="S1773">
        <v>82.6</v>
      </c>
      <c r="T1773">
        <v>20</v>
      </c>
      <c r="U1773" s="1" t="s">
        <v>55</v>
      </c>
      <c r="V1773">
        <v>4.07</v>
      </c>
    </row>
    <row r="1774" spans="1:22" x14ac:dyDescent="0.3">
      <c r="A1774" s="2">
        <v>45829</v>
      </c>
      <c r="B1774">
        <v>57500</v>
      </c>
      <c r="C1774">
        <v>1998</v>
      </c>
      <c r="D1774">
        <v>6</v>
      </c>
      <c r="E1774" s="1" t="s">
        <v>43</v>
      </c>
      <c r="F1774">
        <v>5</v>
      </c>
      <c r="G1774" s="1" t="s">
        <v>23</v>
      </c>
      <c r="H1774">
        <v>54650</v>
      </c>
      <c r="J1774">
        <v>57500</v>
      </c>
      <c r="K1774">
        <v>48250</v>
      </c>
      <c r="L1774">
        <v>44000</v>
      </c>
      <c r="M1774">
        <v>0</v>
      </c>
      <c r="N1774">
        <v>133.48670000000001</v>
      </c>
      <c r="O1774">
        <v>1.165834523</v>
      </c>
      <c r="P1774">
        <v>16390</v>
      </c>
      <c r="Q1774">
        <v>26.23</v>
      </c>
      <c r="R1774">
        <v>29.39</v>
      </c>
      <c r="S1774">
        <v>85.66</v>
      </c>
      <c r="T1774">
        <v>21</v>
      </c>
      <c r="U1774" s="1" t="s">
        <v>55</v>
      </c>
      <c r="V1774">
        <v>4.07</v>
      </c>
    </row>
    <row r="1775" spans="1:22" x14ac:dyDescent="0.3">
      <c r="A1775" s="2">
        <v>45830</v>
      </c>
      <c r="B1775">
        <v>57500</v>
      </c>
      <c r="C1775">
        <v>1999</v>
      </c>
      <c r="D1775">
        <v>6</v>
      </c>
      <c r="E1775" s="1" t="s">
        <v>43</v>
      </c>
      <c r="F1775">
        <v>6</v>
      </c>
      <c r="G1775" s="1" t="s">
        <v>23</v>
      </c>
      <c r="H1775">
        <v>55971.428571428572</v>
      </c>
      <c r="J1775">
        <v>57500</v>
      </c>
      <c r="K1775">
        <v>48250</v>
      </c>
      <c r="L1775">
        <v>43750</v>
      </c>
      <c r="M1775">
        <v>0</v>
      </c>
      <c r="N1775">
        <v>133.48670000000001</v>
      </c>
      <c r="O1775">
        <v>1.165834523</v>
      </c>
      <c r="P1775">
        <v>16390</v>
      </c>
      <c r="Q1775">
        <v>26.02</v>
      </c>
      <c r="R1775">
        <v>8.9</v>
      </c>
      <c r="S1775">
        <v>83.82</v>
      </c>
      <c r="T1775">
        <v>22</v>
      </c>
      <c r="U1775" s="1" t="s">
        <v>55</v>
      </c>
      <c r="V1775">
        <v>4.07</v>
      </c>
    </row>
    <row r="1776" spans="1:22" x14ac:dyDescent="0.3">
      <c r="A1776" s="2">
        <v>45831</v>
      </c>
      <c r="B1776">
        <v>58150</v>
      </c>
      <c r="C1776">
        <v>2000</v>
      </c>
      <c r="D1776">
        <v>6</v>
      </c>
      <c r="E1776" s="1" t="s">
        <v>43</v>
      </c>
      <c r="F1776">
        <v>0</v>
      </c>
      <c r="G1776" s="1" t="s">
        <v>23</v>
      </c>
      <c r="H1776">
        <v>56542.857142857145</v>
      </c>
      <c r="J1776">
        <v>57500</v>
      </c>
      <c r="K1776">
        <v>54150</v>
      </c>
      <c r="L1776">
        <v>43750</v>
      </c>
      <c r="M1776">
        <v>650</v>
      </c>
      <c r="N1776">
        <v>133.48670000000001</v>
      </c>
      <c r="O1776">
        <v>1.165834523</v>
      </c>
      <c r="P1776">
        <v>16431</v>
      </c>
      <c r="Q1776">
        <v>26.43</v>
      </c>
      <c r="R1776">
        <v>3.98</v>
      </c>
      <c r="S1776">
        <v>78.400000000000006</v>
      </c>
      <c r="T1776">
        <v>23</v>
      </c>
      <c r="U1776" s="1"/>
      <c r="V1776">
        <v>0</v>
      </c>
    </row>
    <row r="1777" spans="1:22" x14ac:dyDescent="0.3">
      <c r="A1777" s="2">
        <v>45832</v>
      </c>
      <c r="B1777">
        <v>57650</v>
      </c>
      <c r="C1777">
        <v>2001</v>
      </c>
      <c r="D1777">
        <v>6</v>
      </c>
      <c r="E1777" s="1" t="s">
        <v>43</v>
      </c>
      <c r="F1777">
        <v>1</v>
      </c>
      <c r="G1777" s="1" t="s">
        <v>23</v>
      </c>
      <c r="H1777">
        <v>56971.428571428572</v>
      </c>
      <c r="I1777">
        <v>50208.333333333336</v>
      </c>
      <c r="J1777">
        <v>58150</v>
      </c>
      <c r="K1777">
        <v>54650</v>
      </c>
      <c r="M1777">
        <v>-500</v>
      </c>
      <c r="N1777">
        <v>133.48670000000001</v>
      </c>
      <c r="O1777">
        <v>1.165834523</v>
      </c>
      <c r="P1777">
        <v>16370</v>
      </c>
      <c r="Q1777">
        <v>27.2</v>
      </c>
      <c r="R1777">
        <v>2.56</v>
      </c>
      <c r="S1777">
        <v>77.760000000000005</v>
      </c>
      <c r="T1777">
        <v>24</v>
      </c>
      <c r="U1777" s="1" t="s">
        <v>24</v>
      </c>
      <c r="V1777">
        <v>-0.86</v>
      </c>
    </row>
    <row r="1778" spans="1:22" x14ac:dyDescent="0.3">
      <c r="A1778" s="2">
        <v>45833</v>
      </c>
      <c r="B1778">
        <v>57650</v>
      </c>
      <c r="C1778">
        <v>2002</v>
      </c>
      <c r="D1778">
        <v>6</v>
      </c>
      <c r="E1778" s="1" t="s">
        <v>43</v>
      </c>
      <c r="F1778">
        <v>2</v>
      </c>
      <c r="G1778" s="1" t="s">
        <v>23</v>
      </c>
      <c r="H1778">
        <v>57314.285714285717</v>
      </c>
      <c r="I1778">
        <v>50675</v>
      </c>
      <c r="J1778">
        <v>57650</v>
      </c>
      <c r="K1778">
        <v>55250</v>
      </c>
      <c r="L1778">
        <v>43650</v>
      </c>
      <c r="M1778">
        <v>0</v>
      </c>
      <c r="N1778">
        <v>133.48670000000001</v>
      </c>
      <c r="O1778">
        <v>1.165834523</v>
      </c>
      <c r="P1778">
        <v>16290</v>
      </c>
      <c r="Q1778">
        <v>27.03</v>
      </c>
      <c r="R1778">
        <v>10.99</v>
      </c>
      <c r="S1778">
        <v>83.31</v>
      </c>
      <c r="T1778">
        <v>25</v>
      </c>
      <c r="U1778" s="1" t="s">
        <v>25</v>
      </c>
      <c r="V1778">
        <v>0</v>
      </c>
    </row>
    <row r="1779" spans="1:22" x14ac:dyDescent="0.3">
      <c r="A1779" s="2">
        <v>45834</v>
      </c>
      <c r="B1779">
        <v>57650</v>
      </c>
      <c r="C1779">
        <v>2003</v>
      </c>
      <c r="D1779">
        <v>6</v>
      </c>
      <c r="E1779" s="1" t="s">
        <v>43</v>
      </c>
      <c r="F1779">
        <v>3</v>
      </c>
      <c r="G1779" s="1" t="s">
        <v>23</v>
      </c>
      <c r="H1779">
        <v>57657.142857142855</v>
      </c>
      <c r="I1779">
        <v>51141.666666666664</v>
      </c>
      <c r="J1779">
        <v>57650</v>
      </c>
      <c r="K1779">
        <v>55250</v>
      </c>
      <c r="L1779">
        <v>43650</v>
      </c>
      <c r="M1779">
        <v>0</v>
      </c>
      <c r="N1779">
        <v>133.48670000000001</v>
      </c>
      <c r="O1779">
        <v>1.165834523</v>
      </c>
      <c r="P1779">
        <v>16290</v>
      </c>
      <c r="Q1779">
        <v>27.47</v>
      </c>
      <c r="R1779">
        <v>11.47</v>
      </c>
      <c r="S1779">
        <v>76.930000000000007</v>
      </c>
      <c r="T1779">
        <v>26</v>
      </c>
      <c r="U1779" s="1" t="s">
        <v>25</v>
      </c>
      <c r="V1779">
        <v>0</v>
      </c>
    </row>
    <row r="1780" spans="1:22" x14ac:dyDescent="0.3">
      <c r="A1780" s="2">
        <v>45835</v>
      </c>
      <c r="B1780">
        <v>57650</v>
      </c>
      <c r="C1780">
        <v>2004</v>
      </c>
      <c r="D1780">
        <v>6</v>
      </c>
      <c r="E1780" s="1" t="s">
        <v>43</v>
      </c>
      <c r="F1780">
        <v>4</v>
      </c>
      <c r="G1780" s="1" t="s">
        <v>44</v>
      </c>
      <c r="H1780">
        <v>57678.571428571428</v>
      </c>
      <c r="I1780">
        <v>51546.666666666664</v>
      </c>
      <c r="J1780">
        <v>57650</v>
      </c>
      <c r="K1780">
        <v>57500</v>
      </c>
      <c r="L1780">
        <v>45500</v>
      </c>
      <c r="M1780">
        <v>0</v>
      </c>
      <c r="N1780">
        <v>133.48670000000001</v>
      </c>
      <c r="O1780">
        <v>1.165834523</v>
      </c>
      <c r="P1780">
        <v>16222.799800000001</v>
      </c>
      <c r="Q1780">
        <v>27.23</v>
      </c>
      <c r="R1780">
        <v>2.02</v>
      </c>
      <c r="S1780">
        <v>79.760000000000005</v>
      </c>
      <c r="T1780">
        <v>27</v>
      </c>
      <c r="U1780" s="1" t="s">
        <v>25</v>
      </c>
      <c r="V1780">
        <v>0</v>
      </c>
    </row>
    <row r="1781" spans="1:22" x14ac:dyDescent="0.3">
      <c r="A1781" s="2">
        <v>45836</v>
      </c>
      <c r="B1781">
        <v>57650</v>
      </c>
      <c r="C1781">
        <v>2005</v>
      </c>
      <c r="D1781">
        <v>6</v>
      </c>
      <c r="E1781" s="1" t="s">
        <v>43</v>
      </c>
      <c r="F1781">
        <v>5</v>
      </c>
      <c r="G1781" s="1" t="s">
        <v>23</v>
      </c>
      <c r="H1781">
        <v>57700</v>
      </c>
      <c r="I1781">
        <v>51951.666666666664</v>
      </c>
      <c r="J1781">
        <v>57650</v>
      </c>
      <c r="K1781">
        <v>57500</v>
      </c>
      <c r="L1781">
        <v>45500</v>
      </c>
      <c r="M1781">
        <v>0</v>
      </c>
      <c r="N1781">
        <v>133.48670000000001</v>
      </c>
      <c r="O1781">
        <v>1.165834523</v>
      </c>
      <c r="P1781">
        <v>16222.799800000001</v>
      </c>
      <c r="Q1781">
        <v>27.79</v>
      </c>
      <c r="R1781">
        <v>1.1599999999999999</v>
      </c>
      <c r="S1781">
        <v>76.209999999999994</v>
      </c>
      <c r="T1781">
        <v>28</v>
      </c>
      <c r="U1781" s="1" t="s">
        <v>25</v>
      </c>
      <c r="V1781">
        <v>0</v>
      </c>
    </row>
    <row r="1782" spans="1:22" x14ac:dyDescent="0.3">
      <c r="A1782" s="2">
        <v>45837</v>
      </c>
      <c r="B1782">
        <v>57650</v>
      </c>
      <c r="C1782">
        <v>2006</v>
      </c>
      <c r="D1782">
        <v>6</v>
      </c>
      <c r="E1782" s="1" t="s">
        <v>43</v>
      </c>
      <c r="F1782">
        <v>6</v>
      </c>
      <c r="G1782" s="1" t="s">
        <v>23</v>
      </c>
      <c r="H1782">
        <v>57721.428571428572</v>
      </c>
      <c r="I1782">
        <v>52356.666666666664</v>
      </c>
      <c r="J1782">
        <v>57650</v>
      </c>
      <c r="K1782">
        <v>57500</v>
      </c>
      <c r="L1782">
        <v>45500</v>
      </c>
      <c r="M1782">
        <v>0</v>
      </c>
      <c r="N1782">
        <v>133.48670000000001</v>
      </c>
      <c r="O1782">
        <v>1.165834523</v>
      </c>
      <c r="P1782">
        <v>16222.799800000001</v>
      </c>
      <c r="Q1782">
        <v>27.65</v>
      </c>
      <c r="R1782">
        <v>1.85</v>
      </c>
      <c r="S1782">
        <v>77.540000000000006</v>
      </c>
      <c r="T1782">
        <v>29</v>
      </c>
      <c r="U1782" s="1" t="s">
        <v>25</v>
      </c>
      <c r="V1782">
        <v>0</v>
      </c>
    </row>
    <row r="1783" spans="1:22" x14ac:dyDescent="0.3">
      <c r="A1783" s="2">
        <v>45838</v>
      </c>
      <c r="B1783">
        <v>55650</v>
      </c>
      <c r="C1783">
        <v>2007</v>
      </c>
      <c r="D1783">
        <v>6</v>
      </c>
      <c r="E1783" s="1" t="s">
        <v>43</v>
      </c>
      <c r="F1783">
        <v>0</v>
      </c>
      <c r="G1783" s="1" t="s">
        <v>23</v>
      </c>
      <c r="H1783">
        <v>57364.285714285717</v>
      </c>
      <c r="I1783">
        <v>52695</v>
      </c>
      <c r="J1783">
        <v>57650</v>
      </c>
      <c r="K1783">
        <v>58150</v>
      </c>
      <c r="L1783">
        <v>45500</v>
      </c>
      <c r="M1783">
        <v>-2000</v>
      </c>
      <c r="N1783">
        <v>133.48670000000001</v>
      </c>
      <c r="O1783">
        <v>1.165834523</v>
      </c>
      <c r="P1783">
        <v>16229</v>
      </c>
      <c r="Q1783">
        <v>27.46</v>
      </c>
      <c r="R1783">
        <v>7.02</v>
      </c>
      <c r="S1783">
        <v>76.38</v>
      </c>
      <c r="T1783">
        <v>30</v>
      </c>
      <c r="U1783" s="1"/>
      <c r="V1783">
        <v>0</v>
      </c>
    </row>
    <row r="1784" spans="1:22" x14ac:dyDescent="0.3">
      <c r="A1784" s="2">
        <v>45839</v>
      </c>
      <c r="B1784">
        <v>54500</v>
      </c>
      <c r="C1784">
        <v>2008</v>
      </c>
      <c r="D1784">
        <v>7</v>
      </c>
      <c r="E1784" s="1" t="s">
        <v>43</v>
      </c>
      <c r="F1784">
        <v>1</v>
      </c>
      <c r="G1784" s="1" t="s">
        <v>23</v>
      </c>
      <c r="H1784">
        <v>56914.285714285717</v>
      </c>
      <c r="I1784">
        <v>52995</v>
      </c>
      <c r="J1784">
        <v>55650</v>
      </c>
      <c r="K1784">
        <v>57650</v>
      </c>
      <c r="L1784">
        <v>45500</v>
      </c>
      <c r="M1784">
        <v>-1150</v>
      </c>
      <c r="N1784">
        <v>133.48670000000001</v>
      </c>
      <c r="O1784">
        <v>1.165834523</v>
      </c>
      <c r="P1784">
        <v>16230</v>
      </c>
      <c r="Q1784">
        <v>27.46</v>
      </c>
      <c r="R1784">
        <v>3.92</v>
      </c>
      <c r="S1784">
        <v>79.05</v>
      </c>
      <c r="T1784">
        <v>1</v>
      </c>
      <c r="U1784" s="1" t="s">
        <v>82</v>
      </c>
      <c r="V1784">
        <v>-2.0699999999999998</v>
      </c>
    </row>
    <row r="1785" spans="1:22" x14ac:dyDescent="0.3">
      <c r="A1785" s="2">
        <v>45840</v>
      </c>
      <c r="B1785">
        <v>54500</v>
      </c>
      <c r="C1785">
        <v>2009</v>
      </c>
      <c r="D1785">
        <v>7</v>
      </c>
      <c r="E1785" s="1" t="s">
        <v>43</v>
      </c>
      <c r="F1785">
        <v>2</v>
      </c>
      <c r="G1785" s="1" t="s">
        <v>23</v>
      </c>
      <c r="H1785">
        <v>56464.285714285717</v>
      </c>
      <c r="I1785">
        <v>53173.333333333336</v>
      </c>
      <c r="J1785">
        <v>54500</v>
      </c>
      <c r="K1785">
        <v>57650</v>
      </c>
      <c r="L1785">
        <v>49150</v>
      </c>
      <c r="M1785">
        <v>0</v>
      </c>
      <c r="N1785">
        <v>133.48670000000001</v>
      </c>
      <c r="O1785">
        <v>1.165834523</v>
      </c>
      <c r="P1785">
        <v>16236.400390000001</v>
      </c>
      <c r="Q1785">
        <v>26.64</v>
      </c>
      <c r="R1785">
        <v>8.14</v>
      </c>
      <c r="S1785">
        <v>83.74</v>
      </c>
      <c r="T1785">
        <v>2</v>
      </c>
      <c r="U1785" s="1" t="s">
        <v>25</v>
      </c>
      <c r="V1785">
        <v>0</v>
      </c>
    </row>
    <row r="1786" spans="1:22" x14ac:dyDescent="0.3">
      <c r="A1786" s="2">
        <v>45841</v>
      </c>
      <c r="B1786">
        <v>54500</v>
      </c>
      <c r="C1786">
        <v>2010</v>
      </c>
      <c r="D1786">
        <v>7</v>
      </c>
      <c r="E1786" s="1" t="s">
        <v>43</v>
      </c>
      <c r="F1786">
        <v>3</v>
      </c>
      <c r="G1786" s="1" t="s">
        <v>23</v>
      </c>
      <c r="H1786">
        <v>56014.285714285717</v>
      </c>
      <c r="I1786">
        <v>53360</v>
      </c>
      <c r="J1786">
        <v>54500</v>
      </c>
      <c r="K1786">
        <v>57650</v>
      </c>
      <c r="L1786">
        <v>48900</v>
      </c>
      <c r="M1786">
        <v>0</v>
      </c>
      <c r="N1786">
        <v>133.48670000000001</v>
      </c>
      <c r="O1786">
        <v>1.165834523</v>
      </c>
      <c r="P1786">
        <v>16235</v>
      </c>
      <c r="Q1786">
        <v>26.79</v>
      </c>
      <c r="R1786">
        <v>2.74</v>
      </c>
      <c r="S1786">
        <v>82.93</v>
      </c>
      <c r="T1786">
        <v>3</v>
      </c>
      <c r="U1786" s="1" t="s">
        <v>25</v>
      </c>
      <c r="V1786">
        <v>0</v>
      </c>
    </row>
    <row r="1787" spans="1:22" x14ac:dyDescent="0.3">
      <c r="A1787" s="2">
        <v>45842</v>
      </c>
      <c r="B1787">
        <v>55150</v>
      </c>
      <c r="C1787">
        <v>2011</v>
      </c>
      <c r="D1787">
        <v>7</v>
      </c>
      <c r="E1787" s="1" t="s">
        <v>43</v>
      </c>
      <c r="F1787">
        <v>4</v>
      </c>
      <c r="G1787" s="1" t="s">
        <v>23</v>
      </c>
      <c r="H1787">
        <v>55657.142857142855</v>
      </c>
      <c r="I1787">
        <v>53543.333333333336</v>
      </c>
      <c r="J1787">
        <v>54500</v>
      </c>
      <c r="K1787">
        <v>57650</v>
      </c>
      <c r="L1787">
        <v>49650</v>
      </c>
      <c r="M1787">
        <v>650</v>
      </c>
      <c r="N1787">
        <v>133.48670000000001</v>
      </c>
      <c r="O1787">
        <v>1.165834523</v>
      </c>
      <c r="P1787">
        <v>16203.700199999999</v>
      </c>
      <c r="Q1787">
        <v>27.25</v>
      </c>
      <c r="R1787">
        <v>12.11</v>
      </c>
      <c r="S1787">
        <v>77.87</v>
      </c>
      <c r="T1787">
        <v>4</v>
      </c>
      <c r="U1787" s="1" t="s">
        <v>73</v>
      </c>
      <c r="V1787">
        <v>1.19</v>
      </c>
    </row>
    <row r="1788" spans="1:22" x14ac:dyDescent="0.3">
      <c r="A1788" s="2">
        <v>45843</v>
      </c>
      <c r="B1788">
        <v>55150</v>
      </c>
      <c r="C1788">
        <v>2012</v>
      </c>
      <c r="D1788">
        <v>7</v>
      </c>
      <c r="E1788" s="1" t="s">
        <v>43</v>
      </c>
      <c r="F1788">
        <v>5</v>
      </c>
      <c r="G1788" s="1" t="s">
        <v>23</v>
      </c>
      <c r="H1788">
        <v>55300</v>
      </c>
      <c r="I1788">
        <v>53748.333333333336</v>
      </c>
      <c r="J1788">
        <v>55150</v>
      </c>
      <c r="K1788">
        <v>57650</v>
      </c>
      <c r="L1788">
        <v>49000</v>
      </c>
      <c r="M1788">
        <v>0</v>
      </c>
      <c r="N1788">
        <v>133.48670000000001</v>
      </c>
      <c r="O1788">
        <v>1.165834523</v>
      </c>
      <c r="P1788">
        <v>16203.700199999999</v>
      </c>
      <c r="Q1788">
        <v>26.98</v>
      </c>
      <c r="R1788">
        <v>3.18</v>
      </c>
      <c r="S1788">
        <v>81.97</v>
      </c>
      <c r="T1788">
        <v>5</v>
      </c>
      <c r="U1788" s="1" t="s">
        <v>73</v>
      </c>
      <c r="V1788">
        <v>1.19</v>
      </c>
    </row>
    <row r="1789" spans="1:22" x14ac:dyDescent="0.3">
      <c r="A1789" s="2">
        <v>45844</v>
      </c>
      <c r="B1789">
        <v>55150</v>
      </c>
      <c r="C1789">
        <v>2013</v>
      </c>
      <c r="D1789">
        <v>7</v>
      </c>
      <c r="E1789" s="1" t="s">
        <v>43</v>
      </c>
      <c r="F1789">
        <v>6</v>
      </c>
      <c r="G1789" s="1" t="s">
        <v>23</v>
      </c>
      <c r="H1789">
        <v>54942.857142857145</v>
      </c>
      <c r="I1789">
        <v>53953.333333333336</v>
      </c>
      <c r="J1789">
        <v>55150</v>
      </c>
      <c r="K1789">
        <v>57650</v>
      </c>
      <c r="L1789">
        <v>49000</v>
      </c>
      <c r="M1789">
        <v>0</v>
      </c>
      <c r="N1789">
        <v>133.48670000000001</v>
      </c>
      <c r="O1789">
        <v>1.165834523</v>
      </c>
      <c r="P1789">
        <v>16203.700199999999</v>
      </c>
      <c r="Q1789">
        <v>26.76</v>
      </c>
      <c r="R1789">
        <v>10.8</v>
      </c>
      <c r="S1789">
        <v>83.79</v>
      </c>
      <c r="T1789">
        <v>6</v>
      </c>
      <c r="U1789" s="1" t="s">
        <v>73</v>
      </c>
      <c r="V1789">
        <v>1.19</v>
      </c>
    </row>
    <row r="1790" spans="1:22" x14ac:dyDescent="0.3">
      <c r="A1790" s="2">
        <v>45845</v>
      </c>
      <c r="B1790">
        <v>53900</v>
      </c>
      <c r="C1790">
        <v>2014</v>
      </c>
      <c r="D1790">
        <v>7</v>
      </c>
      <c r="E1790" s="1" t="s">
        <v>43</v>
      </c>
      <c r="F1790">
        <v>0</v>
      </c>
      <c r="G1790" s="1" t="s">
        <v>23</v>
      </c>
      <c r="H1790">
        <v>54692.857142857145</v>
      </c>
      <c r="I1790">
        <v>54116.666666666664</v>
      </c>
      <c r="J1790">
        <v>55150</v>
      </c>
      <c r="K1790">
        <v>55650</v>
      </c>
      <c r="L1790">
        <v>49000</v>
      </c>
      <c r="M1790">
        <v>-1250</v>
      </c>
      <c r="N1790">
        <v>133.48670000000001</v>
      </c>
      <c r="O1790">
        <v>1.165834523</v>
      </c>
      <c r="P1790">
        <v>16178</v>
      </c>
      <c r="Q1790">
        <v>25.96</v>
      </c>
      <c r="R1790">
        <v>12.24</v>
      </c>
      <c r="S1790">
        <v>84.76</v>
      </c>
      <c r="T1790">
        <v>7</v>
      </c>
      <c r="U1790" s="1" t="s">
        <v>40</v>
      </c>
      <c r="V1790">
        <v>-2.27</v>
      </c>
    </row>
    <row r="1791" spans="1:22" x14ac:dyDescent="0.3">
      <c r="A1791" s="2">
        <v>45846</v>
      </c>
      <c r="B1791">
        <v>53900</v>
      </c>
      <c r="C1791">
        <v>2015</v>
      </c>
      <c r="D1791">
        <v>7</v>
      </c>
      <c r="E1791" s="1" t="s">
        <v>43</v>
      </c>
      <c r="F1791">
        <v>1</v>
      </c>
      <c r="G1791" s="1" t="s">
        <v>23</v>
      </c>
      <c r="H1791">
        <v>54607.142857142855</v>
      </c>
      <c r="I1791">
        <v>54280</v>
      </c>
      <c r="J1791">
        <v>53900</v>
      </c>
      <c r="K1791">
        <v>54500</v>
      </c>
      <c r="L1791">
        <v>49000</v>
      </c>
      <c r="M1791">
        <v>0</v>
      </c>
      <c r="N1791">
        <v>133.48670000000001</v>
      </c>
      <c r="O1791">
        <v>1.165834523</v>
      </c>
      <c r="P1791">
        <v>16318.900390000001</v>
      </c>
      <c r="Q1791">
        <v>26.75</v>
      </c>
      <c r="R1791">
        <v>5.0999999999999996</v>
      </c>
      <c r="S1791">
        <v>78.040000000000006</v>
      </c>
      <c r="T1791">
        <v>8</v>
      </c>
      <c r="U1791" s="1" t="s">
        <v>25</v>
      </c>
      <c r="V1791">
        <v>0</v>
      </c>
    </row>
    <row r="1792" spans="1:22" x14ac:dyDescent="0.3">
      <c r="A1792" s="2">
        <v>45847</v>
      </c>
      <c r="B1792">
        <v>53900</v>
      </c>
      <c r="C1792">
        <v>2016</v>
      </c>
      <c r="D1792">
        <v>7</v>
      </c>
      <c r="E1792" s="1" t="s">
        <v>43</v>
      </c>
      <c r="F1792">
        <v>2</v>
      </c>
      <c r="G1792" s="1" t="s">
        <v>23</v>
      </c>
      <c r="H1792">
        <v>54521.428571428572</v>
      </c>
      <c r="I1792">
        <v>54443.333333333336</v>
      </c>
      <c r="J1792">
        <v>53900</v>
      </c>
      <c r="K1792">
        <v>54500</v>
      </c>
      <c r="L1792">
        <v>49000</v>
      </c>
      <c r="M1792">
        <v>0</v>
      </c>
      <c r="N1792">
        <v>133.48670000000001</v>
      </c>
      <c r="O1792">
        <v>1.165834523</v>
      </c>
      <c r="P1792">
        <v>16261</v>
      </c>
      <c r="Q1792">
        <v>26.89</v>
      </c>
      <c r="R1792">
        <v>5.99</v>
      </c>
      <c r="S1792">
        <v>79.739999999999995</v>
      </c>
      <c r="T1792">
        <v>9</v>
      </c>
      <c r="U1792" s="1" t="s">
        <v>25</v>
      </c>
      <c r="V1792">
        <v>0</v>
      </c>
    </row>
    <row r="1793" spans="1:22" x14ac:dyDescent="0.3">
      <c r="A1793" s="2">
        <v>45848</v>
      </c>
      <c r="B1793">
        <v>55150</v>
      </c>
      <c r="C1793">
        <v>2017</v>
      </c>
      <c r="D1793">
        <v>7</v>
      </c>
      <c r="E1793" s="1" t="s">
        <v>43</v>
      </c>
      <c r="F1793">
        <v>3</v>
      </c>
      <c r="G1793" s="1" t="s">
        <v>23</v>
      </c>
      <c r="H1793">
        <v>54614.285714285717</v>
      </c>
      <c r="I1793">
        <v>54648.333333333336</v>
      </c>
      <c r="J1793">
        <v>53900</v>
      </c>
      <c r="K1793">
        <v>54500</v>
      </c>
      <c r="L1793">
        <v>49000</v>
      </c>
      <c r="M1793">
        <v>1250</v>
      </c>
      <c r="N1793">
        <v>133.48670000000001</v>
      </c>
      <c r="O1793">
        <v>1.165834523</v>
      </c>
      <c r="P1793">
        <v>16235</v>
      </c>
      <c r="Q1793">
        <v>26.79</v>
      </c>
      <c r="R1793">
        <v>8.3800000000000008</v>
      </c>
      <c r="S1793">
        <v>80.78</v>
      </c>
      <c r="T1793">
        <v>10</v>
      </c>
      <c r="U1793" s="1" t="s">
        <v>36</v>
      </c>
      <c r="V1793">
        <v>2.3199999999999998</v>
      </c>
    </row>
    <row r="1794" spans="1:22" x14ac:dyDescent="0.3">
      <c r="A1794" s="2">
        <v>45849</v>
      </c>
      <c r="B1794">
        <v>55150</v>
      </c>
      <c r="C1794">
        <v>2018</v>
      </c>
      <c r="D1794">
        <v>7</v>
      </c>
      <c r="E1794" s="1" t="s">
        <v>43</v>
      </c>
      <c r="F1794">
        <v>4</v>
      </c>
      <c r="G1794" s="1" t="s">
        <v>23</v>
      </c>
      <c r="H1794">
        <v>54614.285714285717</v>
      </c>
      <c r="I1794">
        <v>54878.333333333336</v>
      </c>
      <c r="J1794">
        <v>55150</v>
      </c>
      <c r="K1794">
        <v>55150</v>
      </c>
      <c r="L1794">
        <v>48250</v>
      </c>
      <c r="M1794">
        <v>0</v>
      </c>
      <c r="N1794">
        <v>133.48670000000001</v>
      </c>
      <c r="O1794">
        <v>1.165834523</v>
      </c>
      <c r="P1794">
        <v>16209.099609999999</v>
      </c>
      <c r="Q1794">
        <v>26.19</v>
      </c>
      <c r="R1794">
        <v>15.43</v>
      </c>
      <c r="S1794">
        <v>83.1</v>
      </c>
      <c r="T1794">
        <v>11</v>
      </c>
      <c r="U1794" s="1" t="s">
        <v>25</v>
      </c>
      <c r="V1794">
        <v>0</v>
      </c>
    </row>
    <row r="1795" spans="1:22" x14ac:dyDescent="0.3">
      <c r="A1795" s="2">
        <v>45850</v>
      </c>
      <c r="B1795">
        <v>55150</v>
      </c>
      <c r="C1795">
        <v>2019</v>
      </c>
      <c r="D1795">
        <v>7</v>
      </c>
      <c r="E1795" s="1" t="s">
        <v>43</v>
      </c>
      <c r="F1795">
        <v>5</v>
      </c>
      <c r="G1795" s="1" t="s">
        <v>23</v>
      </c>
      <c r="H1795">
        <v>54614.285714285717</v>
      </c>
      <c r="I1795">
        <v>55078.333333333336</v>
      </c>
      <c r="J1795">
        <v>55150</v>
      </c>
      <c r="K1795">
        <v>55150</v>
      </c>
      <c r="L1795">
        <v>49150</v>
      </c>
      <c r="M1795">
        <v>0</v>
      </c>
      <c r="N1795">
        <v>133.48670000000001</v>
      </c>
      <c r="O1795">
        <v>1.165834523</v>
      </c>
      <c r="P1795">
        <v>16209.099609999999</v>
      </c>
      <c r="Q1795">
        <v>26.48</v>
      </c>
      <c r="R1795">
        <v>6.96</v>
      </c>
      <c r="S1795">
        <v>86.55</v>
      </c>
      <c r="T1795">
        <v>12</v>
      </c>
      <c r="U1795" s="1" t="s">
        <v>25</v>
      </c>
      <c r="V1795">
        <v>0</v>
      </c>
    </row>
    <row r="1796" spans="1:22" x14ac:dyDescent="0.3">
      <c r="A1796" s="2">
        <v>45851</v>
      </c>
      <c r="B1796">
        <v>55150</v>
      </c>
      <c r="C1796">
        <v>2020</v>
      </c>
      <c r="D1796">
        <v>7</v>
      </c>
      <c r="E1796" s="1" t="s">
        <v>43</v>
      </c>
      <c r="F1796">
        <v>6</v>
      </c>
      <c r="G1796" s="1" t="s">
        <v>23</v>
      </c>
      <c r="H1796">
        <v>54614.285714285717</v>
      </c>
      <c r="I1796">
        <v>55308.333333333336</v>
      </c>
      <c r="J1796">
        <v>55150</v>
      </c>
      <c r="K1796">
        <v>55150</v>
      </c>
      <c r="L1796">
        <v>48250</v>
      </c>
      <c r="M1796">
        <v>0</v>
      </c>
      <c r="N1796">
        <v>133.48670000000001</v>
      </c>
      <c r="O1796">
        <v>1.165834523</v>
      </c>
      <c r="P1796">
        <v>16209.099609999999</v>
      </c>
      <c r="Q1796">
        <v>26.88</v>
      </c>
      <c r="R1796">
        <v>3.99</v>
      </c>
      <c r="S1796">
        <v>84.2</v>
      </c>
      <c r="T1796">
        <v>13</v>
      </c>
      <c r="U1796" s="1" t="s">
        <v>25</v>
      </c>
      <c r="V1796">
        <v>0</v>
      </c>
    </row>
    <row r="1797" spans="1:22" x14ac:dyDescent="0.3">
      <c r="A1797" s="2">
        <v>45852</v>
      </c>
      <c r="B1797">
        <v>55900</v>
      </c>
      <c r="C1797">
        <v>2021</v>
      </c>
      <c r="D1797">
        <v>7</v>
      </c>
      <c r="E1797" s="1" t="s">
        <v>43</v>
      </c>
      <c r="F1797">
        <v>0</v>
      </c>
      <c r="G1797" s="1" t="s">
        <v>23</v>
      </c>
      <c r="H1797">
        <v>54900</v>
      </c>
      <c r="I1797">
        <v>55563.333333333336</v>
      </c>
      <c r="J1797">
        <v>55150</v>
      </c>
      <c r="K1797">
        <v>53900</v>
      </c>
      <c r="L1797">
        <v>48250</v>
      </c>
      <c r="M1797">
        <v>750</v>
      </c>
      <c r="N1797">
        <v>133.48670000000001</v>
      </c>
      <c r="O1797">
        <v>1.165834523</v>
      </c>
      <c r="P1797">
        <v>16222</v>
      </c>
      <c r="Q1797">
        <v>26.78</v>
      </c>
      <c r="R1797">
        <v>14.65</v>
      </c>
      <c r="S1797">
        <v>84.73</v>
      </c>
      <c r="T1797">
        <v>14</v>
      </c>
      <c r="U1797" s="1" t="s">
        <v>52</v>
      </c>
      <c r="V1797">
        <v>1.36</v>
      </c>
    </row>
    <row r="1798" spans="1:22" x14ac:dyDescent="0.3">
      <c r="A1798" s="2">
        <v>45853</v>
      </c>
      <c r="B1798">
        <v>54650</v>
      </c>
      <c r="C1798">
        <v>2022</v>
      </c>
      <c r="D1798">
        <v>7</v>
      </c>
      <c r="E1798" s="1" t="s">
        <v>43</v>
      </c>
      <c r="F1798">
        <v>1</v>
      </c>
      <c r="G1798" s="1" t="s">
        <v>23</v>
      </c>
      <c r="H1798">
        <v>55007.142857142855</v>
      </c>
      <c r="I1798">
        <v>55776.666666666664</v>
      </c>
      <c r="J1798">
        <v>55900</v>
      </c>
      <c r="K1798">
        <v>53900</v>
      </c>
      <c r="L1798">
        <v>48250</v>
      </c>
      <c r="M1798">
        <v>-1250</v>
      </c>
      <c r="N1798">
        <v>133.48670000000001</v>
      </c>
      <c r="O1798">
        <v>1.165834523</v>
      </c>
      <c r="P1798">
        <v>16256.200199999999</v>
      </c>
      <c r="Q1798">
        <v>25.85</v>
      </c>
      <c r="R1798">
        <v>18.05</v>
      </c>
      <c r="S1798">
        <v>86.64</v>
      </c>
      <c r="T1798">
        <v>15</v>
      </c>
      <c r="U1798" s="1" t="s">
        <v>40</v>
      </c>
      <c r="V1798">
        <v>-2.2400000000000002</v>
      </c>
    </row>
    <row r="1799" spans="1:22" x14ac:dyDescent="0.3">
      <c r="A1799" s="2">
        <v>45854</v>
      </c>
      <c r="B1799">
        <v>55250</v>
      </c>
      <c r="C1799">
        <v>2023</v>
      </c>
      <c r="D1799">
        <v>7</v>
      </c>
      <c r="E1799" s="1" t="s">
        <v>43</v>
      </c>
      <c r="F1799">
        <v>2</v>
      </c>
      <c r="G1799" s="1" t="s">
        <v>23</v>
      </c>
      <c r="H1799">
        <v>55200</v>
      </c>
      <c r="I1799">
        <v>55813.333333333336</v>
      </c>
      <c r="J1799">
        <v>54650</v>
      </c>
      <c r="K1799">
        <v>53900</v>
      </c>
      <c r="L1799">
        <v>54150</v>
      </c>
      <c r="M1799">
        <v>600</v>
      </c>
      <c r="N1799">
        <v>133.48670000000001</v>
      </c>
      <c r="O1799">
        <v>1.165834523</v>
      </c>
      <c r="P1799">
        <v>16252.099609999999</v>
      </c>
      <c r="Q1799">
        <v>26.33</v>
      </c>
      <c r="R1799">
        <v>36.479999999999997</v>
      </c>
      <c r="S1799">
        <v>83</v>
      </c>
      <c r="T1799">
        <v>16</v>
      </c>
      <c r="U1799" s="1" t="s">
        <v>64</v>
      </c>
      <c r="V1799">
        <v>1.1000000000000001</v>
      </c>
    </row>
    <row r="1800" spans="1:22" x14ac:dyDescent="0.3">
      <c r="A1800" s="2">
        <v>45855</v>
      </c>
      <c r="B1800">
        <v>55250</v>
      </c>
      <c r="C1800">
        <v>2024</v>
      </c>
      <c r="D1800">
        <v>7</v>
      </c>
      <c r="E1800" s="1" t="s">
        <v>43</v>
      </c>
      <c r="F1800">
        <v>3</v>
      </c>
      <c r="G1800" s="1" t="s">
        <v>23</v>
      </c>
      <c r="H1800">
        <v>55214.285714285717</v>
      </c>
      <c r="I1800">
        <v>55833.333333333336</v>
      </c>
      <c r="J1800">
        <v>55250</v>
      </c>
      <c r="K1800">
        <v>55150</v>
      </c>
      <c r="L1800">
        <v>54650</v>
      </c>
      <c r="M1800">
        <v>0</v>
      </c>
      <c r="N1800">
        <v>133.48670000000001</v>
      </c>
      <c r="O1800">
        <v>1.165834523</v>
      </c>
      <c r="P1800">
        <v>16271.200199999999</v>
      </c>
      <c r="Q1800">
        <v>26.46</v>
      </c>
      <c r="R1800">
        <v>6.91</v>
      </c>
      <c r="S1800">
        <v>79.05</v>
      </c>
      <c r="T1800">
        <v>17</v>
      </c>
      <c r="U1800" s="1" t="s">
        <v>25</v>
      </c>
      <c r="V1800">
        <v>0</v>
      </c>
    </row>
    <row r="1801" spans="1:22" x14ac:dyDescent="0.3">
      <c r="A1801" s="2">
        <v>45856</v>
      </c>
      <c r="B1801">
        <v>55250</v>
      </c>
      <c r="C1801">
        <v>2025</v>
      </c>
      <c r="D1801">
        <v>7</v>
      </c>
      <c r="E1801" s="1" t="s">
        <v>43</v>
      </c>
      <c r="F1801">
        <v>4</v>
      </c>
      <c r="G1801" s="1" t="s">
        <v>23</v>
      </c>
      <c r="H1801">
        <v>55228.571428571428</v>
      </c>
      <c r="I1801">
        <v>55833.333333333336</v>
      </c>
      <c r="J1801">
        <v>55250</v>
      </c>
      <c r="K1801">
        <v>55150</v>
      </c>
      <c r="L1801">
        <v>55250</v>
      </c>
      <c r="M1801">
        <v>0</v>
      </c>
      <c r="N1801">
        <v>133.48670000000001</v>
      </c>
      <c r="O1801">
        <v>1.165834523</v>
      </c>
      <c r="P1801">
        <v>16329.700199999999</v>
      </c>
      <c r="Q1801">
        <v>26.27</v>
      </c>
      <c r="R1801">
        <v>0</v>
      </c>
      <c r="S1801">
        <v>77.62</v>
      </c>
      <c r="T1801">
        <v>18</v>
      </c>
      <c r="U1801" s="1" t="s">
        <v>25</v>
      </c>
      <c r="V1801">
        <v>0</v>
      </c>
    </row>
    <row r="1802" spans="1:22" x14ac:dyDescent="0.3">
      <c r="A1802" s="2">
        <v>45857</v>
      </c>
      <c r="B1802">
        <v>55250</v>
      </c>
      <c r="C1802">
        <v>2026</v>
      </c>
      <c r="D1802">
        <v>7</v>
      </c>
      <c r="E1802" s="1" t="s">
        <v>43</v>
      </c>
      <c r="F1802">
        <v>5</v>
      </c>
      <c r="G1802" s="1" t="s">
        <v>23</v>
      </c>
      <c r="H1802">
        <v>55242.857142857145</v>
      </c>
      <c r="I1802">
        <v>55833.333333333336</v>
      </c>
      <c r="J1802">
        <v>55250</v>
      </c>
      <c r="K1802">
        <v>55150</v>
      </c>
      <c r="L1802">
        <v>55250</v>
      </c>
      <c r="M1802">
        <v>0</v>
      </c>
      <c r="N1802">
        <v>133.48670000000001</v>
      </c>
      <c r="O1802">
        <v>1.165834523</v>
      </c>
      <c r="P1802">
        <v>16329.700199999999</v>
      </c>
      <c r="Q1802">
        <v>26.55</v>
      </c>
      <c r="R1802">
        <v>0.25</v>
      </c>
      <c r="S1802">
        <v>80.31</v>
      </c>
      <c r="T1802">
        <v>19</v>
      </c>
      <c r="U1802" s="1" t="s">
        <v>25</v>
      </c>
      <c r="V1802">
        <v>0</v>
      </c>
    </row>
    <row r="1803" spans="1:22" x14ac:dyDescent="0.3">
      <c r="A1803" s="2">
        <v>45858</v>
      </c>
      <c r="B1803">
        <v>55250</v>
      </c>
      <c r="C1803">
        <v>2027</v>
      </c>
      <c r="D1803">
        <v>7</v>
      </c>
      <c r="E1803" s="1" t="s">
        <v>43</v>
      </c>
      <c r="F1803">
        <v>6</v>
      </c>
      <c r="G1803" s="1" t="s">
        <v>23</v>
      </c>
      <c r="H1803">
        <v>55257.142857142855</v>
      </c>
      <c r="I1803">
        <v>55758.333333333336</v>
      </c>
      <c r="J1803">
        <v>55250</v>
      </c>
      <c r="K1803">
        <v>55150</v>
      </c>
      <c r="L1803">
        <v>57500</v>
      </c>
      <c r="M1803">
        <v>0</v>
      </c>
      <c r="N1803">
        <v>133.48670000000001</v>
      </c>
      <c r="O1803">
        <v>1.165834523</v>
      </c>
      <c r="P1803">
        <v>16329.700199999999</v>
      </c>
      <c r="Q1803">
        <v>26.62</v>
      </c>
      <c r="R1803">
        <v>0.14000000000000001</v>
      </c>
      <c r="S1803">
        <v>85.21</v>
      </c>
      <c r="T1803">
        <v>20</v>
      </c>
      <c r="U1803" s="1" t="s">
        <v>25</v>
      </c>
      <c r="V1803">
        <v>0</v>
      </c>
    </row>
    <row r="1804" spans="1:22" x14ac:dyDescent="0.3">
      <c r="A1804" s="2">
        <v>45859</v>
      </c>
      <c r="B1804">
        <v>56000</v>
      </c>
      <c r="C1804">
        <v>2028</v>
      </c>
      <c r="D1804">
        <v>7</v>
      </c>
      <c r="E1804" s="1" t="s">
        <v>43</v>
      </c>
      <c r="F1804">
        <v>0</v>
      </c>
      <c r="G1804" s="1" t="s">
        <v>23</v>
      </c>
      <c r="H1804">
        <v>55271.428571428572</v>
      </c>
      <c r="I1804">
        <v>55708.333333333336</v>
      </c>
      <c r="J1804">
        <v>55250</v>
      </c>
      <c r="K1804">
        <v>55900</v>
      </c>
      <c r="L1804">
        <v>57500</v>
      </c>
      <c r="M1804">
        <v>750</v>
      </c>
      <c r="N1804">
        <v>133.48670000000001</v>
      </c>
      <c r="O1804">
        <v>1.165834523</v>
      </c>
      <c r="P1804">
        <v>16321</v>
      </c>
      <c r="Q1804">
        <v>27.22</v>
      </c>
      <c r="R1804">
        <v>0.14000000000000001</v>
      </c>
      <c r="S1804">
        <v>82.37</v>
      </c>
      <c r="T1804">
        <v>21</v>
      </c>
      <c r="U1804" s="1" t="s">
        <v>52</v>
      </c>
      <c r="V1804">
        <v>1.36</v>
      </c>
    </row>
    <row r="1805" spans="1:22" x14ac:dyDescent="0.3">
      <c r="A1805" s="2">
        <v>45860</v>
      </c>
      <c r="B1805">
        <v>55650</v>
      </c>
      <c r="C1805">
        <v>2029</v>
      </c>
      <c r="D1805">
        <v>7</v>
      </c>
      <c r="E1805" s="1" t="s">
        <v>43</v>
      </c>
      <c r="F1805">
        <v>1</v>
      </c>
      <c r="G1805" s="1" t="s">
        <v>23</v>
      </c>
      <c r="H1805">
        <v>55414.285714285717</v>
      </c>
      <c r="I1805">
        <v>55646.666666666664</v>
      </c>
      <c r="J1805">
        <v>56000</v>
      </c>
      <c r="K1805">
        <v>54650</v>
      </c>
      <c r="L1805">
        <v>57500</v>
      </c>
      <c r="M1805">
        <v>-350</v>
      </c>
      <c r="N1805">
        <v>133.48670000000001</v>
      </c>
      <c r="O1805">
        <v>1.165834523</v>
      </c>
      <c r="P1805">
        <v>16329.5</v>
      </c>
      <c r="Q1805">
        <v>27.39</v>
      </c>
      <c r="R1805">
        <v>0.68</v>
      </c>
      <c r="S1805">
        <v>81.22</v>
      </c>
      <c r="T1805">
        <v>22</v>
      </c>
      <c r="U1805" s="1" t="s">
        <v>77</v>
      </c>
      <c r="V1805">
        <v>-0.63</v>
      </c>
    </row>
    <row r="1806" spans="1:22" x14ac:dyDescent="0.3">
      <c r="A1806" s="2">
        <v>45861</v>
      </c>
      <c r="B1806">
        <v>56650</v>
      </c>
      <c r="C1806">
        <v>2030</v>
      </c>
      <c r="D1806">
        <v>7</v>
      </c>
      <c r="E1806" s="1" t="s">
        <v>43</v>
      </c>
      <c r="F1806">
        <v>2</v>
      </c>
      <c r="G1806" s="1" t="s">
        <v>23</v>
      </c>
      <c r="H1806">
        <v>55614.285714285717</v>
      </c>
      <c r="I1806">
        <v>55596.666666666664</v>
      </c>
      <c r="J1806">
        <v>55650</v>
      </c>
      <c r="K1806">
        <v>55250</v>
      </c>
      <c r="L1806">
        <v>58150</v>
      </c>
      <c r="M1806">
        <v>1000</v>
      </c>
      <c r="N1806">
        <v>133.48670000000001</v>
      </c>
      <c r="O1806">
        <v>1.165834523</v>
      </c>
      <c r="P1806">
        <v>16245.299800000001</v>
      </c>
      <c r="Q1806">
        <v>27.24</v>
      </c>
      <c r="R1806">
        <v>0.6</v>
      </c>
      <c r="S1806">
        <v>85.16</v>
      </c>
      <c r="T1806">
        <v>23</v>
      </c>
      <c r="U1806" s="1" t="s">
        <v>29</v>
      </c>
      <c r="V1806">
        <v>1.8</v>
      </c>
    </row>
    <row r="1807" spans="1:22" x14ac:dyDescent="0.3">
      <c r="A1807" s="2">
        <v>45862</v>
      </c>
      <c r="B1807">
        <v>54900</v>
      </c>
      <c r="C1807">
        <v>2031</v>
      </c>
      <c r="D1807">
        <v>7</v>
      </c>
      <c r="E1807" s="1" t="s">
        <v>43</v>
      </c>
      <c r="F1807">
        <v>3</v>
      </c>
      <c r="G1807" s="1" t="s">
        <v>23</v>
      </c>
      <c r="H1807">
        <v>55564.285714285717</v>
      </c>
      <c r="I1807">
        <v>55505</v>
      </c>
      <c r="J1807">
        <v>56650</v>
      </c>
      <c r="K1807">
        <v>55250</v>
      </c>
      <c r="L1807">
        <v>57650</v>
      </c>
      <c r="M1807">
        <v>-1750</v>
      </c>
      <c r="N1807">
        <v>133.48670000000001</v>
      </c>
      <c r="O1807">
        <v>1.165834523</v>
      </c>
      <c r="P1807">
        <v>16266.099609999999</v>
      </c>
      <c r="Q1807">
        <v>27.32</v>
      </c>
      <c r="R1807">
        <v>0.46</v>
      </c>
      <c r="S1807">
        <v>85.03</v>
      </c>
      <c r="T1807">
        <v>24</v>
      </c>
      <c r="U1807" s="1" t="s">
        <v>54</v>
      </c>
      <c r="V1807">
        <v>-3.09</v>
      </c>
    </row>
    <row r="1808" spans="1:22" x14ac:dyDescent="0.3">
      <c r="A1808" s="2">
        <v>45863</v>
      </c>
      <c r="B1808">
        <v>56000</v>
      </c>
      <c r="C1808">
        <v>2032</v>
      </c>
      <c r="D1808">
        <v>7</v>
      </c>
      <c r="E1808" s="1" t="s">
        <v>43</v>
      </c>
      <c r="F1808">
        <v>4</v>
      </c>
      <c r="G1808" s="1" t="s">
        <v>23</v>
      </c>
      <c r="H1808">
        <v>55671.428571428572</v>
      </c>
      <c r="I1808">
        <v>55450</v>
      </c>
      <c r="J1808">
        <v>54900</v>
      </c>
      <c r="K1808">
        <v>55250</v>
      </c>
      <c r="L1808">
        <v>57650</v>
      </c>
      <c r="M1808">
        <v>1100</v>
      </c>
      <c r="N1808">
        <v>133.48670000000001</v>
      </c>
      <c r="O1808">
        <v>1.165834523</v>
      </c>
      <c r="P1808">
        <v>16307</v>
      </c>
      <c r="Q1808">
        <v>27.43</v>
      </c>
      <c r="R1808">
        <v>0.28999999999999998</v>
      </c>
      <c r="S1808">
        <v>83.73</v>
      </c>
      <c r="T1808">
        <v>25</v>
      </c>
      <c r="U1808" s="1" t="s">
        <v>89</v>
      </c>
      <c r="V1808">
        <v>2</v>
      </c>
    </row>
    <row r="1809" spans="1:22" x14ac:dyDescent="0.3">
      <c r="A1809" s="2">
        <v>45864</v>
      </c>
      <c r="B1809">
        <v>56000</v>
      </c>
      <c r="C1809">
        <v>2033</v>
      </c>
      <c r="D1809">
        <v>7</v>
      </c>
      <c r="E1809" s="1" t="s">
        <v>43</v>
      </c>
      <c r="F1809">
        <v>5</v>
      </c>
      <c r="G1809" s="1" t="s">
        <v>23</v>
      </c>
      <c r="H1809">
        <v>55778.571428571428</v>
      </c>
      <c r="I1809">
        <v>55395</v>
      </c>
      <c r="J1809">
        <v>56000</v>
      </c>
      <c r="K1809">
        <v>55250</v>
      </c>
      <c r="L1809">
        <v>57650</v>
      </c>
      <c r="M1809">
        <v>0</v>
      </c>
      <c r="N1809">
        <v>133.48670000000001</v>
      </c>
      <c r="O1809">
        <v>1.165834523</v>
      </c>
      <c r="P1809">
        <v>16307</v>
      </c>
      <c r="Q1809">
        <v>26.96</v>
      </c>
      <c r="R1809">
        <v>0.53</v>
      </c>
      <c r="S1809">
        <v>85.67</v>
      </c>
      <c r="T1809">
        <v>26</v>
      </c>
      <c r="U1809" s="1" t="s">
        <v>89</v>
      </c>
      <c r="V1809">
        <v>2</v>
      </c>
    </row>
    <row r="1810" spans="1:22" x14ac:dyDescent="0.3">
      <c r="A1810" s="2">
        <v>45865</v>
      </c>
      <c r="B1810">
        <v>56000</v>
      </c>
      <c r="C1810">
        <v>2034</v>
      </c>
      <c r="D1810">
        <v>7</v>
      </c>
      <c r="E1810" s="1" t="s">
        <v>43</v>
      </c>
      <c r="F1810">
        <v>6</v>
      </c>
      <c r="G1810" s="1" t="s">
        <v>23</v>
      </c>
      <c r="H1810">
        <v>55885.714285714283</v>
      </c>
      <c r="I1810">
        <v>55340</v>
      </c>
      <c r="J1810">
        <v>56000</v>
      </c>
      <c r="K1810">
        <v>55250</v>
      </c>
      <c r="L1810">
        <v>57650</v>
      </c>
      <c r="M1810">
        <v>0</v>
      </c>
      <c r="N1810">
        <v>133.48670000000001</v>
      </c>
      <c r="O1810">
        <v>1.165834523</v>
      </c>
      <c r="P1810">
        <v>16307</v>
      </c>
      <c r="Q1810">
        <v>26.9</v>
      </c>
      <c r="R1810">
        <v>0.36</v>
      </c>
      <c r="S1810">
        <v>81.62</v>
      </c>
      <c r="T1810">
        <v>27</v>
      </c>
      <c r="U1810" s="1" t="s">
        <v>89</v>
      </c>
      <c r="V1810">
        <v>2</v>
      </c>
    </row>
    <row r="1811" spans="1:22" x14ac:dyDescent="0.3">
      <c r="A1811" s="2">
        <v>45866</v>
      </c>
      <c r="B1811">
        <v>60750</v>
      </c>
      <c r="C1811">
        <v>2035</v>
      </c>
      <c r="D1811">
        <v>7</v>
      </c>
      <c r="E1811" s="1" t="s">
        <v>43</v>
      </c>
      <c r="F1811">
        <v>0</v>
      </c>
      <c r="G1811" s="1" t="s">
        <v>23</v>
      </c>
      <c r="H1811">
        <v>56564.285714285717</v>
      </c>
      <c r="I1811">
        <v>55443.333333333336</v>
      </c>
      <c r="J1811">
        <v>56000</v>
      </c>
      <c r="K1811">
        <v>56000</v>
      </c>
      <c r="L1811">
        <v>57650</v>
      </c>
      <c r="M1811">
        <v>4750</v>
      </c>
      <c r="N1811">
        <v>133.48670000000001</v>
      </c>
      <c r="O1811">
        <v>1.165834523</v>
      </c>
      <c r="P1811">
        <v>16353</v>
      </c>
      <c r="Q1811">
        <v>26.56</v>
      </c>
      <c r="R1811">
        <v>0.61</v>
      </c>
      <c r="S1811">
        <v>83.88</v>
      </c>
      <c r="T1811">
        <v>28</v>
      </c>
      <c r="U1811" s="1" t="s">
        <v>48</v>
      </c>
      <c r="V1811">
        <v>8.48</v>
      </c>
    </row>
    <row r="1812" spans="1:22" x14ac:dyDescent="0.3">
      <c r="A1812" s="2">
        <v>45867</v>
      </c>
      <c r="B1812">
        <v>61900</v>
      </c>
      <c r="C1812">
        <v>2036</v>
      </c>
      <c r="D1812">
        <v>7</v>
      </c>
      <c r="E1812" s="1" t="s">
        <v>43</v>
      </c>
      <c r="F1812">
        <v>1</v>
      </c>
      <c r="G1812" s="1" t="s">
        <v>23</v>
      </c>
      <c r="H1812">
        <v>57457.142857142855</v>
      </c>
      <c r="I1812">
        <v>55585</v>
      </c>
      <c r="J1812">
        <v>60750</v>
      </c>
      <c r="K1812">
        <v>55650</v>
      </c>
      <c r="L1812">
        <v>57650</v>
      </c>
      <c r="M1812">
        <v>1150</v>
      </c>
      <c r="N1812">
        <v>133.48670000000001</v>
      </c>
      <c r="O1812">
        <v>1.165834523</v>
      </c>
      <c r="P1812">
        <v>16398.800780000001</v>
      </c>
      <c r="Q1812">
        <v>26.61</v>
      </c>
      <c r="R1812">
        <v>0.22</v>
      </c>
      <c r="S1812">
        <v>86.49</v>
      </c>
      <c r="T1812">
        <v>29</v>
      </c>
      <c r="U1812" s="1" t="s">
        <v>75</v>
      </c>
      <c r="V1812">
        <v>1.89</v>
      </c>
    </row>
    <row r="1813" spans="1:22" x14ac:dyDescent="0.3">
      <c r="A1813" s="2">
        <v>45868</v>
      </c>
      <c r="B1813">
        <v>64900</v>
      </c>
      <c r="C1813">
        <v>2037</v>
      </c>
      <c r="D1813">
        <v>7</v>
      </c>
      <c r="E1813" s="1" t="s">
        <v>43</v>
      </c>
      <c r="F1813">
        <v>2</v>
      </c>
      <c r="G1813" s="1" t="s">
        <v>23</v>
      </c>
      <c r="H1813">
        <v>58635.714285714283</v>
      </c>
      <c r="I1813">
        <v>55893.333333333336</v>
      </c>
      <c r="J1813">
        <v>61900</v>
      </c>
      <c r="K1813">
        <v>56650</v>
      </c>
      <c r="L1813">
        <v>55650</v>
      </c>
      <c r="M1813">
        <v>3000</v>
      </c>
      <c r="N1813">
        <v>133.48670000000001</v>
      </c>
      <c r="O1813">
        <v>1.165834523</v>
      </c>
      <c r="P1813">
        <v>16367.900390000001</v>
      </c>
      <c r="Q1813">
        <v>27.04</v>
      </c>
      <c r="R1813">
        <v>0.75</v>
      </c>
      <c r="S1813">
        <v>85.44</v>
      </c>
      <c r="T1813">
        <v>30</v>
      </c>
      <c r="U1813" s="1" t="s">
        <v>27</v>
      </c>
      <c r="V1813">
        <v>4.8499999999999996</v>
      </c>
    </row>
    <row r="1814" spans="1:22" x14ac:dyDescent="0.3">
      <c r="A1814" s="2">
        <v>45869</v>
      </c>
      <c r="B1814">
        <v>66900</v>
      </c>
      <c r="C1814">
        <v>2038</v>
      </c>
      <c r="D1814">
        <v>7</v>
      </c>
      <c r="E1814" s="1" t="s">
        <v>43</v>
      </c>
      <c r="F1814">
        <v>3</v>
      </c>
      <c r="G1814" s="1" t="s">
        <v>23</v>
      </c>
      <c r="H1814">
        <v>60350</v>
      </c>
      <c r="I1814">
        <v>56306.666666666664</v>
      </c>
      <c r="J1814">
        <v>64900</v>
      </c>
      <c r="K1814">
        <v>54900</v>
      </c>
      <c r="L1814">
        <v>54500</v>
      </c>
      <c r="M1814">
        <v>2000</v>
      </c>
      <c r="N1814">
        <v>133.48670000000001</v>
      </c>
      <c r="O1814">
        <v>1.165834523</v>
      </c>
      <c r="P1814">
        <v>16426.800780000001</v>
      </c>
      <c r="Q1814">
        <v>27.04</v>
      </c>
      <c r="R1814">
        <v>1.25</v>
      </c>
      <c r="S1814">
        <v>84.55</v>
      </c>
      <c r="T1814">
        <v>31</v>
      </c>
      <c r="U1814" s="1" t="s">
        <v>47</v>
      </c>
      <c r="V1814">
        <v>3.08</v>
      </c>
    </row>
    <row r="1815" spans="1:22" x14ac:dyDescent="0.3">
      <c r="A1815" s="2">
        <v>45870</v>
      </c>
      <c r="B1815">
        <v>68000</v>
      </c>
      <c r="C1815">
        <v>2039</v>
      </c>
      <c r="D1815">
        <v>8</v>
      </c>
      <c r="E1815" s="1" t="s">
        <v>43</v>
      </c>
      <c r="F1815">
        <v>4</v>
      </c>
      <c r="G1815" s="1" t="s">
        <v>23</v>
      </c>
      <c r="H1815">
        <v>62064.285714285717</v>
      </c>
      <c r="I1815">
        <v>56756.666666666664</v>
      </c>
      <c r="J1815">
        <v>66900</v>
      </c>
      <c r="K1815">
        <v>56000</v>
      </c>
      <c r="L1815">
        <v>54500</v>
      </c>
      <c r="M1815">
        <v>1100</v>
      </c>
      <c r="N1815">
        <v>133.48670000000001</v>
      </c>
      <c r="O1815">
        <v>1.165834523</v>
      </c>
      <c r="P1815">
        <v>16483</v>
      </c>
      <c r="Q1815">
        <v>27.04</v>
      </c>
      <c r="R1815">
        <v>6.21</v>
      </c>
      <c r="S1815">
        <v>83.24</v>
      </c>
      <c r="T1815">
        <v>1</v>
      </c>
      <c r="U1815" s="1" t="s">
        <v>89</v>
      </c>
      <c r="V1815">
        <v>1.64</v>
      </c>
    </row>
    <row r="1816" spans="1:22" x14ac:dyDescent="0.3">
      <c r="A1816" s="2">
        <v>45871</v>
      </c>
      <c r="B1816">
        <v>68000</v>
      </c>
      <c r="C1816">
        <v>2040</v>
      </c>
      <c r="D1816">
        <v>8</v>
      </c>
      <c r="E1816" s="1" t="s">
        <v>43</v>
      </c>
      <c r="F1816">
        <v>5</v>
      </c>
      <c r="G1816" s="1" t="s">
        <v>23</v>
      </c>
      <c r="H1816">
        <v>63778.571428571428</v>
      </c>
      <c r="I1816">
        <v>57206.666666666664</v>
      </c>
      <c r="J1816">
        <v>68000</v>
      </c>
      <c r="K1816">
        <v>56000</v>
      </c>
      <c r="L1816">
        <v>54500</v>
      </c>
      <c r="M1816">
        <v>0</v>
      </c>
      <c r="N1816">
        <v>133.48670000000001</v>
      </c>
      <c r="O1816">
        <v>1.165834523</v>
      </c>
      <c r="P1816">
        <v>16483</v>
      </c>
      <c r="Q1816">
        <v>26.33</v>
      </c>
      <c r="R1816">
        <v>17.63</v>
      </c>
      <c r="S1816">
        <v>87.6</v>
      </c>
      <c r="T1816">
        <v>2</v>
      </c>
      <c r="U1816" s="1" t="s">
        <v>89</v>
      </c>
      <c r="V1816">
        <v>1.64</v>
      </c>
    </row>
    <row r="1817" spans="1:22" x14ac:dyDescent="0.3">
      <c r="A1817" s="2">
        <v>45872</v>
      </c>
      <c r="B1817">
        <v>68000</v>
      </c>
      <c r="C1817">
        <v>2041</v>
      </c>
      <c r="D1817">
        <v>8</v>
      </c>
      <c r="E1817" s="1" t="s">
        <v>43</v>
      </c>
      <c r="F1817">
        <v>6</v>
      </c>
      <c r="G1817" s="1" t="s">
        <v>23</v>
      </c>
      <c r="H1817">
        <v>65492.857142857145</v>
      </c>
      <c r="I1817">
        <v>57635</v>
      </c>
      <c r="J1817">
        <v>68000</v>
      </c>
      <c r="K1817">
        <v>56000</v>
      </c>
      <c r="L1817">
        <v>55150</v>
      </c>
      <c r="M1817">
        <v>0</v>
      </c>
      <c r="N1817">
        <v>133.48670000000001</v>
      </c>
      <c r="O1817">
        <v>1.165834523</v>
      </c>
      <c r="P1817">
        <v>16483</v>
      </c>
      <c r="Q1817">
        <v>26.87</v>
      </c>
      <c r="R1817">
        <v>5.0999999999999996</v>
      </c>
      <c r="S1817">
        <v>84.01</v>
      </c>
      <c r="T1817">
        <v>3</v>
      </c>
      <c r="U1817" s="1" t="s">
        <v>89</v>
      </c>
      <c r="V1817">
        <v>1.64</v>
      </c>
    </row>
    <row r="1818" spans="1:22" x14ac:dyDescent="0.3">
      <c r="A1818" s="2">
        <v>45873</v>
      </c>
      <c r="B1818">
        <v>67750</v>
      </c>
      <c r="C1818">
        <v>2042</v>
      </c>
      <c r="D1818">
        <v>8</v>
      </c>
      <c r="E1818" s="1" t="s">
        <v>43</v>
      </c>
      <c r="F1818">
        <v>0</v>
      </c>
      <c r="G1818" s="1" t="s">
        <v>23</v>
      </c>
      <c r="H1818">
        <v>66492.857142857145</v>
      </c>
      <c r="I1818">
        <v>58055</v>
      </c>
      <c r="J1818">
        <v>68000</v>
      </c>
      <c r="K1818">
        <v>60750</v>
      </c>
      <c r="L1818">
        <v>55150</v>
      </c>
      <c r="M1818">
        <v>-250</v>
      </c>
      <c r="N1818">
        <v>133.48670000000001</v>
      </c>
      <c r="O1818">
        <v>1.165834523</v>
      </c>
      <c r="P1818">
        <v>16483</v>
      </c>
      <c r="Q1818">
        <v>26.64</v>
      </c>
      <c r="R1818">
        <v>10.06</v>
      </c>
      <c r="S1818">
        <v>83.18</v>
      </c>
      <c r="T1818">
        <v>4</v>
      </c>
      <c r="U1818" s="1" t="s">
        <v>35</v>
      </c>
      <c r="V1818">
        <v>-0.37</v>
      </c>
    </row>
    <row r="1819" spans="1:22" x14ac:dyDescent="0.3">
      <c r="A1819" s="2">
        <v>45874</v>
      </c>
      <c r="B1819">
        <v>67500</v>
      </c>
      <c r="C1819">
        <v>2043</v>
      </c>
      <c r="D1819">
        <v>8</v>
      </c>
      <c r="E1819" s="1" t="s">
        <v>43</v>
      </c>
      <c r="F1819">
        <v>1</v>
      </c>
      <c r="G1819" s="1" t="s">
        <v>23</v>
      </c>
      <c r="H1819">
        <v>67292.857142857145</v>
      </c>
      <c r="I1819">
        <v>58466.666666666664</v>
      </c>
      <c r="J1819">
        <v>67750</v>
      </c>
      <c r="K1819">
        <v>61900</v>
      </c>
      <c r="L1819">
        <v>55150</v>
      </c>
      <c r="M1819">
        <v>-250</v>
      </c>
      <c r="N1819">
        <v>133.48670000000001</v>
      </c>
      <c r="O1819">
        <v>1.165834523</v>
      </c>
      <c r="P1819">
        <v>16362</v>
      </c>
      <c r="Q1819">
        <v>26.08</v>
      </c>
      <c r="R1819">
        <v>10.91</v>
      </c>
      <c r="S1819">
        <v>86.23</v>
      </c>
      <c r="T1819">
        <v>5</v>
      </c>
      <c r="U1819" s="1" t="s">
        <v>35</v>
      </c>
      <c r="V1819">
        <v>-0.37</v>
      </c>
    </row>
    <row r="1820" spans="1:22" x14ac:dyDescent="0.3">
      <c r="A1820" s="2">
        <v>45875</v>
      </c>
      <c r="B1820">
        <v>67750</v>
      </c>
      <c r="C1820">
        <v>2044</v>
      </c>
      <c r="D1820">
        <v>8</v>
      </c>
      <c r="E1820" s="1" t="s">
        <v>43</v>
      </c>
      <c r="F1820">
        <v>2</v>
      </c>
      <c r="G1820" s="1" t="s">
        <v>23</v>
      </c>
      <c r="H1820">
        <v>67700</v>
      </c>
      <c r="I1820">
        <v>58928.333333333336</v>
      </c>
      <c r="J1820">
        <v>67500</v>
      </c>
      <c r="K1820">
        <v>64900</v>
      </c>
      <c r="L1820">
        <v>53900</v>
      </c>
      <c r="M1820">
        <v>250</v>
      </c>
      <c r="N1820">
        <v>133.48670000000001</v>
      </c>
      <c r="O1820">
        <v>1.165834523</v>
      </c>
      <c r="P1820">
        <v>16377.5</v>
      </c>
      <c r="Q1820">
        <v>26.81</v>
      </c>
      <c r="R1820">
        <v>10.48</v>
      </c>
      <c r="S1820">
        <v>80.53</v>
      </c>
      <c r="T1820">
        <v>6</v>
      </c>
      <c r="U1820" s="1" t="s">
        <v>34</v>
      </c>
      <c r="V1820">
        <v>0.37</v>
      </c>
    </row>
    <row r="1821" spans="1:22" x14ac:dyDescent="0.3">
      <c r="A1821" s="2">
        <v>45876</v>
      </c>
      <c r="B1821">
        <v>68150</v>
      </c>
      <c r="C1821">
        <v>2045</v>
      </c>
      <c r="D1821">
        <v>8</v>
      </c>
      <c r="E1821" s="1" t="s">
        <v>43</v>
      </c>
      <c r="F1821">
        <v>3</v>
      </c>
      <c r="G1821" s="1" t="s">
        <v>23</v>
      </c>
      <c r="H1821">
        <v>67878.571428571435</v>
      </c>
      <c r="I1821">
        <v>59403.333333333336</v>
      </c>
      <c r="J1821">
        <v>67750</v>
      </c>
      <c r="K1821">
        <v>66900</v>
      </c>
      <c r="L1821">
        <v>53900</v>
      </c>
      <c r="M1821">
        <v>400</v>
      </c>
      <c r="N1821">
        <v>133.48670000000001</v>
      </c>
      <c r="O1821">
        <v>1.165834523</v>
      </c>
      <c r="P1821">
        <v>16334.700199999999</v>
      </c>
      <c r="Q1821">
        <v>26.41</v>
      </c>
      <c r="R1821">
        <v>3.37</v>
      </c>
      <c r="S1821">
        <v>80.819999999999993</v>
      </c>
      <c r="T1821">
        <v>7</v>
      </c>
      <c r="U1821" s="1" t="s">
        <v>70</v>
      </c>
      <c r="V1821">
        <v>0.59</v>
      </c>
    </row>
    <row r="1822" spans="1:22" x14ac:dyDescent="0.3">
      <c r="A1822" s="2">
        <v>45877</v>
      </c>
      <c r="B1822">
        <v>67750</v>
      </c>
      <c r="C1822">
        <v>2046</v>
      </c>
      <c r="D1822">
        <v>8</v>
      </c>
      <c r="E1822" s="1" t="s">
        <v>43</v>
      </c>
      <c r="F1822">
        <v>4</v>
      </c>
      <c r="G1822" s="1" t="s">
        <v>23</v>
      </c>
      <c r="H1822">
        <v>67842.857142857145</v>
      </c>
      <c r="I1822">
        <v>59865</v>
      </c>
      <c r="J1822">
        <v>68150</v>
      </c>
      <c r="K1822">
        <v>68000</v>
      </c>
      <c r="L1822">
        <v>53900</v>
      </c>
      <c r="M1822">
        <v>-400</v>
      </c>
      <c r="N1822">
        <v>133.48670000000001</v>
      </c>
      <c r="O1822">
        <v>1.165834523</v>
      </c>
      <c r="P1822">
        <v>16300</v>
      </c>
      <c r="Q1822">
        <v>26.51</v>
      </c>
      <c r="R1822">
        <v>4.96</v>
      </c>
      <c r="S1822">
        <v>81.39</v>
      </c>
      <c r="T1822">
        <v>8</v>
      </c>
      <c r="U1822" s="1" t="s">
        <v>99</v>
      </c>
      <c r="V1822">
        <v>-0.59</v>
      </c>
    </row>
    <row r="1823" spans="1:22" x14ac:dyDescent="0.3">
      <c r="A1823" s="2">
        <v>45878</v>
      </c>
      <c r="B1823">
        <v>67750</v>
      </c>
      <c r="C1823">
        <v>2047</v>
      </c>
      <c r="D1823">
        <v>8</v>
      </c>
      <c r="E1823" s="1" t="s">
        <v>43</v>
      </c>
      <c r="F1823">
        <v>5</v>
      </c>
      <c r="G1823" s="1" t="s">
        <v>23</v>
      </c>
      <c r="H1823">
        <v>67807.142857142855</v>
      </c>
      <c r="I1823">
        <v>60285</v>
      </c>
      <c r="J1823">
        <v>67750</v>
      </c>
      <c r="K1823">
        <v>68000</v>
      </c>
      <c r="L1823">
        <v>55150</v>
      </c>
      <c r="M1823">
        <v>0</v>
      </c>
      <c r="N1823">
        <v>133.48670000000001</v>
      </c>
      <c r="O1823">
        <v>1.165834523</v>
      </c>
      <c r="P1823">
        <v>16300</v>
      </c>
      <c r="Q1823">
        <v>26.5</v>
      </c>
      <c r="R1823">
        <v>3</v>
      </c>
      <c r="S1823">
        <v>81.73</v>
      </c>
      <c r="T1823">
        <v>9</v>
      </c>
      <c r="U1823" s="1" t="s">
        <v>99</v>
      </c>
      <c r="V1823">
        <v>-0.59</v>
      </c>
    </row>
    <row r="1824" spans="1:22" x14ac:dyDescent="0.3">
      <c r="A1824" s="2">
        <v>45879</v>
      </c>
      <c r="B1824">
        <v>67750</v>
      </c>
      <c r="C1824">
        <v>2048</v>
      </c>
      <c r="D1824">
        <v>8</v>
      </c>
      <c r="E1824" s="1" t="s">
        <v>43</v>
      </c>
      <c r="F1824">
        <v>6</v>
      </c>
      <c r="G1824" s="1" t="s">
        <v>23</v>
      </c>
      <c r="H1824">
        <v>67771.428571428565</v>
      </c>
      <c r="I1824">
        <v>60705</v>
      </c>
      <c r="J1824">
        <v>67750</v>
      </c>
      <c r="K1824">
        <v>68000</v>
      </c>
      <c r="L1824">
        <v>55150</v>
      </c>
      <c r="M1824">
        <v>0</v>
      </c>
      <c r="N1824">
        <v>133.48670000000001</v>
      </c>
      <c r="O1824">
        <v>1.165834523</v>
      </c>
      <c r="P1824">
        <v>16300</v>
      </c>
      <c r="Q1824">
        <v>26.45</v>
      </c>
      <c r="R1824">
        <v>6.7</v>
      </c>
      <c r="S1824">
        <v>82.63</v>
      </c>
      <c r="T1824">
        <v>10</v>
      </c>
      <c r="U1824" s="1" t="s">
        <v>99</v>
      </c>
      <c r="V1824">
        <v>-0.59</v>
      </c>
    </row>
    <row r="1825" spans="1:22" x14ac:dyDescent="0.3">
      <c r="A1825" s="2">
        <v>45880</v>
      </c>
      <c r="B1825">
        <v>67250</v>
      </c>
      <c r="C1825">
        <v>2049</v>
      </c>
      <c r="D1825">
        <v>8</v>
      </c>
      <c r="E1825" s="1" t="s">
        <v>43</v>
      </c>
      <c r="F1825">
        <v>0</v>
      </c>
      <c r="G1825" s="1" t="s">
        <v>23</v>
      </c>
      <c r="H1825">
        <v>67700</v>
      </c>
      <c r="I1825">
        <v>61108.333333333336</v>
      </c>
      <c r="J1825">
        <v>67750</v>
      </c>
      <c r="K1825">
        <v>67750</v>
      </c>
      <c r="L1825">
        <v>55150</v>
      </c>
      <c r="M1825">
        <v>-500</v>
      </c>
      <c r="N1825">
        <v>133.48670000000001</v>
      </c>
      <c r="O1825">
        <v>1.165834523</v>
      </c>
      <c r="P1825">
        <v>16249</v>
      </c>
      <c r="Q1825">
        <v>25.93</v>
      </c>
      <c r="R1825">
        <v>7.14</v>
      </c>
      <c r="S1825">
        <v>84.74</v>
      </c>
      <c r="T1825">
        <v>11</v>
      </c>
      <c r="U1825" s="1" t="s">
        <v>24</v>
      </c>
      <c r="V1825">
        <v>-0.74</v>
      </c>
    </row>
    <row r="1826" spans="1:22" x14ac:dyDescent="0.3">
      <c r="A1826" s="2">
        <v>45881</v>
      </c>
      <c r="B1826">
        <v>66900</v>
      </c>
      <c r="C1826">
        <v>2050</v>
      </c>
      <c r="D1826">
        <v>8</v>
      </c>
      <c r="E1826" s="1" t="s">
        <v>43</v>
      </c>
      <c r="F1826">
        <v>1</v>
      </c>
      <c r="G1826" s="1" t="s">
        <v>23</v>
      </c>
      <c r="H1826">
        <v>67614.28571428571</v>
      </c>
      <c r="I1826">
        <v>61500</v>
      </c>
      <c r="J1826">
        <v>67250</v>
      </c>
      <c r="K1826">
        <v>67500</v>
      </c>
      <c r="L1826">
        <v>55150</v>
      </c>
      <c r="M1826">
        <v>-350</v>
      </c>
      <c r="N1826">
        <v>133.48670000000001</v>
      </c>
      <c r="O1826">
        <v>1.165834523</v>
      </c>
      <c r="P1826">
        <v>16298</v>
      </c>
      <c r="Q1826">
        <v>25.96</v>
      </c>
      <c r="R1826">
        <v>2.84</v>
      </c>
      <c r="S1826">
        <v>82.31</v>
      </c>
      <c r="T1826">
        <v>12</v>
      </c>
      <c r="U1826" s="1" t="s">
        <v>77</v>
      </c>
      <c r="V1826">
        <v>-0.52</v>
      </c>
    </row>
    <row r="1827" spans="1:22" x14ac:dyDescent="0.3">
      <c r="A1827" s="2">
        <v>45882</v>
      </c>
      <c r="B1827">
        <v>68500</v>
      </c>
      <c r="C1827">
        <v>2051</v>
      </c>
      <c r="D1827">
        <v>8</v>
      </c>
      <c r="E1827" s="1" t="s">
        <v>43</v>
      </c>
      <c r="F1827">
        <v>2</v>
      </c>
      <c r="G1827" s="1" t="s">
        <v>23</v>
      </c>
      <c r="H1827">
        <v>67721.428571428565</v>
      </c>
      <c r="I1827">
        <v>61920</v>
      </c>
      <c r="J1827">
        <v>66900</v>
      </c>
      <c r="K1827">
        <v>67750</v>
      </c>
      <c r="L1827">
        <v>55900</v>
      </c>
      <c r="M1827">
        <v>1600</v>
      </c>
      <c r="N1827">
        <v>133.48670000000001</v>
      </c>
      <c r="O1827">
        <v>1.165834523</v>
      </c>
      <c r="P1827">
        <v>16248.200199999999</v>
      </c>
      <c r="Q1827">
        <v>26.25</v>
      </c>
      <c r="R1827">
        <v>0.01</v>
      </c>
      <c r="S1827">
        <v>76.459999999999994</v>
      </c>
      <c r="T1827">
        <v>13</v>
      </c>
      <c r="U1827" s="1" t="s">
        <v>119</v>
      </c>
      <c r="V1827">
        <v>2.39</v>
      </c>
    </row>
    <row r="1828" spans="1:22" x14ac:dyDescent="0.3">
      <c r="A1828" s="2">
        <v>45883</v>
      </c>
      <c r="B1828">
        <v>68500</v>
      </c>
      <c r="C1828">
        <v>2052</v>
      </c>
      <c r="D1828">
        <v>8</v>
      </c>
      <c r="E1828" s="1" t="s">
        <v>43</v>
      </c>
      <c r="F1828">
        <v>3</v>
      </c>
      <c r="G1828" s="1" t="s">
        <v>23</v>
      </c>
      <c r="H1828">
        <v>67771.428571428565</v>
      </c>
      <c r="I1828">
        <v>62381.666666666664</v>
      </c>
      <c r="J1828">
        <v>68500</v>
      </c>
      <c r="K1828">
        <v>68150</v>
      </c>
      <c r="L1828">
        <v>54650</v>
      </c>
      <c r="M1828">
        <v>0</v>
      </c>
      <c r="N1828">
        <v>133.48670000000001</v>
      </c>
      <c r="O1828">
        <v>1.165834523</v>
      </c>
      <c r="P1828">
        <v>16109</v>
      </c>
      <c r="Q1828">
        <v>25.85</v>
      </c>
      <c r="R1828">
        <v>7.31</v>
      </c>
      <c r="S1828">
        <v>81.64</v>
      </c>
      <c r="T1828">
        <v>14</v>
      </c>
      <c r="U1828" s="1" t="s">
        <v>25</v>
      </c>
      <c r="V1828">
        <v>0</v>
      </c>
    </row>
    <row r="1829" spans="1:22" x14ac:dyDescent="0.3">
      <c r="A1829" s="2">
        <v>45884</v>
      </c>
      <c r="B1829">
        <v>68000</v>
      </c>
      <c r="C1829">
        <v>2053</v>
      </c>
      <c r="D1829">
        <v>8</v>
      </c>
      <c r="E1829" s="1" t="s">
        <v>43</v>
      </c>
      <c r="F1829">
        <v>4</v>
      </c>
      <c r="G1829" s="1" t="s">
        <v>23</v>
      </c>
      <c r="H1829">
        <v>67807.142857142855</v>
      </c>
      <c r="I1829">
        <v>62806.666666666664</v>
      </c>
      <c r="J1829">
        <v>68500</v>
      </c>
      <c r="K1829">
        <v>67750</v>
      </c>
      <c r="L1829">
        <v>55250</v>
      </c>
      <c r="M1829">
        <v>-500</v>
      </c>
      <c r="N1829">
        <v>133.48670000000001</v>
      </c>
      <c r="O1829">
        <v>1.165834523</v>
      </c>
      <c r="P1829">
        <v>16169</v>
      </c>
      <c r="Q1829">
        <v>25.41</v>
      </c>
      <c r="R1829">
        <v>5.7</v>
      </c>
      <c r="S1829">
        <v>86.93</v>
      </c>
      <c r="T1829">
        <v>15</v>
      </c>
      <c r="U1829" s="1" t="s">
        <v>24</v>
      </c>
      <c r="V1829">
        <v>-0.73</v>
      </c>
    </row>
    <row r="1830" spans="1:22" x14ac:dyDescent="0.3">
      <c r="A1830" s="2">
        <v>45885</v>
      </c>
      <c r="B1830">
        <v>68000</v>
      </c>
      <c r="C1830">
        <v>2054</v>
      </c>
      <c r="D1830">
        <v>8</v>
      </c>
      <c r="E1830" s="1" t="s">
        <v>43</v>
      </c>
      <c r="F1830">
        <v>5</v>
      </c>
      <c r="G1830" s="1" t="s">
        <v>23</v>
      </c>
      <c r="H1830">
        <v>67842.857142857145</v>
      </c>
      <c r="I1830">
        <v>63231.666666666664</v>
      </c>
      <c r="J1830">
        <v>68000</v>
      </c>
      <c r="K1830">
        <v>67750</v>
      </c>
      <c r="L1830">
        <v>55250</v>
      </c>
      <c r="M1830">
        <v>0</v>
      </c>
      <c r="N1830">
        <v>133.48670000000001</v>
      </c>
      <c r="O1830">
        <v>1.165834523</v>
      </c>
      <c r="P1830">
        <v>16169</v>
      </c>
      <c r="Q1830">
        <v>25.84</v>
      </c>
      <c r="R1830">
        <v>5.71</v>
      </c>
      <c r="S1830">
        <v>85.43</v>
      </c>
      <c r="T1830">
        <v>16</v>
      </c>
      <c r="U1830" s="1" t="s">
        <v>24</v>
      </c>
      <c r="V1830">
        <v>-0.73</v>
      </c>
    </row>
    <row r="1831" spans="1:22" x14ac:dyDescent="0.3">
      <c r="A1831" s="2">
        <v>45886</v>
      </c>
      <c r="B1831">
        <v>68000</v>
      </c>
      <c r="C1831">
        <v>2055</v>
      </c>
      <c r="D1831">
        <v>8</v>
      </c>
      <c r="E1831" s="1" t="s">
        <v>43</v>
      </c>
      <c r="F1831">
        <v>6</v>
      </c>
      <c r="G1831" s="1" t="s">
        <v>44</v>
      </c>
      <c r="H1831">
        <v>67878.571428571435</v>
      </c>
      <c r="I1831">
        <v>63656.666666666664</v>
      </c>
      <c r="J1831">
        <v>68000</v>
      </c>
      <c r="K1831">
        <v>67750</v>
      </c>
      <c r="L1831">
        <v>55250</v>
      </c>
      <c r="M1831">
        <v>0</v>
      </c>
      <c r="N1831">
        <v>133.48670000000001</v>
      </c>
      <c r="O1831">
        <v>1.165834523</v>
      </c>
      <c r="P1831">
        <v>16169</v>
      </c>
      <c r="Q1831">
        <v>26.56</v>
      </c>
      <c r="R1831">
        <v>9.41</v>
      </c>
      <c r="S1831">
        <v>81.739999999999995</v>
      </c>
      <c r="T1831">
        <v>17</v>
      </c>
      <c r="U1831" s="1" t="s">
        <v>24</v>
      </c>
      <c r="V1831">
        <v>-0.73</v>
      </c>
    </row>
    <row r="1832" spans="1:22" x14ac:dyDescent="0.3">
      <c r="A1832" s="2">
        <v>45887</v>
      </c>
      <c r="B1832">
        <v>68000</v>
      </c>
      <c r="C1832">
        <v>2056</v>
      </c>
      <c r="D1832">
        <v>8</v>
      </c>
      <c r="E1832" s="1" t="s">
        <v>43</v>
      </c>
      <c r="F1832">
        <v>0</v>
      </c>
      <c r="G1832" s="1" t="s">
        <v>23</v>
      </c>
      <c r="H1832">
        <v>67985.71428571429</v>
      </c>
      <c r="I1832">
        <v>64081.666666666664</v>
      </c>
      <c r="J1832">
        <v>68000</v>
      </c>
      <c r="K1832">
        <v>67250</v>
      </c>
      <c r="L1832">
        <v>55250</v>
      </c>
      <c r="M1832">
        <v>0</v>
      </c>
      <c r="N1832">
        <v>133.48670000000001</v>
      </c>
      <c r="O1832">
        <v>1.165834523</v>
      </c>
      <c r="P1832">
        <v>16196</v>
      </c>
      <c r="Q1832">
        <v>26.66</v>
      </c>
      <c r="R1832">
        <v>4.24</v>
      </c>
      <c r="S1832">
        <v>80.430000000000007</v>
      </c>
      <c r="T1832">
        <v>18</v>
      </c>
      <c r="U1832" s="1" t="s">
        <v>25</v>
      </c>
      <c r="V1832">
        <v>0</v>
      </c>
    </row>
    <row r="1833" spans="1:22" x14ac:dyDescent="0.3">
      <c r="A1833" s="2">
        <v>45888</v>
      </c>
      <c r="B1833">
        <v>66650</v>
      </c>
      <c r="C1833">
        <v>2057</v>
      </c>
      <c r="D1833">
        <v>8</v>
      </c>
      <c r="E1833" s="1" t="s">
        <v>43</v>
      </c>
      <c r="F1833">
        <v>1</v>
      </c>
      <c r="G1833" s="1" t="s">
        <v>23</v>
      </c>
      <c r="H1833">
        <v>67950</v>
      </c>
      <c r="I1833">
        <v>64461.666666666664</v>
      </c>
      <c r="J1833">
        <v>68000</v>
      </c>
      <c r="K1833">
        <v>66900</v>
      </c>
      <c r="L1833">
        <v>55250</v>
      </c>
      <c r="M1833">
        <v>-1350</v>
      </c>
      <c r="N1833">
        <v>133.48670000000001</v>
      </c>
      <c r="O1833">
        <v>1.165834523</v>
      </c>
      <c r="P1833">
        <v>16205.400390000001</v>
      </c>
      <c r="Q1833">
        <v>26.35</v>
      </c>
      <c r="R1833">
        <v>16.05</v>
      </c>
      <c r="S1833">
        <v>83.05</v>
      </c>
      <c r="T1833">
        <v>19</v>
      </c>
      <c r="U1833" s="1" t="s">
        <v>96</v>
      </c>
      <c r="V1833">
        <v>-1.99</v>
      </c>
    </row>
    <row r="1834" spans="1:22" x14ac:dyDescent="0.3">
      <c r="A1834" s="2">
        <v>45889</v>
      </c>
      <c r="B1834">
        <v>67150</v>
      </c>
      <c r="C1834">
        <v>2058</v>
      </c>
      <c r="D1834">
        <v>8</v>
      </c>
      <c r="E1834" s="1" t="s">
        <v>43</v>
      </c>
      <c r="F1834">
        <v>2</v>
      </c>
      <c r="G1834" s="1" t="s">
        <v>23</v>
      </c>
      <c r="H1834">
        <v>67757.142857142855</v>
      </c>
      <c r="I1834">
        <v>64833.333333333336</v>
      </c>
      <c r="J1834">
        <v>66650</v>
      </c>
      <c r="K1834">
        <v>68500</v>
      </c>
      <c r="L1834">
        <v>56000</v>
      </c>
      <c r="M1834">
        <v>500</v>
      </c>
      <c r="N1834">
        <v>133.48670000000001</v>
      </c>
      <c r="O1834">
        <v>1.165834523</v>
      </c>
      <c r="P1834">
        <v>16275.200199999999</v>
      </c>
      <c r="Q1834">
        <v>26.14</v>
      </c>
      <c r="R1834">
        <v>13.31</v>
      </c>
      <c r="S1834">
        <v>85.1</v>
      </c>
      <c r="T1834">
        <v>20</v>
      </c>
      <c r="U1834" s="1" t="s">
        <v>26</v>
      </c>
      <c r="V1834">
        <v>0.75</v>
      </c>
    </row>
    <row r="1835" spans="1:22" x14ac:dyDescent="0.3">
      <c r="A1835" s="2">
        <v>45890</v>
      </c>
      <c r="B1835">
        <v>65900</v>
      </c>
      <c r="C1835">
        <v>2059</v>
      </c>
      <c r="D1835">
        <v>8</v>
      </c>
      <c r="E1835" s="1" t="s">
        <v>43</v>
      </c>
      <c r="F1835">
        <v>3</v>
      </c>
      <c r="G1835" s="1" t="s">
        <v>23</v>
      </c>
      <c r="H1835">
        <v>67385.71428571429</v>
      </c>
      <c r="I1835">
        <v>65175</v>
      </c>
      <c r="J1835">
        <v>67150</v>
      </c>
      <c r="K1835">
        <v>68500</v>
      </c>
      <c r="L1835">
        <v>55650</v>
      </c>
      <c r="M1835">
        <v>-1250</v>
      </c>
      <c r="N1835">
        <v>133.48670000000001</v>
      </c>
      <c r="O1835">
        <v>1.165834523</v>
      </c>
      <c r="P1835">
        <v>16263.599609999999</v>
      </c>
      <c r="Q1835">
        <v>25.76</v>
      </c>
      <c r="R1835">
        <v>11.98</v>
      </c>
      <c r="S1835">
        <v>85.56</v>
      </c>
      <c r="T1835">
        <v>21</v>
      </c>
      <c r="U1835" s="1" t="s">
        <v>40</v>
      </c>
      <c r="V1835">
        <v>-1.86</v>
      </c>
    </row>
    <row r="1836" spans="1:22" x14ac:dyDescent="0.3">
      <c r="A1836" s="2">
        <v>45891</v>
      </c>
      <c r="B1836">
        <v>64900</v>
      </c>
      <c r="C1836">
        <v>2060</v>
      </c>
      <c r="D1836">
        <v>8</v>
      </c>
      <c r="E1836" s="1" t="s">
        <v>43</v>
      </c>
      <c r="F1836">
        <v>4</v>
      </c>
      <c r="G1836" s="1" t="s">
        <v>23</v>
      </c>
      <c r="H1836">
        <v>66942.857142857145</v>
      </c>
      <c r="I1836">
        <v>65450</v>
      </c>
      <c r="J1836">
        <v>65900</v>
      </c>
      <c r="K1836">
        <v>68000</v>
      </c>
      <c r="L1836">
        <v>56650</v>
      </c>
      <c r="M1836">
        <v>-1000</v>
      </c>
      <c r="N1836">
        <v>133.48670000000001</v>
      </c>
      <c r="O1836">
        <v>1.165834523</v>
      </c>
      <c r="P1836">
        <v>16339.700199999999</v>
      </c>
      <c r="Q1836">
        <v>25.32</v>
      </c>
      <c r="R1836">
        <v>6.79</v>
      </c>
      <c r="S1836">
        <v>85.9</v>
      </c>
      <c r="T1836">
        <v>22</v>
      </c>
      <c r="U1836" s="1" t="s">
        <v>30</v>
      </c>
      <c r="V1836">
        <v>-1.52</v>
      </c>
    </row>
    <row r="1837" spans="1:22" x14ac:dyDescent="0.3">
      <c r="A1837" s="2">
        <v>45892</v>
      </c>
      <c r="B1837">
        <v>64900</v>
      </c>
      <c r="C1837">
        <v>2061</v>
      </c>
      <c r="D1837">
        <v>8</v>
      </c>
      <c r="E1837" s="1" t="s">
        <v>43</v>
      </c>
      <c r="F1837">
        <v>5</v>
      </c>
      <c r="G1837" s="1" t="s">
        <v>23</v>
      </c>
      <c r="H1837">
        <v>66500</v>
      </c>
      <c r="I1837">
        <v>65783.333333333328</v>
      </c>
      <c r="J1837">
        <v>64900</v>
      </c>
      <c r="K1837">
        <v>68000</v>
      </c>
      <c r="L1837">
        <v>54900</v>
      </c>
      <c r="M1837">
        <v>0</v>
      </c>
      <c r="N1837">
        <v>133.48670000000001</v>
      </c>
      <c r="O1837">
        <v>1.165834523</v>
      </c>
      <c r="P1837">
        <v>16339.700199999999</v>
      </c>
      <c r="Q1837">
        <v>25.45</v>
      </c>
      <c r="R1837">
        <v>29.29</v>
      </c>
      <c r="S1837">
        <v>84.71</v>
      </c>
      <c r="T1837">
        <v>23</v>
      </c>
      <c r="U1837" s="1" t="s">
        <v>30</v>
      </c>
      <c r="V1837">
        <v>-1.52</v>
      </c>
    </row>
    <row r="1838" spans="1:22" x14ac:dyDescent="0.3">
      <c r="A1838" s="2">
        <v>45893</v>
      </c>
      <c r="B1838">
        <v>64900</v>
      </c>
      <c r="C1838">
        <v>2062</v>
      </c>
      <c r="D1838">
        <v>8</v>
      </c>
      <c r="E1838" s="1" t="s">
        <v>43</v>
      </c>
      <c r="F1838">
        <v>6</v>
      </c>
      <c r="G1838" s="1" t="s">
        <v>23</v>
      </c>
      <c r="H1838">
        <v>66057.142857142855</v>
      </c>
      <c r="I1838">
        <v>66080</v>
      </c>
      <c r="J1838">
        <v>64900</v>
      </c>
      <c r="K1838">
        <v>68000</v>
      </c>
      <c r="L1838">
        <v>56000</v>
      </c>
      <c r="M1838">
        <v>0</v>
      </c>
      <c r="N1838">
        <v>133.48670000000001</v>
      </c>
      <c r="O1838">
        <v>1.165834523</v>
      </c>
      <c r="P1838">
        <v>16339.700199999999</v>
      </c>
      <c r="Q1838">
        <v>25.89</v>
      </c>
      <c r="R1838">
        <v>8.6999999999999993</v>
      </c>
      <c r="S1838">
        <v>84.13</v>
      </c>
      <c r="T1838">
        <v>24</v>
      </c>
      <c r="U1838" s="1" t="s">
        <v>30</v>
      </c>
      <c r="V1838">
        <v>-1.52</v>
      </c>
    </row>
    <row r="1839" spans="1:22" x14ac:dyDescent="0.3">
      <c r="A1839" s="2">
        <v>45894</v>
      </c>
      <c r="B1839">
        <v>57500</v>
      </c>
      <c r="C1839">
        <v>2063</v>
      </c>
      <c r="D1839">
        <v>8</v>
      </c>
      <c r="E1839" s="1" t="s">
        <v>43</v>
      </c>
      <c r="F1839">
        <v>0</v>
      </c>
      <c r="G1839" s="1" t="s">
        <v>23</v>
      </c>
      <c r="H1839">
        <v>64557.142857142855</v>
      </c>
      <c r="I1839">
        <v>66130</v>
      </c>
      <c r="J1839">
        <v>64900</v>
      </c>
      <c r="K1839">
        <v>68000</v>
      </c>
      <c r="L1839">
        <v>56000</v>
      </c>
      <c r="M1839">
        <v>-7400</v>
      </c>
      <c r="N1839">
        <v>133.48670000000001</v>
      </c>
      <c r="O1839">
        <v>1.165834523</v>
      </c>
      <c r="P1839">
        <v>16227</v>
      </c>
      <c r="Q1839">
        <v>26.14</v>
      </c>
      <c r="R1839">
        <v>5.17</v>
      </c>
      <c r="S1839">
        <v>82.06</v>
      </c>
      <c r="T1839">
        <v>25</v>
      </c>
      <c r="U1839" s="1" t="s">
        <v>120</v>
      </c>
      <c r="V1839">
        <v>-11.4</v>
      </c>
    </row>
    <row r="1840" spans="1:22" x14ac:dyDescent="0.3">
      <c r="A1840" s="2">
        <v>45895</v>
      </c>
      <c r="B1840">
        <v>57000</v>
      </c>
      <c r="C1840">
        <v>2064</v>
      </c>
      <c r="D1840">
        <v>8</v>
      </c>
      <c r="E1840" s="1" t="s">
        <v>43</v>
      </c>
      <c r="F1840">
        <v>1</v>
      </c>
      <c r="G1840" s="1" t="s">
        <v>23</v>
      </c>
      <c r="H1840">
        <v>63178.571428571428</v>
      </c>
      <c r="I1840">
        <v>66163.333333333328</v>
      </c>
      <c r="J1840">
        <v>57500</v>
      </c>
      <c r="K1840">
        <v>66650</v>
      </c>
      <c r="L1840">
        <v>56000</v>
      </c>
      <c r="M1840">
        <v>-500</v>
      </c>
      <c r="N1840">
        <v>133.48670000000001</v>
      </c>
      <c r="O1840">
        <v>1.165834523</v>
      </c>
      <c r="P1840">
        <v>16267</v>
      </c>
      <c r="Q1840">
        <v>26.45</v>
      </c>
      <c r="R1840">
        <v>4.5599999999999996</v>
      </c>
      <c r="S1840">
        <v>80.42</v>
      </c>
      <c r="T1840">
        <v>26</v>
      </c>
      <c r="U1840" s="1" t="s">
        <v>24</v>
      </c>
      <c r="V1840">
        <v>-0.87</v>
      </c>
    </row>
    <row r="1841" spans="1:22" x14ac:dyDescent="0.3">
      <c r="A1841" s="2">
        <v>45896</v>
      </c>
      <c r="B1841">
        <v>59650</v>
      </c>
      <c r="C1841">
        <v>2065</v>
      </c>
      <c r="D1841">
        <v>8</v>
      </c>
      <c r="E1841" s="1" t="s">
        <v>43</v>
      </c>
      <c r="F1841">
        <v>2</v>
      </c>
      <c r="G1841" s="1" t="s">
        <v>23</v>
      </c>
      <c r="H1841">
        <v>62107.142857142855</v>
      </c>
      <c r="I1841">
        <v>66126.666666666672</v>
      </c>
      <c r="J1841">
        <v>57000</v>
      </c>
      <c r="K1841">
        <v>67150</v>
      </c>
      <c r="L1841">
        <v>60750</v>
      </c>
      <c r="M1841">
        <v>2650</v>
      </c>
      <c r="N1841">
        <v>133.48670000000001</v>
      </c>
      <c r="O1841">
        <v>1.165834523</v>
      </c>
      <c r="P1841">
        <v>16299.200199999999</v>
      </c>
      <c r="Q1841">
        <v>26.29</v>
      </c>
      <c r="R1841">
        <v>2.19</v>
      </c>
      <c r="S1841">
        <v>81.7</v>
      </c>
      <c r="T1841">
        <v>27</v>
      </c>
      <c r="U1841" s="1" t="s">
        <v>121</v>
      </c>
      <c r="V1841">
        <v>4.6500000000000004</v>
      </c>
    </row>
    <row r="1842" spans="1:22" x14ac:dyDescent="0.3">
      <c r="A1842" s="2">
        <v>45897</v>
      </c>
      <c r="B1842">
        <v>60250</v>
      </c>
      <c r="C1842">
        <v>2066</v>
      </c>
      <c r="D1842">
        <v>8</v>
      </c>
      <c r="E1842" s="1" t="s">
        <v>43</v>
      </c>
      <c r="F1842">
        <v>3</v>
      </c>
      <c r="G1842" s="1" t="s">
        <v>23</v>
      </c>
      <c r="H1842">
        <v>61300</v>
      </c>
      <c r="I1842">
        <v>66071.666666666672</v>
      </c>
      <c r="J1842">
        <v>59650</v>
      </c>
      <c r="K1842">
        <v>65900</v>
      </c>
      <c r="L1842">
        <v>61900</v>
      </c>
      <c r="M1842">
        <v>600</v>
      </c>
      <c r="N1842">
        <v>133.48670000000001</v>
      </c>
      <c r="O1842">
        <v>1.165834523</v>
      </c>
      <c r="P1842">
        <v>16314</v>
      </c>
      <c r="Q1842">
        <v>26.45</v>
      </c>
      <c r="R1842">
        <v>2.44</v>
      </c>
      <c r="S1842">
        <v>81.02</v>
      </c>
      <c r="T1842">
        <v>28</v>
      </c>
      <c r="U1842" s="1" t="s">
        <v>64</v>
      </c>
      <c r="V1842">
        <v>1.01</v>
      </c>
    </row>
    <row r="1843" spans="1:22" x14ac:dyDescent="0.3">
      <c r="A1843" s="2">
        <v>45898</v>
      </c>
      <c r="B1843">
        <v>59250</v>
      </c>
      <c r="C1843">
        <v>2067</v>
      </c>
      <c r="D1843">
        <v>8</v>
      </c>
      <c r="E1843" s="1" t="s">
        <v>43</v>
      </c>
      <c r="F1843">
        <v>4</v>
      </c>
      <c r="G1843" s="1" t="s">
        <v>23</v>
      </c>
      <c r="H1843">
        <v>60492.857142857145</v>
      </c>
      <c r="I1843">
        <v>65883.333333333328</v>
      </c>
      <c r="J1843">
        <v>60250</v>
      </c>
      <c r="K1843">
        <v>64900</v>
      </c>
      <c r="L1843">
        <v>64900</v>
      </c>
      <c r="M1843">
        <v>-1000</v>
      </c>
      <c r="N1843">
        <v>133.48670000000001</v>
      </c>
      <c r="O1843">
        <v>1.165834523</v>
      </c>
      <c r="P1843">
        <v>16344.299800000001</v>
      </c>
      <c r="Q1843">
        <v>26.65</v>
      </c>
      <c r="R1843">
        <v>3.8</v>
      </c>
      <c r="S1843">
        <v>80.13</v>
      </c>
      <c r="T1843">
        <v>29</v>
      </c>
      <c r="U1843" s="1" t="s">
        <v>30</v>
      </c>
      <c r="V1843">
        <v>-1.66</v>
      </c>
    </row>
    <row r="1844" spans="1:22" x14ac:dyDescent="0.3">
      <c r="A1844" s="2">
        <v>45899</v>
      </c>
      <c r="B1844">
        <v>59250</v>
      </c>
      <c r="C1844">
        <v>2068</v>
      </c>
      <c r="D1844">
        <v>8</v>
      </c>
      <c r="E1844" s="1" t="s">
        <v>43</v>
      </c>
      <c r="F1844">
        <v>5</v>
      </c>
      <c r="G1844" s="1" t="s">
        <v>23</v>
      </c>
      <c r="H1844">
        <v>59685.714285714283</v>
      </c>
      <c r="I1844">
        <v>65628.333333333328</v>
      </c>
      <c r="J1844">
        <v>59250</v>
      </c>
      <c r="K1844">
        <v>64900</v>
      </c>
      <c r="L1844">
        <v>66900</v>
      </c>
      <c r="M1844">
        <v>0</v>
      </c>
      <c r="N1844">
        <v>133.48670000000001</v>
      </c>
      <c r="O1844">
        <v>1.165834523</v>
      </c>
      <c r="P1844">
        <v>16344.299800000001</v>
      </c>
      <c r="Q1844">
        <v>26.5</v>
      </c>
      <c r="R1844">
        <v>4.97</v>
      </c>
      <c r="S1844">
        <v>82.57</v>
      </c>
      <c r="T1844">
        <v>30</v>
      </c>
      <c r="U1844" s="1" t="s">
        <v>30</v>
      </c>
      <c r="V1844">
        <v>-1.66</v>
      </c>
    </row>
    <row r="1845" spans="1:22" x14ac:dyDescent="0.3">
      <c r="A1845" s="2">
        <v>45900</v>
      </c>
      <c r="B1845">
        <v>59250</v>
      </c>
      <c r="C1845">
        <v>2069</v>
      </c>
      <c r="D1845">
        <v>8</v>
      </c>
      <c r="E1845" s="1" t="s">
        <v>43</v>
      </c>
      <c r="F1845">
        <v>6</v>
      </c>
      <c r="G1845" s="1" t="s">
        <v>23</v>
      </c>
      <c r="H1845">
        <v>58878.571428571428</v>
      </c>
      <c r="I1845">
        <v>65336.666666666664</v>
      </c>
      <c r="J1845">
        <v>59250</v>
      </c>
      <c r="K1845">
        <v>64900</v>
      </c>
      <c r="L1845">
        <v>68000</v>
      </c>
      <c r="M1845">
        <v>0</v>
      </c>
      <c r="N1845">
        <v>133.48670000000001</v>
      </c>
      <c r="O1845">
        <v>1.165834523</v>
      </c>
      <c r="P1845">
        <v>16344.299800000001</v>
      </c>
      <c r="Q1845">
        <v>26.67</v>
      </c>
      <c r="R1845">
        <v>9.81</v>
      </c>
      <c r="S1845">
        <v>81.12</v>
      </c>
      <c r="T1845">
        <v>31</v>
      </c>
      <c r="U1845" s="1" t="s">
        <v>30</v>
      </c>
      <c r="V1845">
        <v>-1.66</v>
      </c>
    </row>
    <row r="1846" spans="1:22" x14ac:dyDescent="0.3">
      <c r="A1846" s="2">
        <v>45901</v>
      </c>
      <c r="B1846">
        <v>58000</v>
      </c>
      <c r="C1846">
        <v>2070</v>
      </c>
      <c r="D1846">
        <v>9</v>
      </c>
      <c r="E1846" s="1" t="s">
        <v>43</v>
      </c>
      <c r="F1846">
        <v>0</v>
      </c>
      <c r="G1846" s="1" t="s">
        <v>23</v>
      </c>
      <c r="H1846">
        <v>58950</v>
      </c>
      <c r="I1846">
        <v>65003.333333333336</v>
      </c>
      <c r="J1846">
        <v>59250</v>
      </c>
      <c r="K1846">
        <v>57500</v>
      </c>
      <c r="L1846">
        <v>68000</v>
      </c>
      <c r="M1846">
        <v>-1250</v>
      </c>
      <c r="N1846">
        <v>133.48670000000001</v>
      </c>
      <c r="O1846">
        <v>1.165834523</v>
      </c>
      <c r="P1846">
        <v>16409</v>
      </c>
      <c r="Q1846">
        <v>26.22</v>
      </c>
      <c r="R1846">
        <v>3.83</v>
      </c>
      <c r="S1846">
        <v>82.96</v>
      </c>
      <c r="T1846">
        <v>1</v>
      </c>
      <c r="U1846" s="1" t="s">
        <v>40</v>
      </c>
      <c r="V1846">
        <v>-2.11</v>
      </c>
    </row>
    <row r="1847" spans="1:22" x14ac:dyDescent="0.3">
      <c r="A1847" s="2">
        <v>45902</v>
      </c>
      <c r="B1847">
        <v>54750</v>
      </c>
      <c r="C1847">
        <v>2071</v>
      </c>
      <c r="D1847">
        <v>9</v>
      </c>
      <c r="E1847" s="1" t="s">
        <v>43</v>
      </c>
      <c r="F1847">
        <v>1</v>
      </c>
      <c r="G1847" s="1" t="s">
        <v>23</v>
      </c>
      <c r="H1847">
        <v>58628.571428571428</v>
      </c>
      <c r="I1847">
        <v>64561.666666666664</v>
      </c>
      <c r="J1847">
        <v>58000</v>
      </c>
      <c r="K1847">
        <v>57000</v>
      </c>
      <c r="L1847">
        <v>68000</v>
      </c>
      <c r="M1847">
        <v>-3250</v>
      </c>
      <c r="N1847">
        <v>133.48670000000001</v>
      </c>
      <c r="O1847">
        <v>1.165834523</v>
      </c>
      <c r="P1847">
        <v>16405.199219999999</v>
      </c>
      <c r="Q1847">
        <v>26.31</v>
      </c>
      <c r="R1847">
        <v>9.7799999999999994</v>
      </c>
      <c r="S1847">
        <v>84.2</v>
      </c>
      <c r="T1847">
        <v>2</v>
      </c>
      <c r="U1847" s="1" t="s">
        <v>46</v>
      </c>
      <c r="V1847">
        <v>-5.6</v>
      </c>
    </row>
    <row r="1848" spans="1:22" x14ac:dyDescent="0.3">
      <c r="A1848" s="2">
        <v>45903</v>
      </c>
      <c r="B1848">
        <v>55250</v>
      </c>
      <c r="C1848">
        <v>2072</v>
      </c>
      <c r="D1848">
        <v>9</v>
      </c>
      <c r="E1848" s="1" t="s">
        <v>43</v>
      </c>
      <c r="F1848">
        <v>2</v>
      </c>
      <c r="G1848" s="1" t="s">
        <v>23</v>
      </c>
      <c r="H1848">
        <v>58000</v>
      </c>
      <c r="I1848">
        <v>64145</v>
      </c>
      <c r="J1848">
        <v>54750</v>
      </c>
      <c r="K1848">
        <v>59650</v>
      </c>
      <c r="L1848">
        <v>67750</v>
      </c>
      <c r="M1848">
        <v>500</v>
      </c>
      <c r="N1848">
        <v>133.48670000000001</v>
      </c>
      <c r="O1848">
        <v>1.165834523</v>
      </c>
      <c r="P1848">
        <v>16443.900389999999</v>
      </c>
      <c r="Q1848">
        <v>26.37</v>
      </c>
      <c r="R1848">
        <v>10.63</v>
      </c>
      <c r="S1848">
        <v>84.58</v>
      </c>
      <c r="T1848">
        <v>3</v>
      </c>
      <c r="U1848" s="1" t="s">
        <v>26</v>
      </c>
      <c r="V1848">
        <v>0.91</v>
      </c>
    </row>
    <row r="1849" spans="1:22" x14ac:dyDescent="0.3">
      <c r="A1849" s="2">
        <v>45904</v>
      </c>
      <c r="B1849">
        <v>53900</v>
      </c>
      <c r="C1849">
        <v>2073</v>
      </c>
      <c r="D1849">
        <v>9</v>
      </c>
      <c r="E1849" s="1" t="s">
        <v>43</v>
      </c>
      <c r="F1849">
        <v>3</v>
      </c>
      <c r="G1849" s="1" t="s">
        <v>23</v>
      </c>
      <c r="H1849">
        <v>57092.857142857145</v>
      </c>
      <c r="I1849">
        <v>63691.666666666664</v>
      </c>
      <c r="J1849">
        <v>55250</v>
      </c>
      <c r="K1849">
        <v>60250</v>
      </c>
      <c r="L1849">
        <v>67500</v>
      </c>
      <c r="M1849">
        <v>-1350</v>
      </c>
      <c r="N1849">
        <v>133.48670000000001</v>
      </c>
      <c r="O1849">
        <v>1.165834523</v>
      </c>
      <c r="P1849">
        <v>16463</v>
      </c>
      <c r="Q1849">
        <v>26.39</v>
      </c>
      <c r="R1849">
        <v>7.79</v>
      </c>
      <c r="S1849">
        <v>84.15</v>
      </c>
      <c r="T1849">
        <v>4</v>
      </c>
      <c r="U1849" s="1" t="s">
        <v>96</v>
      </c>
      <c r="V1849">
        <v>-2.44</v>
      </c>
    </row>
    <row r="1850" spans="1:22" x14ac:dyDescent="0.3">
      <c r="A1850" s="2">
        <v>45905</v>
      </c>
      <c r="B1850">
        <v>53900</v>
      </c>
      <c r="C1850">
        <v>2074</v>
      </c>
      <c r="D1850">
        <v>9</v>
      </c>
      <c r="E1850" s="1" t="s">
        <v>43</v>
      </c>
      <c r="F1850">
        <v>4</v>
      </c>
      <c r="G1850" s="1" t="s">
        <v>44</v>
      </c>
      <c r="H1850">
        <v>56328.571428571428</v>
      </c>
      <c r="I1850">
        <v>63230</v>
      </c>
      <c r="J1850">
        <v>53900</v>
      </c>
      <c r="K1850">
        <v>59250</v>
      </c>
      <c r="L1850">
        <v>67750</v>
      </c>
      <c r="M1850">
        <v>0</v>
      </c>
      <c r="N1850">
        <v>133.48670000000001</v>
      </c>
      <c r="O1850">
        <v>1.165834523</v>
      </c>
      <c r="P1850">
        <v>16452.099610000001</v>
      </c>
      <c r="Q1850">
        <v>26.48</v>
      </c>
      <c r="R1850">
        <v>12.45</v>
      </c>
      <c r="S1850">
        <v>84.42</v>
      </c>
      <c r="T1850">
        <v>5</v>
      </c>
      <c r="U1850" s="1" t="s">
        <v>25</v>
      </c>
      <c r="V1850">
        <v>0</v>
      </c>
    </row>
    <row r="1851" spans="1:22" x14ac:dyDescent="0.3">
      <c r="A1851" s="2">
        <v>45906</v>
      </c>
      <c r="B1851">
        <v>53900</v>
      </c>
      <c r="C1851">
        <v>2075</v>
      </c>
      <c r="D1851">
        <v>9</v>
      </c>
      <c r="E1851" s="1" t="s">
        <v>43</v>
      </c>
      <c r="F1851">
        <v>5</v>
      </c>
      <c r="G1851" s="1" t="s">
        <v>23</v>
      </c>
      <c r="H1851">
        <v>55564.285714285717</v>
      </c>
      <c r="I1851">
        <v>62755</v>
      </c>
      <c r="J1851">
        <v>53900</v>
      </c>
      <c r="K1851">
        <v>59250</v>
      </c>
      <c r="L1851">
        <v>68150</v>
      </c>
      <c r="M1851">
        <v>0</v>
      </c>
      <c r="N1851">
        <v>133.48670000000001</v>
      </c>
      <c r="O1851">
        <v>1.165834523</v>
      </c>
      <c r="P1851">
        <v>16452.099610000001</v>
      </c>
      <c r="Q1851">
        <v>26.52</v>
      </c>
      <c r="R1851">
        <v>16.43</v>
      </c>
      <c r="S1851">
        <v>83.35</v>
      </c>
      <c r="T1851">
        <v>6</v>
      </c>
      <c r="U1851" s="1" t="s">
        <v>25</v>
      </c>
      <c r="V1851">
        <v>0</v>
      </c>
    </row>
    <row r="1852" spans="1:22" x14ac:dyDescent="0.3">
      <c r="A1852" s="2">
        <v>45907</v>
      </c>
      <c r="B1852">
        <v>53900</v>
      </c>
      <c r="C1852">
        <v>2076</v>
      </c>
      <c r="D1852">
        <v>9</v>
      </c>
      <c r="E1852" s="1" t="s">
        <v>43</v>
      </c>
      <c r="F1852">
        <v>6</v>
      </c>
      <c r="G1852" s="1" t="s">
        <v>23</v>
      </c>
      <c r="H1852">
        <v>54800</v>
      </c>
      <c r="I1852">
        <v>62293.333333333336</v>
      </c>
      <c r="J1852">
        <v>53900</v>
      </c>
      <c r="K1852">
        <v>59250</v>
      </c>
      <c r="L1852">
        <v>67750</v>
      </c>
      <c r="M1852">
        <v>0</v>
      </c>
      <c r="N1852">
        <v>133.48670000000001</v>
      </c>
      <c r="O1852">
        <v>1.165834523</v>
      </c>
      <c r="P1852">
        <v>16452.099610000001</v>
      </c>
      <c r="Q1852">
        <v>26.73</v>
      </c>
      <c r="R1852">
        <v>7.69</v>
      </c>
      <c r="S1852">
        <v>82.04</v>
      </c>
      <c r="T1852">
        <v>7</v>
      </c>
      <c r="U1852" s="1" t="s">
        <v>25</v>
      </c>
      <c r="V1852">
        <v>0</v>
      </c>
    </row>
    <row r="1853" spans="1:22" x14ac:dyDescent="0.3">
      <c r="A1853" s="2">
        <v>45908</v>
      </c>
      <c r="B1853">
        <v>51400</v>
      </c>
      <c r="C1853">
        <v>2077</v>
      </c>
      <c r="D1853">
        <v>9</v>
      </c>
      <c r="E1853" s="1" t="s">
        <v>43</v>
      </c>
      <c r="F1853">
        <v>0</v>
      </c>
      <c r="G1853" s="1" t="s">
        <v>23</v>
      </c>
      <c r="H1853">
        <v>53857.142857142855</v>
      </c>
      <c r="I1853">
        <v>61748.333333333336</v>
      </c>
      <c r="J1853">
        <v>53900</v>
      </c>
      <c r="K1853">
        <v>58000</v>
      </c>
      <c r="L1853">
        <v>67750</v>
      </c>
      <c r="M1853">
        <v>-2500</v>
      </c>
      <c r="N1853">
        <v>133.48670000000001</v>
      </c>
      <c r="O1853">
        <v>1.165834523</v>
      </c>
      <c r="P1853">
        <v>16392</v>
      </c>
      <c r="Q1853">
        <v>26.89</v>
      </c>
      <c r="R1853">
        <v>7.65</v>
      </c>
      <c r="S1853">
        <v>80.11</v>
      </c>
      <c r="T1853">
        <v>8</v>
      </c>
      <c r="U1853" s="1"/>
      <c r="V1853">
        <v>0</v>
      </c>
    </row>
    <row r="1854" spans="1:22" x14ac:dyDescent="0.3">
      <c r="A1854" s="2">
        <v>45909</v>
      </c>
      <c r="B1854">
        <v>50250</v>
      </c>
      <c r="C1854">
        <v>2078</v>
      </c>
      <c r="D1854">
        <v>9</v>
      </c>
      <c r="E1854" s="1" t="s">
        <v>43</v>
      </c>
      <c r="F1854">
        <v>1</v>
      </c>
      <c r="G1854" s="1" t="s">
        <v>23</v>
      </c>
      <c r="H1854">
        <v>53214.285714285717</v>
      </c>
      <c r="I1854">
        <v>61165</v>
      </c>
      <c r="J1854">
        <v>51400</v>
      </c>
      <c r="K1854">
        <v>54750</v>
      </c>
      <c r="L1854">
        <v>67750</v>
      </c>
      <c r="M1854">
        <v>-1150</v>
      </c>
      <c r="N1854">
        <v>133.48670000000001</v>
      </c>
      <c r="O1854">
        <v>1.165834523</v>
      </c>
      <c r="P1854">
        <v>16446.099610000001</v>
      </c>
      <c r="Q1854">
        <v>26.62</v>
      </c>
      <c r="R1854">
        <v>11.36</v>
      </c>
      <c r="S1854">
        <v>81.739999999999995</v>
      </c>
      <c r="T1854">
        <v>9</v>
      </c>
      <c r="U1854" s="1" t="s">
        <v>82</v>
      </c>
      <c r="V1854">
        <v>-2.2400000000000002</v>
      </c>
    </row>
    <row r="1855" spans="1:22" x14ac:dyDescent="0.3">
      <c r="A1855" s="2">
        <v>45910</v>
      </c>
      <c r="B1855">
        <v>49750</v>
      </c>
      <c r="C1855">
        <v>2079</v>
      </c>
      <c r="D1855">
        <v>9</v>
      </c>
      <c r="E1855" s="1" t="s">
        <v>43</v>
      </c>
      <c r="F1855">
        <v>2</v>
      </c>
      <c r="G1855" s="1" t="s">
        <v>23</v>
      </c>
      <c r="H1855">
        <v>52428.571428571428</v>
      </c>
      <c r="I1855">
        <v>60581.666666666664</v>
      </c>
      <c r="J1855">
        <v>50250</v>
      </c>
      <c r="K1855">
        <v>55250</v>
      </c>
      <c r="L1855">
        <v>67250</v>
      </c>
      <c r="M1855">
        <v>-500</v>
      </c>
      <c r="N1855">
        <v>133.48670000000001</v>
      </c>
      <c r="O1855">
        <v>1.165834523</v>
      </c>
      <c r="P1855">
        <v>16449.900389999999</v>
      </c>
      <c r="Q1855">
        <v>26.89</v>
      </c>
      <c r="R1855">
        <v>3.44</v>
      </c>
      <c r="S1855">
        <v>81.56</v>
      </c>
      <c r="T1855">
        <v>10</v>
      </c>
      <c r="U1855" s="1" t="s">
        <v>24</v>
      </c>
      <c r="V1855">
        <v>-1</v>
      </c>
    </row>
    <row r="1856" spans="1:22" x14ac:dyDescent="0.3">
      <c r="A1856" s="2">
        <v>45911</v>
      </c>
      <c r="B1856">
        <v>49150</v>
      </c>
      <c r="C1856">
        <v>2080</v>
      </c>
      <c r="D1856">
        <v>9</v>
      </c>
      <c r="E1856" s="1" t="s">
        <v>43</v>
      </c>
      <c r="F1856">
        <v>3</v>
      </c>
      <c r="G1856" s="1" t="s">
        <v>23</v>
      </c>
      <c r="H1856">
        <v>51750</v>
      </c>
      <c r="I1856">
        <v>59990</v>
      </c>
      <c r="J1856">
        <v>49750</v>
      </c>
      <c r="K1856">
        <v>53900</v>
      </c>
      <c r="L1856">
        <v>66900</v>
      </c>
      <c r="M1856">
        <v>-600</v>
      </c>
      <c r="N1856">
        <v>133.48670000000001</v>
      </c>
      <c r="O1856">
        <v>1.165834523</v>
      </c>
      <c r="P1856">
        <v>16439</v>
      </c>
      <c r="Q1856">
        <v>27.17</v>
      </c>
      <c r="R1856">
        <v>6.39</v>
      </c>
      <c r="S1856">
        <v>79.510000000000005</v>
      </c>
      <c r="T1856">
        <v>11</v>
      </c>
      <c r="U1856" s="1" t="s">
        <v>62</v>
      </c>
      <c r="V1856">
        <v>-1.21</v>
      </c>
    </row>
    <row r="1857" spans="1:22" x14ac:dyDescent="0.3">
      <c r="A1857" s="2">
        <v>45912</v>
      </c>
      <c r="B1857">
        <v>48500</v>
      </c>
      <c r="C1857">
        <v>2081</v>
      </c>
      <c r="D1857">
        <v>9</v>
      </c>
      <c r="E1857" s="1" t="s">
        <v>43</v>
      </c>
      <c r="F1857">
        <v>4</v>
      </c>
      <c r="G1857" s="1" t="s">
        <v>23</v>
      </c>
      <c r="H1857">
        <v>50978.571428571428</v>
      </c>
      <c r="I1857">
        <v>59323.333333333336</v>
      </c>
      <c r="J1857">
        <v>49150</v>
      </c>
      <c r="K1857">
        <v>53900</v>
      </c>
      <c r="L1857">
        <v>68500</v>
      </c>
      <c r="M1857">
        <v>-650</v>
      </c>
      <c r="N1857">
        <v>133.48670000000001</v>
      </c>
      <c r="O1857">
        <v>1.165834523</v>
      </c>
      <c r="P1857">
        <v>16413.599610000001</v>
      </c>
      <c r="Q1857">
        <v>26.98</v>
      </c>
      <c r="R1857">
        <v>9.85</v>
      </c>
      <c r="S1857">
        <v>81.38</v>
      </c>
      <c r="T1857">
        <v>12</v>
      </c>
      <c r="U1857" s="1" t="s">
        <v>72</v>
      </c>
      <c r="V1857">
        <v>-1.32</v>
      </c>
    </row>
    <row r="1858" spans="1:22" x14ac:dyDescent="0.3">
      <c r="A1858" s="2">
        <v>45913</v>
      </c>
      <c r="B1858">
        <v>48500</v>
      </c>
      <c r="C1858">
        <v>2082</v>
      </c>
      <c r="D1858">
        <v>9</v>
      </c>
      <c r="E1858" s="1" t="s">
        <v>43</v>
      </c>
      <c r="F1858">
        <v>5</v>
      </c>
      <c r="G1858" s="1" t="s">
        <v>23</v>
      </c>
      <c r="H1858">
        <v>50207.142857142855</v>
      </c>
      <c r="I1858">
        <v>58656.666666666664</v>
      </c>
      <c r="J1858">
        <v>48500</v>
      </c>
      <c r="K1858">
        <v>53900</v>
      </c>
      <c r="L1858">
        <v>68500</v>
      </c>
      <c r="M1858">
        <v>0</v>
      </c>
      <c r="N1858">
        <v>133.48670000000001</v>
      </c>
      <c r="O1858">
        <v>1.165834523</v>
      </c>
      <c r="P1858">
        <v>16413.599610000001</v>
      </c>
      <c r="Q1858">
        <v>26.63</v>
      </c>
      <c r="R1858">
        <v>8.57</v>
      </c>
      <c r="S1858">
        <v>80.98</v>
      </c>
      <c r="T1858">
        <v>13</v>
      </c>
      <c r="U1858" s="1" t="s">
        <v>72</v>
      </c>
      <c r="V1858">
        <v>-1.32</v>
      </c>
    </row>
    <row r="1859" spans="1:22" x14ac:dyDescent="0.3">
      <c r="A1859" s="2">
        <v>45914</v>
      </c>
      <c r="B1859">
        <v>48500</v>
      </c>
      <c r="C1859">
        <v>2083</v>
      </c>
      <c r="D1859">
        <v>9</v>
      </c>
      <c r="E1859" s="1" t="s">
        <v>43</v>
      </c>
      <c r="F1859">
        <v>6</v>
      </c>
      <c r="G1859" s="1" t="s">
        <v>23</v>
      </c>
      <c r="H1859">
        <v>49435.714285714283</v>
      </c>
      <c r="I1859">
        <v>58006.666666666664</v>
      </c>
      <c r="J1859">
        <v>48500</v>
      </c>
      <c r="K1859">
        <v>53900</v>
      </c>
      <c r="L1859">
        <v>68000</v>
      </c>
      <c r="M1859">
        <v>0</v>
      </c>
      <c r="N1859">
        <v>133.48670000000001</v>
      </c>
      <c r="O1859">
        <v>1.165834523</v>
      </c>
      <c r="P1859">
        <v>16413.599610000001</v>
      </c>
      <c r="Q1859">
        <v>26.8</v>
      </c>
      <c r="R1859">
        <v>8.3000000000000007</v>
      </c>
      <c r="S1859">
        <v>81.09</v>
      </c>
      <c r="T1859">
        <v>14</v>
      </c>
      <c r="U1859" s="1" t="s">
        <v>72</v>
      </c>
      <c r="V1859">
        <v>-1.32</v>
      </c>
    </row>
    <row r="1860" spans="1:22" x14ac:dyDescent="0.3">
      <c r="A1860" s="2">
        <v>45915</v>
      </c>
      <c r="B1860">
        <v>48000</v>
      </c>
      <c r="C1860">
        <v>2084</v>
      </c>
      <c r="D1860">
        <v>9</v>
      </c>
      <c r="E1860" s="1" t="s">
        <v>43</v>
      </c>
      <c r="F1860">
        <v>0</v>
      </c>
      <c r="G1860" s="1" t="s">
        <v>23</v>
      </c>
      <c r="H1860">
        <v>48950</v>
      </c>
      <c r="I1860">
        <v>57340</v>
      </c>
      <c r="J1860">
        <v>48500</v>
      </c>
      <c r="K1860">
        <v>51400</v>
      </c>
      <c r="L1860">
        <v>68000</v>
      </c>
      <c r="M1860">
        <v>-500</v>
      </c>
      <c r="N1860">
        <v>133.48670000000001</v>
      </c>
      <c r="O1860">
        <v>1.165834523</v>
      </c>
      <c r="P1860">
        <v>16401</v>
      </c>
      <c r="Q1860">
        <v>26.8</v>
      </c>
      <c r="R1860">
        <v>12.54</v>
      </c>
      <c r="S1860">
        <v>82.86</v>
      </c>
      <c r="T1860">
        <v>15</v>
      </c>
      <c r="U1860" s="1" t="s">
        <v>24</v>
      </c>
      <c r="V1860">
        <v>-1.03</v>
      </c>
    </row>
    <row r="1861" spans="1:22" x14ac:dyDescent="0.3">
      <c r="A1861" s="2">
        <v>45916</v>
      </c>
      <c r="B1861">
        <v>49900</v>
      </c>
      <c r="C1861">
        <v>2085</v>
      </c>
      <c r="D1861">
        <v>9</v>
      </c>
      <c r="E1861" s="1" t="s">
        <v>43</v>
      </c>
      <c r="F1861">
        <v>1</v>
      </c>
      <c r="G1861" s="1" t="s">
        <v>23</v>
      </c>
      <c r="H1861">
        <v>48900</v>
      </c>
      <c r="I1861">
        <v>56736.666666666664</v>
      </c>
      <c r="J1861">
        <v>48000</v>
      </c>
      <c r="K1861">
        <v>50250</v>
      </c>
      <c r="L1861">
        <v>68000</v>
      </c>
      <c r="M1861">
        <v>1900</v>
      </c>
      <c r="N1861">
        <v>133.48670000000001</v>
      </c>
      <c r="O1861">
        <v>1.165834523</v>
      </c>
      <c r="P1861">
        <v>16364.599609999999</v>
      </c>
      <c r="Q1861">
        <v>26.63</v>
      </c>
      <c r="R1861">
        <v>12.6</v>
      </c>
      <c r="S1861">
        <v>82.77</v>
      </c>
      <c r="T1861">
        <v>16</v>
      </c>
      <c r="U1861" s="1" t="s">
        <v>83</v>
      </c>
      <c r="V1861">
        <v>3.96</v>
      </c>
    </row>
    <row r="1862" spans="1:22" x14ac:dyDescent="0.3">
      <c r="A1862" s="2">
        <v>45917</v>
      </c>
      <c r="B1862">
        <v>49500</v>
      </c>
      <c r="C1862">
        <v>2086</v>
      </c>
      <c r="D1862">
        <v>9</v>
      </c>
      <c r="E1862" s="1" t="s">
        <v>43</v>
      </c>
      <c r="F1862">
        <v>2</v>
      </c>
      <c r="G1862" s="1" t="s">
        <v>23</v>
      </c>
      <c r="H1862">
        <v>48864.285714285717</v>
      </c>
      <c r="I1862">
        <v>56120</v>
      </c>
      <c r="J1862">
        <v>49900</v>
      </c>
      <c r="K1862">
        <v>49750</v>
      </c>
      <c r="L1862">
        <v>68000</v>
      </c>
      <c r="M1862">
        <v>-400</v>
      </c>
      <c r="N1862">
        <v>133.48670000000001</v>
      </c>
      <c r="O1862">
        <v>1.165834523</v>
      </c>
      <c r="P1862">
        <v>16398.099610000001</v>
      </c>
      <c r="Q1862">
        <v>25.98</v>
      </c>
      <c r="R1862">
        <v>35.93</v>
      </c>
      <c r="S1862">
        <v>86.08</v>
      </c>
      <c r="T1862">
        <v>17</v>
      </c>
      <c r="U1862" s="1" t="s">
        <v>99</v>
      </c>
      <c r="V1862">
        <v>-0.8</v>
      </c>
    </row>
    <row r="1863" spans="1:22" x14ac:dyDescent="0.3">
      <c r="A1863" s="2">
        <v>45918</v>
      </c>
      <c r="B1863">
        <v>49000</v>
      </c>
      <c r="C1863">
        <v>2087</v>
      </c>
      <c r="D1863">
        <v>9</v>
      </c>
      <c r="E1863" s="1" t="s">
        <v>43</v>
      </c>
      <c r="F1863">
        <v>3</v>
      </c>
      <c r="G1863" s="1" t="s">
        <v>23</v>
      </c>
      <c r="H1863">
        <v>48842.857142857145</v>
      </c>
      <c r="I1863">
        <v>55531.666666666664</v>
      </c>
      <c r="J1863">
        <v>49500</v>
      </c>
      <c r="K1863">
        <v>49150</v>
      </c>
      <c r="L1863">
        <v>66650</v>
      </c>
      <c r="M1863">
        <v>-500</v>
      </c>
      <c r="N1863">
        <v>133.48670000000001</v>
      </c>
      <c r="O1863">
        <v>1.165834523</v>
      </c>
      <c r="P1863">
        <v>16418.599610000001</v>
      </c>
      <c r="Q1863">
        <v>26.68</v>
      </c>
      <c r="R1863">
        <v>11.53</v>
      </c>
      <c r="S1863">
        <v>82.31</v>
      </c>
      <c r="T1863">
        <v>18</v>
      </c>
      <c r="U1863" s="1" t="s">
        <v>24</v>
      </c>
      <c r="V1863">
        <v>-1.01</v>
      </c>
    </row>
    <row r="1864" spans="1:22" x14ac:dyDescent="0.3">
      <c r="A1864" s="2">
        <v>45919</v>
      </c>
      <c r="B1864">
        <v>49000</v>
      </c>
      <c r="C1864">
        <v>2088</v>
      </c>
      <c r="D1864">
        <v>9</v>
      </c>
      <c r="E1864" s="1" t="s">
        <v>43</v>
      </c>
      <c r="F1864">
        <v>4</v>
      </c>
      <c r="G1864" s="1" t="s">
        <v>23</v>
      </c>
      <c r="H1864">
        <v>48914.285714285717</v>
      </c>
      <c r="I1864">
        <v>54926.666666666664</v>
      </c>
      <c r="J1864">
        <v>49000</v>
      </c>
      <c r="K1864">
        <v>48500</v>
      </c>
      <c r="L1864">
        <v>67150</v>
      </c>
      <c r="M1864">
        <v>0</v>
      </c>
      <c r="N1864">
        <v>133.48670000000001</v>
      </c>
      <c r="O1864">
        <v>1.165834523</v>
      </c>
      <c r="P1864">
        <v>16569.099610000001</v>
      </c>
      <c r="Q1864">
        <v>26.76</v>
      </c>
      <c r="R1864">
        <v>8.73</v>
      </c>
      <c r="S1864">
        <v>81.349999999999994</v>
      </c>
      <c r="T1864">
        <v>19</v>
      </c>
      <c r="U1864" s="1" t="s">
        <v>25</v>
      </c>
      <c r="V1864">
        <v>0</v>
      </c>
    </row>
    <row r="1865" spans="1:22" x14ac:dyDescent="0.3">
      <c r="A1865" s="2">
        <v>45920</v>
      </c>
      <c r="B1865">
        <v>49000</v>
      </c>
      <c r="C1865">
        <v>2089</v>
      </c>
      <c r="D1865">
        <v>9</v>
      </c>
      <c r="E1865" s="1" t="s">
        <v>43</v>
      </c>
      <c r="F1865">
        <v>5</v>
      </c>
      <c r="G1865" s="1" t="s">
        <v>23</v>
      </c>
      <c r="H1865">
        <v>48985.714285714283</v>
      </c>
      <c r="I1865">
        <v>54363.333333333336</v>
      </c>
      <c r="J1865">
        <v>49000</v>
      </c>
      <c r="K1865">
        <v>48500</v>
      </c>
      <c r="L1865">
        <v>65900</v>
      </c>
      <c r="M1865">
        <v>0</v>
      </c>
      <c r="N1865">
        <v>133.48670000000001</v>
      </c>
      <c r="O1865">
        <v>1.165834523</v>
      </c>
      <c r="P1865">
        <v>0</v>
      </c>
      <c r="Q1865">
        <v>26.31</v>
      </c>
      <c r="R1865">
        <v>6.82</v>
      </c>
      <c r="S1865">
        <v>82.94</v>
      </c>
      <c r="T1865">
        <v>20</v>
      </c>
      <c r="U1865" s="1" t="s">
        <v>25</v>
      </c>
      <c r="V1865">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2E9353-038B-4413-AB53-0BAF8E19F7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Dashboard_Backend</vt:lpstr>
      <vt:lpstr>project_1 bamer2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Galih Firdausi</dc:creator>
  <cp:lastModifiedBy>Galih Firdausi</cp:lastModifiedBy>
  <dcterms:created xsi:type="dcterms:W3CDTF">2026-07-29T04:49:48Z</dcterms:created>
  <dcterms:modified xsi:type="dcterms:W3CDTF">2026-07-29T08:27:57Z</dcterms:modified>
</cp:coreProperties>
</file>